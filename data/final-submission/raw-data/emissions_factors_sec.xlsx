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Christian_Rumpelnik/Downloads/"/>
    </mc:Choice>
  </mc:AlternateContent>
  <xr:revisionPtr revIDLastSave="0" documentId="8_{1903D001-247B-6949-BC8C-7073235DFD2F}" xr6:coauthVersionLast="47" xr6:coauthVersionMax="47" xr10:uidLastSave="{00000000-0000-0000-0000-000000000000}"/>
  <bookViews>
    <workbookView xWindow="0" yWindow="680" windowWidth="34200" windowHeight="19480" activeTab="2" xr2:uid="{80274444-1358-441C-A51D-5CE23B793438}"/>
  </bookViews>
  <sheets>
    <sheet name="R Interface" sheetId="1" r:id="rId1"/>
    <sheet name="Sheet1" sheetId="9" state="hidden" r:id="rId2"/>
    <sheet name="Data" sheetId="4" r:id="rId3"/>
  </sheets>
  <definedNames>
    <definedName name="_xlnm._FilterDatabase" localSheetId="0" hidden="1">'R Interface'!$A$1:$L$492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1" i="9" l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N491" i="1"/>
  <c r="M491" i="1"/>
  <c r="N490" i="1"/>
  <c r="M490" i="1"/>
  <c r="N489" i="1"/>
  <c r="M489" i="1"/>
  <c r="N488" i="1"/>
  <c r="M488" i="1"/>
  <c r="N487" i="1"/>
  <c r="M487" i="1"/>
  <c r="N485" i="1"/>
  <c r="M485" i="1"/>
  <c r="N484" i="1"/>
  <c r="M484" i="1"/>
  <c r="N483" i="1"/>
  <c r="M483" i="1"/>
  <c r="N482" i="1"/>
  <c r="M482" i="1"/>
  <c r="N481" i="1"/>
  <c r="M481" i="1"/>
  <c r="N476" i="1"/>
  <c r="M476" i="1"/>
  <c r="N473" i="1"/>
  <c r="M473" i="1"/>
  <c r="N471" i="1"/>
  <c r="M471" i="1"/>
  <c r="N467" i="1"/>
  <c r="M467" i="1"/>
  <c r="N466" i="1"/>
  <c r="M466" i="1"/>
  <c r="N465" i="1"/>
  <c r="M465" i="1"/>
  <c r="N464" i="1"/>
  <c r="M464" i="1"/>
  <c r="N463" i="1"/>
  <c r="M463" i="1"/>
  <c r="N459" i="1"/>
  <c r="M459" i="1"/>
  <c r="N452" i="1"/>
  <c r="M452" i="1"/>
  <c r="N451" i="1"/>
  <c r="M451" i="1"/>
  <c r="N450" i="1"/>
  <c r="M450" i="1"/>
  <c r="N449" i="1"/>
  <c r="M449" i="1"/>
  <c r="N448" i="1"/>
  <c r="M448" i="1"/>
  <c r="N444" i="1"/>
  <c r="M444" i="1"/>
  <c r="N442" i="1"/>
  <c r="M442" i="1"/>
  <c r="N441" i="1"/>
  <c r="M441" i="1"/>
  <c r="N437" i="1"/>
  <c r="M437" i="1"/>
  <c r="N436" i="1"/>
  <c r="M436" i="1"/>
  <c r="N431" i="1"/>
  <c r="M431" i="1"/>
  <c r="N427" i="1"/>
  <c r="M427" i="1"/>
  <c r="N426" i="1"/>
  <c r="M426" i="1"/>
  <c r="N425" i="1"/>
  <c r="M425" i="1"/>
  <c r="N424" i="1"/>
  <c r="M424" i="1"/>
  <c r="N420" i="1"/>
  <c r="M420" i="1"/>
  <c r="N419" i="1"/>
  <c r="M419" i="1"/>
  <c r="N418" i="1"/>
  <c r="M418" i="1"/>
  <c r="N416" i="1"/>
  <c r="M416" i="1"/>
  <c r="N415" i="1"/>
  <c r="M415" i="1"/>
  <c r="N414" i="1"/>
  <c r="M414" i="1"/>
  <c r="N412" i="1"/>
  <c r="M412" i="1"/>
  <c r="N411" i="1"/>
  <c r="M411" i="1"/>
  <c r="N410" i="1"/>
  <c r="M410" i="1"/>
  <c r="N409" i="1"/>
  <c r="M409" i="1"/>
  <c r="N403" i="1"/>
  <c r="M403" i="1"/>
  <c r="N397" i="1"/>
  <c r="M397" i="1"/>
  <c r="N396" i="1"/>
  <c r="M396" i="1"/>
  <c r="N395" i="1"/>
  <c r="M395" i="1"/>
  <c r="N389" i="1"/>
  <c r="M389" i="1"/>
  <c r="N388" i="1"/>
  <c r="M388" i="1"/>
  <c r="N387" i="1"/>
  <c r="M387" i="1"/>
  <c r="N386" i="1"/>
  <c r="M386" i="1"/>
  <c r="N384" i="1"/>
  <c r="M384" i="1"/>
  <c r="N382" i="1"/>
  <c r="M382" i="1"/>
  <c r="N381" i="1"/>
  <c r="M381" i="1"/>
  <c r="N380" i="1"/>
  <c r="M380" i="1"/>
  <c r="N369" i="1"/>
  <c r="M369" i="1"/>
  <c r="N368" i="1"/>
  <c r="M368" i="1"/>
  <c r="N367" i="1"/>
  <c r="M367" i="1"/>
  <c r="N366" i="1"/>
  <c r="M366" i="1"/>
  <c r="N365" i="1"/>
  <c r="M365" i="1"/>
  <c r="N364" i="1"/>
  <c r="M364" i="1"/>
  <c r="N363" i="1"/>
  <c r="M363" i="1"/>
  <c r="N362" i="1"/>
  <c r="M362" i="1"/>
  <c r="N361" i="1"/>
  <c r="M361" i="1"/>
  <c r="N360" i="1"/>
  <c r="M360" i="1"/>
  <c r="N359" i="1"/>
  <c r="M359" i="1"/>
  <c r="N358" i="1"/>
  <c r="M358" i="1"/>
  <c r="N356" i="1"/>
  <c r="M356" i="1"/>
  <c r="N352" i="1"/>
  <c r="M352" i="1"/>
  <c r="N351" i="1"/>
  <c r="M351" i="1"/>
  <c r="N350" i="1"/>
  <c r="M350" i="1"/>
  <c r="N349" i="1"/>
  <c r="M349" i="1"/>
  <c r="N348" i="1"/>
  <c r="M348" i="1"/>
  <c r="N347" i="1"/>
  <c r="M347" i="1"/>
  <c r="N344" i="1"/>
  <c r="M344" i="1"/>
  <c r="N338" i="1"/>
  <c r="M338" i="1"/>
  <c r="N337" i="1"/>
  <c r="M337" i="1"/>
  <c r="N327" i="1"/>
  <c r="M327" i="1"/>
  <c r="N326" i="1"/>
  <c r="M326" i="1"/>
  <c r="N325" i="1"/>
  <c r="M325" i="1"/>
  <c r="N324" i="1"/>
  <c r="M324" i="1"/>
  <c r="N322" i="1"/>
  <c r="M322" i="1"/>
  <c r="N312" i="1"/>
  <c r="M312" i="1"/>
  <c r="N310" i="1"/>
  <c r="M310" i="1"/>
  <c r="N307" i="1"/>
  <c r="M307" i="1"/>
  <c r="N303" i="1"/>
  <c r="M303" i="1"/>
  <c r="N295" i="1"/>
  <c r="M295" i="1"/>
  <c r="N294" i="1"/>
  <c r="M294" i="1"/>
  <c r="N292" i="1"/>
  <c r="M292" i="1"/>
  <c r="N281" i="1"/>
  <c r="M281" i="1"/>
  <c r="N280" i="1"/>
  <c r="M280" i="1"/>
  <c r="N278" i="1"/>
  <c r="M278" i="1"/>
  <c r="N272" i="1"/>
  <c r="M272" i="1"/>
  <c r="N271" i="1"/>
  <c r="M271" i="1"/>
  <c r="N270" i="1"/>
  <c r="M270" i="1"/>
  <c r="N269" i="1"/>
  <c r="M269" i="1"/>
  <c r="N268" i="1"/>
  <c r="M268" i="1"/>
  <c r="N267" i="1"/>
  <c r="M267" i="1"/>
  <c r="N266" i="1"/>
  <c r="M266" i="1"/>
  <c r="N265" i="1"/>
  <c r="M265" i="1"/>
  <c r="N264" i="1"/>
  <c r="M264" i="1"/>
  <c r="N263" i="1"/>
  <c r="M263" i="1"/>
  <c r="N262" i="1"/>
  <c r="M262" i="1"/>
  <c r="N261" i="1"/>
  <c r="M261" i="1"/>
  <c r="N257" i="1"/>
  <c r="M257" i="1"/>
  <c r="N256" i="1"/>
  <c r="M256" i="1"/>
  <c r="N255" i="1"/>
  <c r="M255" i="1"/>
  <c r="N254" i="1"/>
  <c r="M254" i="1"/>
  <c r="N253" i="1"/>
  <c r="M253" i="1"/>
  <c r="N252" i="1"/>
  <c r="M252" i="1"/>
  <c r="N251" i="1"/>
  <c r="M251" i="1"/>
  <c r="N250" i="1"/>
  <c r="M250" i="1"/>
  <c r="N249" i="1"/>
  <c r="M249" i="1"/>
  <c r="N248" i="1"/>
  <c r="M248" i="1"/>
  <c r="N247" i="1"/>
  <c r="M247" i="1"/>
  <c r="N246" i="1"/>
  <c r="M246" i="1"/>
  <c r="N245" i="1"/>
  <c r="M245" i="1"/>
  <c r="N244" i="1"/>
  <c r="M244" i="1"/>
  <c r="N243" i="1"/>
  <c r="M243" i="1"/>
  <c r="N242" i="1"/>
  <c r="M242" i="1"/>
  <c r="N241" i="1"/>
  <c r="M241" i="1"/>
  <c r="N240" i="1"/>
  <c r="M240" i="1"/>
  <c r="N239" i="1"/>
  <c r="M239" i="1"/>
  <c r="N238" i="1"/>
  <c r="M238" i="1"/>
  <c r="N237" i="1"/>
  <c r="M237" i="1"/>
  <c r="N236" i="1"/>
  <c r="M236" i="1"/>
  <c r="N235" i="1"/>
  <c r="M235" i="1"/>
  <c r="N234" i="1"/>
  <c r="M234" i="1"/>
  <c r="N233" i="1"/>
  <c r="M233" i="1"/>
  <c r="N232" i="1"/>
  <c r="M232" i="1"/>
  <c r="N231" i="1"/>
  <c r="M231" i="1"/>
  <c r="N230" i="1"/>
  <c r="M230" i="1"/>
  <c r="N229" i="1"/>
  <c r="M229" i="1"/>
  <c r="N228" i="1"/>
  <c r="M228" i="1"/>
  <c r="N227" i="1"/>
  <c r="M227" i="1"/>
  <c r="N226" i="1"/>
  <c r="M226" i="1"/>
  <c r="N225" i="1"/>
  <c r="M225" i="1"/>
  <c r="N224" i="1"/>
  <c r="M224" i="1"/>
  <c r="N223" i="1"/>
  <c r="M223" i="1"/>
  <c r="N222" i="1"/>
  <c r="M222" i="1"/>
  <c r="N221" i="1"/>
  <c r="M221" i="1"/>
  <c r="N220" i="1"/>
  <c r="M220" i="1"/>
  <c r="N219" i="1"/>
  <c r="M219" i="1"/>
  <c r="N218" i="1"/>
  <c r="M218" i="1"/>
  <c r="N217" i="1"/>
  <c r="M217" i="1"/>
  <c r="N216" i="1"/>
  <c r="M216" i="1"/>
  <c r="N215" i="1"/>
  <c r="M215" i="1"/>
  <c r="N214" i="1"/>
  <c r="M214" i="1"/>
  <c r="N213" i="1"/>
  <c r="M213" i="1"/>
  <c r="N212" i="1"/>
  <c r="M212" i="1"/>
  <c r="N211" i="1"/>
  <c r="M211" i="1"/>
  <c r="N210" i="1"/>
  <c r="M210" i="1"/>
  <c r="N209" i="1"/>
  <c r="M209" i="1"/>
  <c r="N208" i="1"/>
  <c r="M208" i="1"/>
  <c r="N207" i="1"/>
  <c r="M207" i="1"/>
  <c r="N206" i="1"/>
  <c r="M206" i="1"/>
  <c r="N205" i="1"/>
  <c r="M205" i="1"/>
  <c r="N204" i="1"/>
  <c r="M204" i="1"/>
  <c r="N203" i="1"/>
  <c r="M203" i="1"/>
  <c r="N202" i="1"/>
  <c r="M202" i="1"/>
  <c r="N201" i="1"/>
  <c r="M201" i="1"/>
  <c r="N200" i="1"/>
  <c r="M200" i="1"/>
  <c r="N199" i="1"/>
  <c r="M199" i="1"/>
  <c r="N198" i="1"/>
  <c r="M198" i="1"/>
  <c r="N197" i="1"/>
  <c r="M197" i="1"/>
  <c r="N196" i="1"/>
  <c r="M196" i="1"/>
  <c r="N195" i="1"/>
  <c r="M195" i="1"/>
  <c r="N194" i="1"/>
  <c r="M194" i="1"/>
  <c r="N193" i="1"/>
  <c r="M193" i="1"/>
  <c r="N192" i="1"/>
  <c r="M192" i="1"/>
  <c r="N191" i="1"/>
  <c r="M191" i="1"/>
  <c r="N190" i="1"/>
  <c r="M190" i="1"/>
  <c r="N189" i="1"/>
  <c r="M189" i="1"/>
  <c r="N188" i="1"/>
  <c r="M188" i="1"/>
  <c r="N187" i="1"/>
  <c r="M187" i="1"/>
  <c r="N186" i="1"/>
  <c r="M186" i="1"/>
  <c r="N185" i="1"/>
  <c r="M185" i="1"/>
  <c r="N184" i="1"/>
  <c r="M184" i="1"/>
  <c r="N183" i="1"/>
  <c r="M183" i="1"/>
  <c r="N182" i="1"/>
  <c r="M182" i="1"/>
  <c r="N181" i="1"/>
  <c r="M181" i="1"/>
  <c r="N180" i="1"/>
  <c r="M180" i="1"/>
  <c r="N179" i="1"/>
  <c r="M179" i="1"/>
  <c r="N178" i="1"/>
  <c r="M178" i="1"/>
  <c r="N177" i="1"/>
  <c r="M177" i="1"/>
  <c r="N176" i="1"/>
  <c r="M176" i="1"/>
  <c r="N175" i="1"/>
  <c r="M175" i="1"/>
  <c r="N174" i="1"/>
  <c r="M174" i="1"/>
  <c r="N173" i="1"/>
  <c r="M173" i="1"/>
  <c r="N172" i="1"/>
  <c r="M172" i="1"/>
  <c r="N171" i="1"/>
  <c r="M171" i="1"/>
  <c r="N170" i="1"/>
  <c r="M170" i="1"/>
  <c r="N169" i="1"/>
  <c r="M169" i="1"/>
  <c r="N168" i="1"/>
  <c r="M168" i="1"/>
  <c r="N167" i="1"/>
  <c r="M167" i="1"/>
  <c r="N166" i="1"/>
  <c r="M166" i="1"/>
  <c r="N165" i="1"/>
  <c r="M165" i="1"/>
  <c r="N164" i="1"/>
  <c r="M164" i="1"/>
  <c r="N163" i="1"/>
  <c r="M163" i="1"/>
  <c r="N162" i="1"/>
  <c r="M162" i="1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5" i="1"/>
  <c r="M145" i="1"/>
  <c r="N135" i="1"/>
  <c r="M135" i="1"/>
  <c r="N134" i="1"/>
  <c r="M134" i="1"/>
  <c r="N133" i="1"/>
  <c r="M133" i="1"/>
  <c r="N132" i="1"/>
  <c r="M132" i="1"/>
  <c r="N131" i="1"/>
  <c r="M131" i="1"/>
  <c r="N108" i="1"/>
  <c r="M108" i="1"/>
  <c r="N107" i="1"/>
  <c r="M107" i="1"/>
  <c r="N102" i="1"/>
  <c r="M102" i="1"/>
  <c r="N101" i="1"/>
  <c r="M101" i="1"/>
  <c r="N100" i="1"/>
  <c r="M100" i="1"/>
  <c r="N99" i="1"/>
  <c r="M99" i="1"/>
  <c r="N98" i="1"/>
  <c r="M98" i="1"/>
  <c r="N97" i="1"/>
  <c r="M97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4" i="1"/>
  <c r="M34" i="1"/>
  <c r="N33" i="1"/>
  <c r="M33" i="1"/>
  <c r="N32" i="1"/>
  <c r="M32" i="1"/>
  <c r="N31" i="1"/>
  <c r="M31" i="1"/>
  <c r="N30" i="1"/>
  <c r="M30" i="1"/>
  <c r="N25" i="1"/>
  <c r="M25" i="1"/>
  <c r="N24" i="1"/>
  <c r="M24" i="1"/>
  <c r="N22" i="1"/>
  <c r="M22" i="1"/>
  <c r="N2" i="1"/>
  <c r="M2" i="1"/>
  <c r="N492" i="1"/>
  <c r="M492" i="1"/>
  <c r="O2" i="1"/>
  <c r="P492" i="1"/>
  <c r="O492" i="1"/>
  <c r="P491" i="1"/>
  <c r="O491" i="1"/>
  <c r="P490" i="1"/>
  <c r="O490" i="1"/>
  <c r="P489" i="1"/>
  <c r="O489" i="1"/>
  <c r="P488" i="1"/>
  <c r="O488" i="1"/>
  <c r="P487" i="1"/>
  <c r="O487" i="1"/>
  <c r="P485" i="1"/>
  <c r="O485" i="1"/>
  <c r="P484" i="1"/>
  <c r="O484" i="1"/>
  <c r="P483" i="1"/>
  <c r="O483" i="1"/>
  <c r="P482" i="1"/>
  <c r="O482" i="1"/>
  <c r="P481" i="1"/>
  <c r="O481" i="1"/>
  <c r="P476" i="1"/>
  <c r="O476" i="1"/>
  <c r="P473" i="1"/>
  <c r="O473" i="1"/>
  <c r="P471" i="1"/>
  <c r="O471" i="1"/>
  <c r="P467" i="1"/>
  <c r="O467" i="1"/>
  <c r="P466" i="1"/>
  <c r="O466" i="1"/>
  <c r="P465" i="1"/>
  <c r="O465" i="1"/>
  <c r="P464" i="1"/>
  <c r="O464" i="1"/>
  <c r="P463" i="1"/>
  <c r="O463" i="1"/>
  <c r="P459" i="1"/>
  <c r="O459" i="1"/>
  <c r="P452" i="1"/>
  <c r="O452" i="1"/>
  <c r="P451" i="1"/>
  <c r="O451" i="1"/>
  <c r="P450" i="1"/>
  <c r="O450" i="1"/>
  <c r="P449" i="1"/>
  <c r="O449" i="1"/>
  <c r="P448" i="1"/>
  <c r="O448" i="1"/>
  <c r="P444" i="1"/>
  <c r="O444" i="1"/>
  <c r="P442" i="1"/>
  <c r="O442" i="1"/>
  <c r="P441" i="1"/>
  <c r="O441" i="1"/>
  <c r="P437" i="1"/>
  <c r="O437" i="1"/>
  <c r="P436" i="1"/>
  <c r="O436" i="1"/>
  <c r="P431" i="1"/>
  <c r="O431" i="1"/>
  <c r="P427" i="1"/>
  <c r="O427" i="1"/>
  <c r="P426" i="1"/>
  <c r="O426" i="1"/>
  <c r="P425" i="1"/>
  <c r="O425" i="1"/>
  <c r="P424" i="1"/>
  <c r="O424" i="1"/>
  <c r="P420" i="1"/>
  <c r="O420" i="1"/>
  <c r="P419" i="1"/>
  <c r="O419" i="1"/>
  <c r="P418" i="1"/>
  <c r="O418" i="1"/>
  <c r="P416" i="1"/>
  <c r="O416" i="1"/>
  <c r="P415" i="1"/>
  <c r="O415" i="1"/>
  <c r="P414" i="1"/>
  <c r="O414" i="1"/>
  <c r="P412" i="1"/>
  <c r="O412" i="1"/>
  <c r="P411" i="1"/>
  <c r="O411" i="1"/>
  <c r="P410" i="1"/>
  <c r="O410" i="1"/>
  <c r="P409" i="1"/>
  <c r="O409" i="1"/>
  <c r="P403" i="1"/>
  <c r="O403" i="1"/>
  <c r="P397" i="1"/>
  <c r="O397" i="1"/>
  <c r="P396" i="1"/>
  <c r="O396" i="1"/>
  <c r="P395" i="1"/>
  <c r="O395" i="1"/>
  <c r="P389" i="1"/>
  <c r="O389" i="1"/>
  <c r="P388" i="1"/>
  <c r="O388" i="1"/>
  <c r="P387" i="1"/>
  <c r="O387" i="1"/>
  <c r="P386" i="1"/>
  <c r="O386" i="1"/>
  <c r="P384" i="1"/>
  <c r="O384" i="1"/>
  <c r="P382" i="1"/>
  <c r="O382" i="1"/>
  <c r="P381" i="1"/>
  <c r="O381" i="1"/>
  <c r="P380" i="1"/>
  <c r="O380" i="1"/>
  <c r="P369" i="1"/>
  <c r="O369" i="1"/>
  <c r="P368" i="1"/>
  <c r="O368" i="1"/>
  <c r="P367" i="1"/>
  <c r="O367" i="1"/>
  <c r="P366" i="1"/>
  <c r="O366" i="1"/>
  <c r="P365" i="1"/>
  <c r="O365" i="1"/>
  <c r="P364" i="1"/>
  <c r="O364" i="1"/>
  <c r="P363" i="1"/>
  <c r="O363" i="1"/>
  <c r="P362" i="1"/>
  <c r="O362" i="1"/>
  <c r="P361" i="1"/>
  <c r="O361" i="1"/>
  <c r="P360" i="1"/>
  <c r="O360" i="1"/>
  <c r="P359" i="1"/>
  <c r="O359" i="1"/>
  <c r="P358" i="1"/>
  <c r="O358" i="1"/>
  <c r="P356" i="1"/>
  <c r="O356" i="1"/>
  <c r="P352" i="1"/>
  <c r="O352" i="1"/>
  <c r="P351" i="1"/>
  <c r="O351" i="1"/>
  <c r="P350" i="1"/>
  <c r="O350" i="1"/>
  <c r="P349" i="1"/>
  <c r="O349" i="1"/>
  <c r="P348" i="1"/>
  <c r="O348" i="1"/>
  <c r="P347" i="1"/>
  <c r="O347" i="1"/>
  <c r="P344" i="1"/>
  <c r="O344" i="1"/>
  <c r="P338" i="1"/>
  <c r="O338" i="1"/>
  <c r="P337" i="1"/>
  <c r="O337" i="1"/>
  <c r="P327" i="1"/>
  <c r="O327" i="1"/>
  <c r="P326" i="1"/>
  <c r="O326" i="1"/>
  <c r="P325" i="1"/>
  <c r="O325" i="1"/>
  <c r="P324" i="1"/>
  <c r="O324" i="1"/>
  <c r="P322" i="1"/>
  <c r="O322" i="1"/>
  <c r="P312" i="1"/>
  <c r="O312" i="1"/>
  <c r="P310" i="1"/>
  <c r="O310" i="1"/>
  <c r="P307" i="1"/>
  <c r="O307" i="1"/>
  <c r="P303" i="1"/>
  <c r="O303" i="1"/>
  <c r="P295" i="1"/>
  <c r="O295" i="1"/>
  <c r="P294" i="1"/>
  <c r="O294" i="1"/>
  <c r="P292" i="1"/>
  <c r="O292" i="1"/>
  <c r="P281" i="1"/>
  <c r="O281" i="1"/>
  <c r="P280" i="1"/>
  <c r="O280" i="1"/>
  <c r="P278" i="1"/>
  <c r="O278" i="1"/>
  <c r="P272" i="1"/>
  <c r="O272" i="1"/>
  <c r="P271" i="1"/>
  <c r="O271" i="1"/>
  <c r="P270" i="1"/>
  <c r="O270" i="1"/>
  <c r="P269" i="1"/>
  <c r="O269" i="1"/>
  <c r="P268" i="1"/>
  <c r="O268" i="1"/>
  <c r="P267" i="1"/>
  <c r="O267" i="1"/>
  <c r="P266" i="1"/>
  <c r="O266" i="1"/>
  <c r="P265" i="1"/>
  <c r="O265" i="1"/>
  <c r="P264" i="1"/>
  <c r="O264" i="1"/>
  <c r="P263" i="1"/>
  <c r="O263" i="1"/>
  <c r="P262" i="1"/>
  <c r="O262" i="1"/>
  <c r="P261" i="1"/>
  <c r="O261" i="1"/>
  <c r="P257" i="1"/>
  <c r="O257" i="1"/>
  <c r="P256" i="1"/>
  <c r="O256" i="1"/>
  <c r="P255" i="1"/>
  <c r="O255" i="1"/>
  <c r="P254" i="1"/>
  <c r="O254" i="1"/>
  <c r="P253" i="1"/>
  <c r="O253" i="1"/>
  <c r="P252" i="1"/>
  <c r="O252" i="1"/>
  <c r="P251" i="1"/>
  <c r="O251" i="1"/>
  <c r="P250" i="1"/>
  <c r="O250" i="1"/>
  <c r="P249" i="1"/>
  <c r="O249" i="1"/>
  <c r="P248" i="1"/>
  <c r="O248" i="1"/>
  <c r="P247" i="1"/>
  <c r="O247" i="1"/>
  <c r="P246" i="1"/>
  <c r="O246" i="1"/>
  <c r="P245" i="1"/>
  <c r="O245" i="1"/>
  <c r="P244" i="1"/>
  <c r="O244" i="1"/>
  <c r="P243" i="1"/>
  <c r="O243" i="1"/>
  <c r="P242" i="1"/>
  <c r="O242" i="1"/>
  <c r="P241" i="1"/>
  <c r="O241" i="1"/>
  <c r="P240" i="1"/>
  <c r="O240" i="1"/>
  <c r="P239" i="1"/>
  <c r="O239" i="1"/>
  <c r="P238" i="1"/>
  <c r="O238" i="1"/>
  <c r="P237" i="1"/>
  <c r="O237" i="1"/>
  <c r="P236" i="1"/>
  <c r="O236" i="1"/>
  <c r="P235" i="1"/>
  <c r="O235" i="1"/>
  <c r="P234" i="1"/>
  <c r="O234" i="1"/>
  <c r="P233" i="1"/>
  <c r="O233" i="1"/>
  <c r="P232" i="1"/>
  <c r="O232" i="1"/>
  <c r="P231" i="1"/>
  <c r="O231" i="1"/>
  <c r="P230" i="1"/>
  <c r="O230" i="1"/>
  <c r="P229" i="1"/>
  <c r="O229" i="1"/>
  <c r="P228" i="1"/>
  <c r="O228" i="1"/>
  <c r="P227" i="1"/>
  <c r="O227" i="1"/>
  <c r="P226" i="1"/>
  <c r="O226" i="1"/>
  <c r="P225" i="1"/>
  <c r="O225" i="1"/>
  <c r="P224" i="1"/>
  <c r="O224" i="1"/>
  <c r="P223" i="1"/>
  <c r="O223" i="1"/>
  <c r="P222" i="1"/>
  <c r="O222" i="1"/>
  <c r="P221" i="1"/>
  <c r="O221" i="1"/>
  <c r="P220" i="1"/>
  <c r="O220" i="1"/>
  <c r="P219" i="1"/>
  <c r="O219" i="1"/>
  <c r="P218" i="1"/>
  <c r="O218" i="1"/>
  <c r="P217" i="1"/>
  <c r="O217" i="1"/>
  <c r="P216" i="1"/>
  <c r="O216" i="1"/>
  <c r="P215" i="1"/>
  <c r="O215" i="1"/>
  <c r="P214" i="1"/>
  <c r="O214" i="1"/>
  <c r="P213" i="1"/>
  <c r="O213" i="1"/>
  <c r="P212" i="1"/>
  <c r="O212" i="1"/>
  <c r="P211" i="1"/>
  <c r="O211" i="1"/>
  <c r="P210" i="1"/>
  <c r="O210" i="1"/>
  <c r="P209" i="1"/>
  <c r="O209" i="1"/>
  <c r="P208" i="1"/>
  <c r="O208" i="1"/>
  <c r="P207" i="1"/>
  <c r="O207" i="1"/>
  <c r="P206" i="1"/>
  <c r="O206" i="1"/>
  <c r="P205" i="1"/>
  <c r="O205" i="1"/>
  <c r="P204" i="1"/>
  <c r="O204" i="1"/>
  <c r="P203" i="1"/>
  <c r="O203" i="1"/>
  <c r="P202" i="1"/>
  <c r="O202" i="1"/>
  <c r="P201" i="1"/>
  <c r="O201" i="1"/>
  <c r="P200" i="1"/>
  <c r="O200" i="1"/>
  <c r="P199" i="1"/>
  <c r="O199" i="1"/>
  <c r="P198" i="1"/>
  <c r="O198" i="1"/>
  <c r="P197" i="1"/>
  <c r="O197" i="1"/>
  <c r="P196" i="1"/>
  <c r="O196" i="1"/>
  <c r="P195" i="1"/>
  <c r="O195" i="1"/>
  <c r="P194" i="1"/>
  <c r="O194" i="1"/>
  <c r="P193" i="1"/>
  <c r="O193" i="1"/>
  <c r="P192" i="1"/>
  <c r="O192" i="1"/>
  <c r="P191" i="1"/>
  <c r="O191" i="1"/>
  <c r="P190" i="1"/>
  <c r="O190" i="1"/>
  <c r="P189" i="1"/>
  <c r="O189" i="1"/>
  <c r="P188" i="1"/>
  <c r="O188" i="1"/>
  <c r="P187" i="1"/>
  <c r="O187" i="1"/>
  <c r="P186" i="1"/>
  <c r="O186" i="1"/>
  <c r="P185" i="1"/>
  <c r="O185" i="1"/>
  <c r="P184" i="1"/>
  <c r="O184" i="1"/>
  <c r="P183" i="1"/>
  <c r="O183" i="1"/>
  <c r="P182" i="1"/>
  <c r="O182" i="1"/>
  <c r="P181" i="1"/>
  <c r="O181" i="1"/>
  <c r="P180" i="1"/>
  <c r="O180" i="1"/>
  <c r="P179" i="1"/>
  <c r="O179" i="1"/>
  <c r="P178" i="1"/>
  <c r="O178" i="1"/>
  <c r="P177" i="1"/>
  <c r="O177" i="1"/>
  <c r="P176" i="1"/>
  <c r="O176" i="1"/>
  <c r="P175" i="1"/>
  <c r="O175" i="1"/>
  <c r="P174" i="1"/>
  <c r="O174" i="1"/>
  <c r="P173" i="1"/>
  <c r="O173" i="1"/>
  <c r="P172" i="1"/>
  <c r="O172" i="1"/>
  <c r="P171" i="1"/>
  <c r="O171" i="1"/>
  <c r="P170" i="1"/>
  <c r="O170" i="1"/>
  <c r="P169" i="1"/>
  <c r="O169" i="1"/>
  <c r="P168" i="1"/>
  <c r="O168" i="1"/>
  <c r="P167" i="1"/>
  <c r="O167" i="1"/>
  <c r="P166" i="1"/>
  <c r="O166" i="1"/>
  <c r="P165" i="1"/>
  <c r="O165" i="1"/>
  <c r="P164" i="1"/>
  <c r="O164" i="1"/>
  <c r="P163" i="1"/>
  <c r="O163" i="1"/>
  <c r="P162" i="1"/>
  <c r="O162" i="1"/>
  <c r="P161" i="1"/>
  <c r="O161" i="1"/>
  <c r="P160" i="1"/>
  <c r="O160" i="1"/>
  <c r="P159" i="1"/>
  <c r="O159" i="1"/>
  <c r="P158" i="1"/>
  <c r="O158" i="1"/>
  <c r="P157" i="1"/>
  <c r="O157" i="1"/>
  <c r="P156" i="1"/>
  <c r="O156" i="1"/>
  <c r="P155" i="1"/>
  <c r="O155" i="1"/>
  <c r="P154" i="1"/>
  <c r="O154" i="1"/>
  <c r="P152" i="1"/>
  <c r="O152" i="1"/>
  <c r="P151" i="1"/>
  <c r="O151" i="1"/>
  <c r="P150" i="1"/>
  <c r="O150" i="1"/>
  <c r="P149" i="1"/>
  <c r="O149" i="1"/>
  <c r="P148" i="1"/>
  <c r="O148" i="1"/>
  <c r="P147" i="1"/>
  <c r="O147" i="1"/>
  <c r="P145" i="1"/>
  <c r="O145" i="1"/>
  <c r="P135" i="1"/>
  <c r="O135" i="1"/>
  <c r="P134" i="1"/>
  <c r="O134" i="1"/>
  <c r="P133" i="1"/>
  <c r="O133" i="1"/>
  <c r="P132" i="1"/>
  <c r="O132" i="1"/>
  <c r="P131" i="1"/>
  <c r="O131" i="1"/>
  <c r="P108" i="1"/>
  <c r="O108" i="1"/>
  <c r="P107" i="1"/>
  <c r="O107" i="1"/>
  <c r="P102" i="1"/>
  <c r="O102" i="1"/>
  <c r="P101" i="1"/>
  <c r="O101" i="1"/>
  <c r="P100" i="1"/>
  <c r="O100" i="1"/>
  <c r="P99" i="1"/>
  <c r="O99" i="1"/>
  <c r="P98" i="1"/>
  <c r="O98" i="1"/>
  <c r="P97" i="1"/>
  <c r="O97" i="1"/>
  <c r="P94" i="1"/>
  <c r="O94" i="1"/>
  <c r="P93" i="1"/>
  <c r="O93" i="1"/>
  <c r="P92" i="1"/>
  <c r="O92" i="1"/>
  <c r="P91" i="1"/>
  <c r="O91" i="1"/>
  <c r="P90" i="1"/>
  <c r="O90" i="1"/>
  <c r="P89" i="1"/>
  <c r="O89" i="1"/>
  <c r="P88" i="1"/>
  <c r="O88" i="1"/>
  <c r="P87" i="1"/>
  <c r="O87" i="1"/>
  <c r="P86" i="1"/>
  <c r="O86" i="1"/>
  <c r="P85" i="1"/>
  <c r="O85" i="1"/>
  <c r="P84" i="1"/>
  <c r="O84" i="1"/>
  <c r="P83" i="1"/>
  <c r="O83" i="1"/>
  <c r="P82" i="1"/>
  <c r="O82" i="1"/>
  <c r="P81" i="1"/>
  <c r="O81" i="1"/>
  <c r="P80" i="1"/>
  <c r="O80" i="1"/>
  <c r="P79" i="1"/>
  <c r="O79" i="1"/>
  <c r="P78" i="1"/>
  <c r="O78" i="1"/>
  <c r="P77" i="1"/>
  <c r="O77" i="1"/>
  <c r="P76" i="1"/>
  <c r="O76" i="1"/>
  <c r="P75" i="1"/>
  <c r="O75" i="1"/>
  <c r="P74" i="1"/>
  <c r="O74" i="1"/>
  <c r="P73" i="1"/>
  <c r="O73" i="1"/>
  <c r="P72" i="1"/>
  <c r="O72" i="1"/>
  <c r="P71" i="1"/>
  <c r="O71" i="1"/>
  <c r="P70" i="1"/>
  <c r="O70" i="1"/>
  <c r="P69" i="1"/>
  <c r="O69" i="1"/>
  <c r="P68" i="1"/>
  <c r="O68" i="1"/>
  <c r="P67" i="1"/>
  <c r="O67" i="1"/>
  <c r="P66" i="1"/>
  <c r="O66" i="1"/>
  <c r="P65" i="1"/>
  <c r="O65" i="1"/>
  <c r="P64" i="1"/>
  <c r="O64" i="1"/>
  <c r="P63" i="1"/>
  <c r="O63" i="1"/>
  <c r="P62" i="1"/>
  <c r="O62" i="1"/>
  <c r="P61" i="1"/>
  <c r="O61" i="1"/>
  <c r="P60" i="1"/>
  <c r="O60" i="1"/>
  <c r="P59" i="1"/>
  <c r="O59" i="1"/>
  <c r="P58" i="1"/>
  <c r="O58" i="1"/>
  <c r="P57" i="1"/>
  <c r="O57" i="1"/>
  <c r="P56" i="1"/>
  <c r="O56" i="1"/>
  <c r="P55" i="1"/>
  <c r="O55" i="1"/>
  <c r="P54" i="1"/>
  <c r="O54" i="1"/>
  <c r="P53" i="1"/>
  <c r="O53" i="1"/>
  <c r="P52" i="1"/>
  <c r="O52" i="1"/>
  <c r="P51" i="1"/>
  <c r="O51" i="1"/>
  <c r="P50" i="1"/>
  <c r="O50" i="1"/>
  <c r="P49" i="1"/>
  <c r="O49" i="1"/>
  <c r="P48" i="1"/>
  <c r="O48" i="1"/>
  <c r="P47" i="1"/>
  <c r="O47" i="1"/>
  <c r="P46" i="1"/>
  <c r="O46" i="1"/>
  <c r="P45" i="1"/>
  <c r="O45" i="1"/>
  <c r="P44" i="1"/>
  <c r="O44" i="1"/>
  <c r="P43" i="1"/>
  <c r="O43" i="1"/>
  <c r="P42" i="1"/>
  <c r="O42" i="1"/>
  <c r="P41" i="1"/>
  <c r="O41" i="1"/>
  <c r="P40" i="1"/>
  <c r="O40" i="1"/>
  <c r="P39" i="1"/>
  <c r="O39" i="1"/>
  <c r="P38" i="1"/>
  <c r="O38" i="1"/>
  <c r="P37" i="1"/>
  <c r="O37" i="1"/>
  <c r="P36" i="1"/>
  <c r="O36" i="1"/>
  <c r="P34" i="1"/>
  <c r="O34" i="1"/>
  <c r="P33" i="1"/>
  <c r="O33" i="1"/>
  <c r="P32" i="1"/>
  <c r="O32" i="1"/>
  <c r="P31" i="1"/>
  <c r="O31" i="1"/>
  <c r="P30" i="1"/>
  <c r="O30" i="1"/>
  <c r="P25" i="1"/>
  <c r="O25" i="1"/>
  <c r="P24" i="1"/>
  <c r="O24" i="1"/>
  <c r="P22" i="1"/>
  <c r="O22" i="1"/>
  <c r="P2" i="1"/>
  <c r="J492" i="1"/>
  <c r="J491" i="1"/>
  <c r="K490" i="1"/>
  <c r="J490" i="1"/>
  <c r="K489" i="1"/>
  <c r="J489" i="1"/>
  <c r="K488" i="1"/>
  <c r="J488" i="1"/>
  <c r="K487" i="1"/>
  <c r="J487" i="1"/>
  <c r="K485" i="1"/>
  <c r="K484" i="1"/>
  <c r="J484" i="1"/>
  <c r="K483" i="1"/>
  <c r="J483" i="1"/>
  <c r="K482" i="1"/>
  <c r="K481" i="1"/>
  <c r="K476" i="1"/>
  <c r="K473" i="1"/>
  <c r="K471" i="1"/>
  <c r="J471" i="1"/>
  <c r="K467" i="1"/>
  <c r="J467" i="1"/>
  <c r="K466" i="1"/>
  <c r="J466" i="1"/>
  <c r="K465" i="1"/>
  <c r="J465" i="1"/>
  <c r="K464" i="1"/>
  <c r="J464" i="1"/>
  <c r="K463" i="1"/>
  <c r="J463" i="1"/>
  <c r="K459" i="1"/>
  <c r="K452" i="1"/>
  <c r="K451" i="1"/>
  <c r="K450" i="1"/>
  <c r="K449" i="1"/>
  <c r="K448" i="1"/>
  <c r="K444" i="1"/>
  <c r="J444" i="1"/>
  <c r="K442" i="1"/>
  <c r="J442" i="1"/>
  <c r="K441" i="1"/>
  <c r="J441" i="1"/>
  <c r="K437" i="1"/>
  <c r="K436" i="1"/>
  <c r="K431" i="1"/>
  <c r="K427" i="1"/>
  <c r="J427" i="1"/>
  <c r="K426" i="1"/>
  <c r="J426" i="1"/>
  <c r="K425" i="1"/>
  <c r="J425" i="1"/>
  <c r="K424" i="1"/>
  <c r="J424" i="1"/>
  <c r="K420" i="1"/>
  <c r="J420" i="1"/>
  <c r="K419" i="1"/>
  <c r="J419" i="1"/>
  <c r="K418" i="1"/>
  <c r="J418" i="1"/>
  <c r="J416" i="1"/>
  <c r="J415" i="1"/>
  <c r="J414" i="1"/>
  <c r="K412" i="1"/>
  <c r="K411" i="1"/>
  <c r="J411" i="1"/>
  <c r="K410" i="1"/>
  <c r="J410" i="1"/>
  <c r="K409" i="1"/>
  <c r="J409" i="1"/>
  <c r="J403" i="1"/>
  <c r="K397" i="1"/>
  <c r="J397" i="1"/>
  <c r="K396" i="1"/>
  <c r="J396" i="1"/>
  <c r="K395" i="1"/>
  <c r="J395" i="1"/>
  <c r="K389" i="1"/>
  <c r="K388" i="1"/>
  <c r="K387" i="1"/>
  <c r="K386" i="1"/>
  <c r="J384" i="1"/>
  <c r="K382" i="1"/>
  <c r="J382" i="1"/>
  <c r="K381" i="1"/>
  <c r="J381" i="1"/>
  <c r="K380" i="1"/>
  <c r="J380" i="1"/>
  <c r="J369" i="1"/>
  <c r="J368" i="1"/>
  <c r="J367" i="1"/>
  <c r="K364" i="1"/>
  <c r="J364" i="1"/>
  <c r="K363" i="1"/>
  <c r="J363" i="1"/>
  <c r="K362" i="1"/>
  <c r="J362" i="1"/>
  <c r="K361" i="1"/>
  <c r="J361" i="1"/>
  <c r="K360" i="1"/>
  <c r="J360" i="1"/>
  <c r="K359" i="1"/>
  <c r="J359" i="1"/>
  <c r="K358" i="1"/>
  <c r="J358" i="1"/>
  <c r="K356" i="1"/>
  <c r="J356" i="1"/>
  <c r="J352" i="1"/>
  <c r="J351" i="1"/>
  <c r="K350" i="1"/>
  <c r="J350" i="1"/>
  <c r="K349" i="1"/>
  <c r="J349" i="1"/>
  <c r="K348" i="1"/>
  <c r="J348" i="1"/>
  <c r="K347" i="1"/>
  <c r="K344" i="1"/>
  <c r="K338" i="1"/>
  <c r="J338" i="1"/>
  <c r="K337" i="1"/>
  <c r="J337" i="1"/>
  <c r="K327" i="1"/>
  <c r="K326" i="1"/>
  <c r="J326" i="1"/>
  <c r="K325" i="1"/>
  <c r="J325" i="1"/>
  <c r="K324" i="1"/>
  <c r="J324" i="1"/>
  <c r="K322" i="1"/>
  <c r="J322" i="1"/>
  <c r="K312" i="1"/>
  <c r="K310" i="1"/>
  <c r="J310" i="1"/>
  <c r="K307" i="1"/>
  <c r="J307" i="1"/>
  <c r="K303" i="1"/>
  <c r="J303" i="1"/>
  <c r="K295" i="1"/>
  <c r="K294" i="1"/>
  <c r="J294" i="1"/>
  <c r="K292" i="1"/>
  <c r="J292" i="1"/>
  <c r="K281" i="1"/>
  <c r="J281" i="1"/>
  <c r="K280" i="1"/>
  <c r="J280" i="1"/>
  <c r="K278" i="1"/>
  <c r="J278" i="1"/>
  <c r="K272" i="1"/>
  <c r="J271" i="1"/>
  <c r="K270" i="1"/>
  <c r="J270" i="1"/>
  <c r="K269" i="1"/>
  <c r="J269" i="1"/>
  <c r="K268" i="1"/>
  <c r="J268" i="1"/>
  <c r="K267" i="1"/>
  <c r="J267" i="1"/>
  <c r="K266" i="1"/>
  <c r="J266" i="1"/>
  <c r="K265" i="1"/>
  <c r="J265" i="1"/>
  <c r="K264" i="1"/>
  <c r="J264" i="1"/>
  <c r="K263" i="1"/>
  <c r="J263" i="1"/>
  <c r="K262" i="1"/>
  <c r="J262" i="1"/>
  <c r="K261" i="1"/>
  <c r="J261" i="1"/>
  <c r="K257" i="1"/>
  <c r="J257" i="1"/>
  <c r="K256" i="1"/>
  <c r="J256" i="1"/>
  <c r="K255" i="1"/>
  <c r="J255" i="1"/>
  <c r="K254" i="1"/>
  <c r="J254" i="1"/>
  <c r="K253" i="1"/>
  <c r="J253" i="1"/>
  <c r="K252" i="1"/>
  <c r="J252" i="1"/>
  <c r="K251" i="1"/>
  <c r="J251" i="1"/>
  <c r="K250" i="1"/>
  <c r="J250" i="1"/>
  <c r="K249" i="1"/>
  <c r="J249" i="1"/>
  <c r="K248" i="1"/>
  <c r="J248" i="1"/>
  <c r="K247" i="1"/>
  <c r="J247" i="1"/>
  <c r="K246" i="1"/>
  <c r="J246" i="1"/>
  <c r="K245" i="1"/>
  <c r="J245" i="1"/>
  <c r="K244" i="1"/>
  <c r="J244" i="1"/>
  <c r="K243" i="1"/>
  <c r="J243" i="1"/>
  <c r="K242" i="1"/>
  <c r="J242" i="1"/>
  <c r="K241" i="1"/>
  <c r="J241" i="1"/>
  <c r="K240" i="1"/>
  <c r="J240" i="1"/>
  <c r="K239" i="1"/>
  <c r="J239" i="1"/>
  <c r="K238" i="1"/>
  <c r="J238" i="1"/>
  <c r="K237" i="1"/>
  <c r="J237" i="1"/>
  <c r="K236" i="1"/>
  <c r="J236" i="1"/>
  <c r="K235" i="1"/>
  <c r="J235" i="1"/>
  <c r="K234" i="1"/>
  <c r="J234" i="1"/>
  <c r="K233" i="1"/>
  <c r="J233" i="1"/>
  <c r="K232" i="1"/>
  <c r="J232" i="1"/>
  <c r="K231" i="1"/>
  <c r="J231" i="1"/>
  <c r="K230" i="1"/>
  <c r="J230" i="1"/>
  <c r="K229" i="1"/>
  <c r="J229" i="1"/>
  <c r="K228" i="1"/>
  <c r="J228" i="1"/>
  <c r="K227" i="1"/>
  <c r="J227" i="1"/>
  <c r="K226" i="1"/>
  <c r="J226" i="1"/>
  <c r="K225" i="1"/>
  <c r="J225" i="1"/>
  <c r="K224" i="1"/>
  <c r="J224" i="1"/>
  <c r="K223" i="1"/>
  <c r="J223" i="1"/>
  <c r="K222" i="1"/>
  <c r="J222" i="1"/>
  <c r="K221" i="1"/>
  <c r="J221" i="1"/>
  <c r="K220" i="1"/>
  <c r="J220" i="1"/>
  <c r="K219" i="1"/>
  <c r="J219" i="1"/>
  <c r="K218" i="1"/>
  <c r="J218" i="1"/>
  <c r="K217" i="1"/>
  <c r="J217" i="1"/>
  <c r="K216" i="1"/>
  <c r="J216" i="1"/>
  <c r="K215" i="1"/>
  <c r="J215" i="1"/>
  <c r="K214" i="1"/>
  <c r="J214" i="1"/>
  <c r="K213" i="1"/>
  <c r="J213" i="1"/>
  <c r="K212" i="1"/>
  <c r="J212" i="1"/>
  <c r="K211" i="1"/>
  <c r="J211" i="1"/>
  <c r="K210" i="1"/>
  <c r="J210" i="1"/>
  <c r="K209" i="1"/>
  <c r="J209" i="1"/>
  <c r="K208" i="1"/>
  <c r="J208" i="1"/>
  <c r="K207" i="1"/>
  <c r="J207" i="1"/>
  <c r="K206" i="1"/>
  <c r="J206" i="1"/>
  <c r="K205" i="1"/>
  <c r="J205" i="1"/>
  <c r="K204" i="1"/>
  <c r="J204" i="1"/>
  <c r="K203" i="1"/>
  <c r="J203" i="1"/>
  <c r="K202" i="1"/>
  <c r="J202" i="1"/>
  <c r="K201" i="1"/>
  <c r="J201" i="1"/>
  <c r="K200" i="1"/>
  <c r="J200" i="1"/>
  <c r="K199" i="1"/>
  <c r="J199" i="1"/>
  <c r="K198" i="1"/>
  <c r="J198" i="1"/>
  <c r="K197" i="1"/>
  <c r="J197" i="1"/>
  <c r="K196" i="1"/>
  <c r="J196" i="1"/>
  <c r="K195" i="1"/>
  <c r="J195" i="1"/>
  <c r="K194" i="1"/>
  <c r="J194" i="1"/>
  <c r="K193" i="1"/>
  <c r="J193" i="1"/>
  <c r="K192" i="1"/>
  <c r="J192" i="1"/>
  <c r="K191" i="1"/>
  <c r="J191" i="1"/>
  <c r="K190" i="1"/>
  <c r="J190" i="1"/>
  <c r="K189" i="1"/>
  <c r="J189" i="1"/>
  <c r="K188" i="1"/>
  <c r="J188" i="1"/>
  <c r="K187" i="1"/>
  <c r="J187" i="1"/>
  <c r="K186" i="1"/>
  <c r="J186" i="1"/>
  <c r="K185" i="1"/>
  <c r="J185" i="1"/>
  <c r="K184" i="1"/>
  <c r="J184" i="1"/>
  <c r="K183" i="1"/>
  <c r="J183" i="1"/>
  <c r="K182" i="1"/>
  <c r="J182" i="1"/>
  <c r="K181" i="1"/>
  <c r="J181" i="1"/>
  <c r="K180" i="1"/>
  <c r="J180" i="1"/>
  <c r="K179" i="1"/>
  <c r="J179" i="1"/>
  <c r="K178" i="1"/>
  <c r="J178" i="1"/>
  <c r="K177" i="1"/>
  <c r="J177" i="1"/>
  <c r="K176" i="1"/>
  <c r="J176" i="1"/>
  <c r="K175" i="1"/>
  <c r="J175" i="1"/>
  <c r="K174" i="1"/>
  <c r="J174" i="1"/>
  <c r="K173" i="1"/>
  <c r="J173" i="1"/>
  <c r="K172" i="1"/>
  <c r="J172" i="1"/>
  <c r="K171" i="1"/>
  <c r="J171" i="1"/>
  <c r="K170" i="1"/>
  <c r="J170" i="1"/>
  <c r="K169" i="1"/>
  <c r="J169" i="1"/>
  <c r="K168" i="1"/>
  <c r="J168" i="1"/>
  <c r="K167" i="1"/>
  <c r="J167" i="1"/>
  <c r="K166" i="1"/>
  <c r="J166" i="1"/>
  <c r="K165" i="1"/>
  <c r="J165" i="1"/>
  <c r="K164" i="1"/>
  <c r="J164" i="1"/>
  <c r="K163" i="1"/>
  <c r="J163" i="1"/>
  <c r="K162" i="1"/>
  <c r="J162" i="1"/>
  <c r="K161" i="1"/>
  <c r="J161" i="1"/>
  <c r="K160" i="1"/>
  <c r="J160" i="1"/>
  <c r="K159" i="1"/>
  <c r="J159" i="1"/>
  <c r="K158" i="1"/>
  <c r="J158" i="1"/>
  <c r="K157" i="1"/>
  <c r="J157" i="1"/>
  <c r="K156" i="1"/>
  <c r="J156" i="1"/>
  <c r="K155" i="1"/>
  <c r="J155" i="1"/>
  <c r="K154" i="1"/>
  <c r="J154" i="1"/>
  <c r="K152" i="1"/>
  <c r="K151" i="1"/>
  <c r="J151" i="1"/>
  <c r="K150" i="1"/>
  <c r="J150" i="1"/>
  <c r="K149" i="1"/>
  <c r="J149" i="1"/>
  <c r="K148" i="1"/>
  <c r="J148" i="1"/>
  <c r="K147" i="1"/>
  <c r="J147" i="1"/>
  <c r="K145" i="1"/>
  <c r="K135" i="1"/>
  <c r="J135" i="1"/>
  <c r="K134" i="1"/>
  <c r="J134" i="1"/>
  <c r="K133" i="1"/>
  <c r="J133" i="1"/>
  <c r="K132" i="1"/>
  <c r="K131" i="1"/>
  <c r="J131" i="1"/>
  <c r="K108" i="1"/>
  <c r="K107" i="1"/>
  <c r="J107" i="1"/>
  <c r="K102" i="1"/>
  <c r="K101" i="1"/>
  <c r="J101" i="1"/>
  <c r="K100" i="1"/>
  <c r="J100" i="1"/>
  <c r="K99" i="1"/>
  <c r="J99" i="1"/>
  <c r="K98" i="1"/>
  <c r="J98" i="1"/>
  <c r="K97" i="1"/>
  <c r="J97" i="1"/>
  <c r="K94" i="1"/>
  <c r="J94" i="1"/>
  <c r="K93" i="1"/>
  <c r="J93" i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K68" i="1"/>
  <c r="J68" i="1"/>
  <c r="K67" i="1"/>
  <c r="J67" i="1"/>
  <c r="K66" i="1"/>
  <c r="J66" i="1"/>
  <c r="K65" i="1"/>
  <c r="J65" i="1"/>
  <c r="K64" i="1"/>
  <c r="J64" i="1"/>
  <c r="K63" i="1"/>
  <c r="J63" i="1"/>
  <c r="K62" i="1"/>
  <c r="J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K36" i="1"/>
  <c r="J36" i="1"/>
  <c r="K34" i="1"/>
  <c r="J34" i="1"/>
  <c r="K33" i="1"/>
  <c r="J33" i="1"/>
  <c r="K32" i="1"/>
  <c r="J32" i="1"/>
  <c r="K31" i="1"/>
  <c r="J31" i="1"/>
  <c r="K30" i="1"/>
  <c r="K25" i="1"/>
  <c r="J25" i="1"/>
  <c r="K24" i="1"/>
  <c r="J24" i="1"/>
  <c r="K22" i="1"/>
  <c r="K2" i="1"/>
  <c r="J2" i="1"/>
  <c r="S22" i="4"/>
  <c r="R22" i="4"/>
  <c r="S21" i="4"/>
  <c r="R21" i="4"/>
  <c r="S20" i="4"/>
  <c r="R20" i="4"/>
  <c r="S19" i="4"/>
  <c r="S18" i="4"/>
  <c r="S17" i="4"/>
  <c r="R17" i="4"/>
  <c r="R16" i="4"/>
  <c r="S15" i="4"/>
  <c r="K366" i="1" s="1"/>
  <c r="R65" i="4"/>
  <c r="R64" i="4"/>
  <c r="R63" i="4"/>
  <c r="R62" i="4"/>
  <c r="R59" i="4"/>
  <c r="R61" i="4"/>
  <c r="R60" i="4"/>
  <c r="R52" i="4"/>
  <c r="R51" i="4"/>
  <c r="R50" i="4"/>
  <c r="R48" i="4"/>
  <c r="R47" i="4"/>
  <c r="R53" i="4"/>
  <c r="R49" i="4"/>
  <c r="R46" i="4"/>
  <c r="R45" i="4"/>
  <c r="R44" i="4"/>
  <c r="R43" i="4"/>
  <c r="R42" i="4"/>
  <c r="R41" i="4"/>
  <c r="R37" i="4"/>
  <c r="R36" i="4"/>
  <c r="R29" i="4"/>
  <c r="R28" i="4"/>
  <c r="R27" i="4"/>
  <c r="J344" i="1" s="1"/>
  <c r="R12" i="4"/>
  <c r="J452" i="1" s="1"/>
  <c r="R8" i="4"/>
  <c r="J482" i="1" s="1"/>
  <c r="R7" i="4"/>
  <c r="J30" i="1" s="1"/>
  <c r="R6" i="4"/>
  <c r="J22" i="1" s="1"/>
  <c r="R5" i="4"/>
  <c r="R58" i="4"/>
  <c r="R57" i="4"/>
  <c r="R56" i="4"/>
  <c r="R55" i="4"/>
  <c r="R40" i="4"/>
  <c r="R39" i="4"/>
  <c r="R38" i="4"/>
  <c r="S33" i="4"/>
  <c r="R31" i="4"/>
  <c r="R30" i="4"/>
  <c r="S28" i="4"/>
  <c r="S25" i="4"/>
  <c r="S24" i="4"/>
  <c r="S14" i="4"/>
  <c r="R13" i="4"/>
  <c r="S11" i="4"/>
  <c r="S10" i="4"/>
  <c r="J145" i="1" l="1"/>
  <c r="K367" i="1"/>
  <c r="K369" i="1"/>
  <c r="K368" i="1"/>
  <c r="J459" i="1"/>
  <c r="J431" i="1"/>
  <c r="K414" i="1"/>
  <c r="K416" i="1"/>
  <c r="K415" i="1"/>
  <c r="K351" i="1"/>
  <c r="K271" i="1"/>
  <c r="K492" i="1"/>
  <c r="K491" i="1"/>
  <c r="K403" i="1"/>
  <c r="K352" i="1"/>
  <c r="K384" i="1"/>
  <c r="J450" i="1"/>
  <c r="J436" i="1"/>
  <c r="J448" i="1"/>
  <c r="J473" i="1"/>
  <c r="J437" i="1"/>
  <c r="J312" i="1"/>
  <c r="J108" i="1"/>
  <c r="J386" i="1"/>
  <c r="J388" i="1"/>
  <c r="J387" i="1"/>
  <c r="J389" i="1"/>
  <c r="J476" i="1"/>
  <c r="J132" i="1"/>
  <c r="J327" i="1"/>
  <c r="J295" i="1"/>
  <c r="J102" i="1"/>
  <c r="J412" i="1"/>
  <c r="J272" i="1"/>
  <c r="J481" i="1"/>
  <c r="J347" i="1"/>
  <c r="J152" i="1"/>
  <c r="J451" i="1"/>
  <c r="K365" i="1"/>
  <c r="J449" i="1"/>
  <c r="J485" i="1"/>
  <c r="J16" i="4" l="1"/>
  <c r="G16" i="4"/>
  <c r="P68" i="4"/>
  <c r="P67" i="4"/>
  <c r="P65" i="4"/>
  <c r="P64" i="4"/>
  <c r="P63" i="4"/>
  <c r="P62" i="4"/>
  <c r="P61" i="4"/>
  <c r="P60" i="4"/>
  <c r="P59" i="4"/>
  <c r="P58" i="4"/>
  <c r="P57" i="4"/>
  <c r="P56" i="4"/>
  <c r="P55" i="4"/>
  <c r="P53" i="4"/>
  <c r="P52" i="4"/>
  <c r="P51" i="4"/>
  <c r="P50" i="4"/>
  <c r="P49" i="4"/>
  <c r="P48" i="4"/>
  <c r="P47" i="4"/>
  <c r="P46" i="4"/>
  <c r="P45" i="4"/>
  <c r="P44" i="4"/>
  <c r="P43" i="4"/>
  <c r="P42" i="4"/>
  <c r="P41" i="4"/>
  <c r="P40" i="4"/>
  <c r="P39" i="4"/>
  <c r="P38" i="4"/>
  <c r="P37" i="4"/>
  <c r="P36" i="4"/>
  <c r="P34" i="4"/>
  <c r="P31" i="4"/>
  <c r="P30" i="4"/>
  <c r="P29" i="4"/>
  <c r="P28" i="4"/>
  <c r="P27" i="4"/>
  <c r="P25" i="4"/>
  <c r="P24" i="4"/>
  <c r="P22" i="4"/>
  <c r="P21" i="4"/>
  <c r="P20" i="4"/>
  <c r="P19" i="4"/>
  <c r="P18" i="4"/>
  <c r="P17" i="4"/>
  <c r="P15" i="4"/>
  <c r="P14" i="4"/>
  <c r="P13" i="4"/>
  <c r="P12" i="4"/>
  <c r="P11" i="4"/>
  <c r="P10" i="4"/>
  <c r="P7" i="4"/>
  <c r="P6" i="4"/>
  <c r="P5" i="4"/>
  <c r="U14" i="4"/>
  <c r="U16" i="4"/>
  <c r="S16" i="4" s="1"/>
  <c r="T19" i="4"/>
  <c r="R19" i="4" s="1"/>
  <c r="T18" i="4"/>
  <c r="R18" i="4" s="1"/>
  <c r="T15" i="4"/>
  <c r="R15" i="4" s="1"/>
  <c r="T10" i="4"/>
  <c r="J366" i="1" l="1"/>
  <c r="J365" i="1"/>
  <c r="P16" i="4"/>
  <c r="Z27" i="4"/>
  <c r="AA11" i="4"/>
  <c r="Z11" i="4"/>
  <c r="AA15" i="4" l="1"/>
  <c r="AA22" i="4"/>
  <c r="AA21" i="4"/>
  <c r="AA20" i="4"/>
  <c r="AA19" i="4"/>
  <c r="AA18" i="4"/>
  <c r="AA17" i="4"/>
  <c r="AA16" i="4"/>
  <c r="Z22" i="4"/>
  <c r="Z21" i="4"/>
  <c r="Z20" i="4"/>
  <c r="Z19" i="4"/>
  <c r="Z18" i="4"/>
  <c r="Z17" i="4"/>
  <c r="Z16" i="4"/>
  <c r="Z15" i="4"/>
  <c r="AA14" i="4"/>
  <c r="Z12" i="4"/>
  <c r="Z13" i="4"/>
  <c r="AA10" i="4"/>
  <c r="I452" i="1"/>
  <c r="I450" i="1"/>
  <c r="I437" i="1"/>
  <c r="I416" i="1"/>
  <c r="I397" i="1"/>
  <c r="I389" i="1"/>
  <c r="I369" i="1"/>
  <c r="I366" i="1"/>
  <c r="I364" i="1"/>
  <c r="I349" i="1"/>
  <c r="I344" i="1"/>
  <c r="I278" i="1"/>
  <c r="I107" i="1"/>
  <c r="I102" i="1"/>
  <c r="I412" i="1"/>
  <c r="I272" i="1"/>
  <c r="I295" i="1"/>
  <c r="I327" i="1"/>
  <c r="I101" i="1"/>
  <c r="I270" i="1"/>
  <c r="I269" i="1"/>
  <c r="I268" i="1"/>
  <c r="I427" i="1"/>
  <c r="I363" i="1"/>
  <c r="I100" i="1"/>
  <c r="I267" i="1"/>
  <c r="I490" i="1"/>
  <c r="I444" i="1"/>
  <c r="I426" i="1"/>
  <c r="I338" i="1"/>
  <c r="I362" i="1"/>
  <c r="I99" i="1"/>
  <c r="I266" i="1"/>
  <c r="I489" i="1"/>
  <c r="I265" i="1"/>
  <c r="I425" i="1"/>
  <c r="I281" i="1"/>
  <c r="I326" i="1"/>
  <c r="I361" i="1"/>
  <c r="I98" i="1"/>
  <c r="I264" i="1"/>
  <c r="I488" i="1"/>
  <c r="I484" i="1"/>
  <c r="I396" i="1"/>
  <c r="I325" i="1"/>
  <c r="I280" i="1"/>
  <c r="I411" i="1"/>
  <c r="I360" i="1"/>
  <c r="I424" i="1"/>
  <c r="I350" i="1"/>
  <c r="I97" i="1"/>
  <c r="I263" i="1"/>
  <c r="I262" i="1"/>
  <c r="I261" i="1"/>
  <c r="I257" i="1"/>
  <c r="I256" i="1"/>
  <c r="I255" i="1"/>
  <c r="I254" i="1"/>
  <c r="I94" i="1"/>
  <c r="I253" i="1"/>
  <c r="I252" i="1"/>
  <c r="I251" i="1"/>
  <c r="I250" i="1"/>
  <c r="I93" i="1"/>
  <c r="I249" i="1"/>
  <c r="I248" i="1"/>
  <c r="I247" i="1"/>
  <c r="I246" i="1"/>
  <c r="I245" i="1"/>
  <c r="I244" i="1"/>
  <c r="I92" i="1"/>
  <c r="I243" i="1"/>
  <c r="I242" i="1"/>
  <c r="I241" i="1"/>
  <c r="I240" i="1"/>
  <c r="I239" i="1"/>
  <c r="I238" i="1"/>
  <c r="I237" i="1"/>
  <c r="I236" i="1"/>
  <c r="I235" i="1"/>
  <c r="I234" i="1"/>
  <c r="I233" i="1"/>
  <c r="I91" i="1"/>
  <c r="I232" i="1"/>
  <c r="I231" i="1"/>
  <c r="I230" i="1"/>
  <c r="I90" i="1"/>
  <c r="I229" i="1"/>
  <c r="I89" i="1"/>
  <c r="I228" i="1"/>
  <c r="I227" i="1"/>
  <c r="I88" i="1"/>
  <c r="I226" i="1"/>
  <c r="I225" i="1"/>
  <c r="I87" i="1"/>
  <c r="I224" i="1"/>
  <c r="I86" i="1"/>
  <c r="I223" i="1"/>
  <c r="I85" i="1"/>
  <c r="I222" i="1"/>
  <c r="I84" i="1"/>
  <c r="I221" i="1"/>
  <c r="I220" i="1"/>
  <c r="I219" i="1"/>
  <c r="I218" i="1"/>
  <c r="I83" i="1"/>
  <c r="I217" i="1"/>
  <c r="I216" i="1"/>
  <c r="I82" i="1"/>
  <c r="I215" i="1"/>
  <c r="I81" i="1"/>
  <c r="I214" i="1"/>
  <c r="I213" i="1"/>
  <c r="I212" i="1"/>
  <c r="I442" i="1"/>
  <c r="I420" i="1"/>
  <c r="I303" i="1"/>
  <c r="I359" i="1"/>
  <c r="I80" i="1"/>
  <c r="I211" i="1"/>
  <c r="I79" i="1"/>
  <c r="I210" i="1"/>
  <c r="I209" i="1"/>
  <c r="I307" i="1"/>
  <c r="I410" i="1"/>
  <c r="I78" i="1"/>
  <c r="I208" i="1"/>
  <c r="I77" i="1"/>
  <c r="I207" i="1"/>
  <c r="I206" i="1"/>
  <c r="I467" i="1"/>
  <c r="I205" i="1"/>
  <c r="I76" i="1"/>
  <c r="I75" i="1"/>
  <c r="I204" i="1"/>
  <c r="I74" i="1"/>
  <c r="I203" i="1"/>
  <c r="I73" i="1"/>
  <c r="I202" i="1"/>
  <c r="I201" i="1"/>
  <c r="I200" i="1"/>
  <c r="I72" i="1"/>
  <c r="I199" i="1"/>
  <c r="I71" i="1"/>
  <c r="I294" i="1"/>
  <c r="I198" i="1"/>
  <c r="I310" i="1"/>
  <c r="I70" i="1"/>
  <c r="I197" i="1"/>
  <c r="I69" i="1"/>
  <c r="I196" i="1"/>
  <c r="I68" i="1"/>
  <c r="I67" i="1"/>
  <c r="I195" i="1"/>
  <c r="I194" i="1"/>
  <c r="I66" i="1"/>
  <c r="I193" i="1"/>
  <c r="I65" i="1"/>
  <c r="I192" i="1"/>
  <c r="I324" i="1"/>
  <c r="I191" i="1"/>
  <c r="I64" i="1"/>
  <c r="I190" i="1"/>
  <c r="I441" i="1"/>
  <c r="I419" i="1"/>
  <c r="I189" i="1"/>
  <c r="I63" i="1"/>
  <c r="I188" i="1"/>
  <c r="I62" i="1"/>
  <c r="I187" i="1"/>
  <c r="I61" i="1"/>
  <c r="I186" i="1"/>
  <c r="I185" i="1"/>
  <c r="I60" i="1"/>
  <c r="I466" i="1"/>
  <c r="I59" i="1"/>
  <c r="I58" i="1"/>
  <c r="I465" i="1"/>
  <c r="I184" i="1"/>
  <c r="I57" i="1"/>
  <c r="I183" i="1"/>
  <c r="I182" i="1"/>
  <c r="I56" i="1"/>
  <c r="I181" i="1"/>
  <c r="I180" i="1"/>
  <c r="I55" i="1"/>
  <c r="I179" i="1"/>
  <c r="I178" i="1"/>
  <c r="I54" i="1"/>
  <c r="I177" i="1"/>
  <c r="I176" i="1"/>
  <c r="I483" i="1"/>
  <c r="I337" i="1"/>
  <c r="I175" i="1"/>
  <c r="I464" i="1"/>
  <c r="I174" i="1"/>
  <c r="I173" i="1"/>
  <c r="I53" i="1"/>
  <c r="I172" i="1"/>
  <c r="I52" i="1"/>
  <c r="I51" i="1"/>
  <c r="I171" i="1"/>
  <c r="I170" i="1"/>
  <c r="I50" i="1"/>
  <c r="I49" i="1"/>
  <c r="I169" i="1"/>
  <c r="I48" i="1"/>
  <c r="I168" i="1"/>
  <c r="I47" i="1"/>
  <c r="I46" i="1"/>
  <c r="I167" i="1"/>
  <c r="I45" i="1"/>
  <c r="I166" i="1"/>
  <c r="I44" i="1"/>
  <c r="I43" i="1"/>
  <c r="I165" i="1"/>
  <c r="I164" i="1"/>
  <c r="I163" i="1"/>
  <c r="I42" i="1"/>
  <c r="I162" i="1"/>
  <c r="I161" i="1"/>
  <c r="I41" i="1"/>
  <c r="I40" i="1"/>
  <c r="I160" i="1"/>
  <c r="I39" i="1"/>
  <c r="I38" i="1"/>
  <c r="I159" i="1"/>
  <c r="I158" i="1"/>
  <c r="I157" i="1"/>
  <c r="I37" i="1"/>
  <c r="I471" i="1"/>
  <c r="I463" i="1"/>
  <c r="I418" i="1"/>
  <c r="I382" i="1"/>
  <c r="I358" i="1"/>
  <c r="I156" i="1"/>
  <c r="I155" i="1"/>
  <c r="I36" i="1"/>
  <c r="I154" i="1"/>
  <c r="I33" i="1"/>
  <c r="I322" i="1"/>
  <c r="I151" i="1"/>
  <c r="I409" i="1"/>
  <c r="I292" i="1"/>
  <c r="I150" i="1"/>
  <c r="I32" i="1"/>
  <c r="I348" i="1"/>
  <c r="I149" i="1"/>
  <c r="I148" i="1"/>
  <c r="I381" i="1"/>
  <c r="I31" i="1"/>
  <c r="I147" i="1"/>
  <c r="I347" i="1"/>
  <c r="I30" i="1"/>
  <c r="I145" i="1"/>
  <c r="I481" i="1"/>
  <c r="I431" i="1"/>
  <c r="I459" i="1"/>
  <c r="I380" i="1"/>
  <c r="I135" i="1"/>
  <c r="I356" i="1"/>
  <c r="I25" i="1"/>
  <c r="I134" i="1"/>
  <c r="I487" i="1"/>
  <c r="I24" i="1"/>
  <c r="I133" i="1"/>
  <c r="I22" i="1"/>
  <c r="I132" i="1"/>
  <c r="I476" i="1"/>
  <c r="I131" i="1"/>
  <c r="I395" i="1"/>
  <c r="I415" i="1"/>
  <c r="I387" i="1"/>
  <c r="I368" i="1"/>
  <c r="I365" i="1"/>
  <c r="I451" i="1"/>
  <c r="I386" i="1"/>
  <c r="I414" i="1"/>
  <c r="I367" i="1"/>
  <c r="I312" i="1"/>
  <c r="I2" i="1"/>
  <c r="I108" i="1"/>
  <c r="I473" i="1"/>
  <c r="I448" i="1"/>
  <c r="I436" i="1"/>
  <c r="H436" i="1"/>
  <c r="J33" i="4"/>
  <c r="J8" i="4"/>
  <c r="L2" i="1"/>
  <c r="X18" i="4"/>
  <c r="X17" i="4"/>
  <c r="X14" i="4"/>
  <c r="J77" i="4" l="1" a="1"/>
  <c r="J77" i="4" s="1"/>
  <c r="J76" i="4" a="1"/>
  <c r="J76" i="4" s="1"/>
  <c r="P8" i="4"/>
  <c r="J85" i="4" a="1"/>
  <c r="J85" i="4" s="1"/>
  <c r="J81" i="4" a="1"/>
  <c r="J81" i="4" s="1"/>
  <c r="J88" i="4" a="1"/>
  <c r="J88" i="4" s="1"/>
  <c r="J84" i="4" a="1"/>
  <c r="J84" i="4" s="1"/>
  <c r="J89" i="4" a="1"/>
  <c r="J89" i="4" s="1"/>
  <c r="J80" i="4" a="1"/>
  <c r="J80" i="4" s="1"/>
  <c r="J83" i="4" a="1"/>
  <c r="J83" i="4" s="1"/>
  <c r="J75" i="4" a="1"/>
  <c r="J75" i="4" s="1"/>
  <c r="J82" i="4" a="1"/>
  <c r="J82" i="4" s="1"/>
  <c r="J74" i="4" a="1"/>
  <c r="J74" i="4" s="1"/>
  <c r="I128" i="1" s="1"/>
  <c r="J73" i="4" a="1"/>
  <c r="J73" i="4" s="1"/>
  <c r="J72" i="4" a="1"/>
  <c r="J72" i="4" s="1"/>
  <c r="J87" i="4" a="1"/>
  <c r="J87" i="4" s="1"/>
  <c r="J79" i="4" a="1"/>
  <c r="J79" i="4" s="1"/>
  <c r="J71" i="4" a="1"/>
  <c r="J71" i="4" s="1"/>
  <c r="J86" i="4" a="1"/>
  <c r="J86" i="4" s="1"/>
  <c r="J78" i="4" a="1"/>
  <c r="J78" i="4" s="1"/>
  <c r="I477" i="1" s="1"/>
  <c r="J70" i="4" a="1"/>
  <c r="J70" i="4" s="1"/>
  <c r="I491" i="1"/>
  <c r="P33" i="4"/>
  <c r="I485" i="1"/>
  <c r="I385" i="1"/>
  <c r="I13" i="1"/>
  <c r="I116" i="1"/>
  <c r="I460" i="1"/>
  <c r="I403" i="1"/>
  <c r="I21" i="1"/>
  <c r="I351" i="1"/>
  <c r="I129" i="1"/>
  <c r="I353" i="1"/>
  <c r="I449" i="1"/>
  <c r="I469" i="1"/>
  <c r="I123" i="1"/>
  <c r="I35" i="1"/>
  <c r="I118" i="1"/>
  <c r="I121" i="1"/>
  <c r="I15" i="1"/>
  <c r="I402" i="1"/>
  <c r="I143" i="1"/>
  <c r="I428" i="1"/>
  <c r="I435" i="1"/>
  <c r="I492" i="1"/>
  <c r="I12" i="1"/>
  <c r="I486" i="1"/>
  <c r="I407" i="1"/>
  <c r="I28" i="1"/>
  <c r="I152" i="1"/>
  <c r="I271" i="1"/>
  <c r="I352" i="1"/>
  <c r="I117" i="1"/>
  <c r="I14" i="1"/>
  <c r="I343" i="1"/>
  <c r="I34" i="1"/>
  <c r="I357" i="1"/>
  <c r="I384" i="1"/>
  <c r="I404" i="1"/>
  <c r="I479" i="1"/>
  <c r="I345" i="1"/>
  <c r="I401" i="1"/>
  <c r="I433" i="1"/>
  <c r="I482" i="1"/>
  <c r="I311" i="1"/>
  <c r="I468" i="1"/>
  <c r="I400" i="1"/>
  <c r="I370" i="1"/>
  <c r="I432" i="1"/>
  <c r="I461" i="1"/>
  <c r="I373" i="1"/>
  <c r="I474" i="1"/>
  <c r="I374" i="1"/>
  <c r="I388" i="1"/>
  <c r="X33" i="4"/>
  <c r="V28" i="4"/>
  <c r="H452" i="1"/>
  <c r="H450" i="1"/>
  <c r="H437" i="1"/>
  <c r="H416" i="1"/>
  <c r="H397" i="1"/>
  <c r="H389" i="1"/>
  <c r="H369" i="1"/>
  <c r="H366" i="1"/>
  <c r="H364" i="1"/>
  <c r="H349" i="1"/>
  <c r="H344" i="1"/>
  <c r="H278" i="1"/>
  <c r="H107" i="1"/>
  <c r="H102" i="1"/>
  <c r="H412" i="1"/>
  <c r="H272" i="1"/>
  <c r="H295" i="1"/>
  <c r="H327" i="1"/>
  <c r="H101" i="1"/>
  <c r="H270" i="1"/>
  <c r="H269" i="1"/>
  <c r="H268" i="1"/>
  <c r="H427" i="1"/>
  <c r="H363" i="1"/>
  <c r="H100" i="1"/>
  <c r="H267" i="1"/>
  <c r="H490" i="1"/>
  <c r="H444" i="1"/>
  <c r="H426" i="1"/>
  <c r="H338" i="1"/>
  <c r="H362" i="1"/>
  <c r="H99" i="1"/>
  <c r="H266" i="1"/>
  <c r="H489" i="1"/>
  <c r="H265" i="1"/>
  <c r="H425" i="1"/>
  <c r="H281" i="1"/>
  <c r="H326" i="1"/>
  <c r="H361" i="1"/>
  <c r="H98" i="1"/>
  <c r="H264" i="1"/>
  <c r="H488" i="1"/>
  <c r="H484" i="1"/>
  <c r="H396" i="1"/>
  <c r="H325" i="1"/>
  <c r="H280" i="1"/>
  <c r="H411" i="1"/>
  <c r="H360" i="1"/>
  <c r="H424" i="1"/>
  <c r="H350" i="1"/>
  <c r="H97" i="1"/>
  <c r="H263" i="1"/>
  <c r="H262" i="1"/>
  <c r="H261" i="1"/>
  <c r="H257" i="1"/>
  <c r="H256" i="1"/>
  <c r="H255" i="1"/>
  <c r="H254" i="1"/>
  <c r="H94" i="1"/>
  <c r="H253" i="1"/>
  <c r="H252" i="1"/>
  <c r="H251" i="1"/>
  <c r="H250" i="1"/>
  <c r="H93" i="1"/>
  <c r="H249" i="1"/>
  <c r="H248" i="1"/>
  <c r="H247" i="1"/>
  <c r="H246" i="1"/>
  <c r="H245" i="1"/>
  <c r="H244" i="1"/>
  <c r="H92" i="1"/>
  <c r="H243" i="1"/>
  <c r="H242" i="1"/>
  <c r="H241" i="1"/>
  <c r="H240" i="1"/>
  <c r="H239" i="1"/>
  <c r="H238" i="1"/>
  <c r="H237" i="1"/>
  <c r="H236" i="1"/>
  <c r="H235" i="1"/>
  <c r="H234" i="1"/>
  <c r="H233" i="1"/>
  <c r="H91" i="1"/>
  <c r="H232" i="1"/>
  <c r="H231" i="1"/>
  <c r="H230" i="1"/>
  <c r="H90" i="1"/>
  <c r="H229" i="1"/>
  <c r="H89" i="1"/>
  <c r="H228" i="1"/>
  <c r="H227" i="1"/>
  <c r="H88" i="1"/>
  <c r="H226" i="1"/>
  <c r="H225" i="1"/>
  <c r="H87" i="1"/>
  <c r="H224" i="1"/>
  <c r="H86" i="1"/>
  <c r="H223" i="1"/>
  <c r="H85" i="1"/>
  <c r="H222" i="1"/>
  <c r="H84" i="1"/>
  <c r="H221" i="1"/>
  <c r="H220" i="1"/>
  <c r="H219" i="1"/>
  <c r="H218" i="1"/>
  <c r="H83" i="1"/>
  <c r="H217" i="1"/>
  <c r="H216" i="1"/>
  <c r="H82" i="1"/>
  <c r="H215" i="1"/>
  <c r="H81" i="1"/>
  <c r="H214" i="1"/>
  <c r="H213" i="1"/>
  <c r="H212" i="1"/>
  <c r="H442" i="1"/>
  <c r="H420" i="1"/>
  <c r="H303" i="1"/>
  <c r="H359" i="1"/>
  <c r="H80" i="1"/>
  <c r="H211" i="1"/>
  <c r="H79" i="1"/>
  <c r="H210" i="1"/>
  <c r="H209" i="1"/>
  <c r="H307" i="1"/>
  <c r="H410" i="1"/>
  <c r="H78" i="1"/>
  <c r="H208" i="1"/>
  <c r="H77" i="1"/>
  <c r="H207" i="1"/>
  <c r="H206" i="1"/>
  <c r="H467" i="1"/>
  <c r="H205" i="1"/>
  <c r="H76" i="1"/>
  <c r="H75" i="1"/>
  <c r="H204" i="1"/>
  <c r="H74" i="1"/>
  <c r="H203" i="1"/>
  <c r="H73" i="1"/>
  <c r="H202" i="1"/>
  <c r="H201" i="1"/>
  <c r="H200" i="1"/>
  <c r="H72" i="1"/>
  <c r="H199" i="1"/>
  <c r="H71" i="1"/>
  <c r="H294" i="1"/>
  <c r="H198" i="1"/>
  <c r="H310" i="1"/>
  <c r="H70" i="1"/>
  <c r="H197" i="1"/>
  <c r="H69" i="1"/>
  <c r="H196" i="1"/>
  <c r="H68" i="1"/>
  <c r="H67" i="1"/>
  <c r="H195" i="1"/>
  <c r="H194" i="1"/>
  <c r="H66" i="1"/>
  <c r="H193" i="1"/>
  <c r="H65" i="1"/>
  <c r="H192" i="1"/>
  <c r="H324" i="1"/>
  <c r="H191" i="1"/>
  <c r="H64" i="1"/>
  <c r="H190" i="1"/>
  <c r="H441" i="1"/>
  <c r="H419" i="1"/>
  <c r="H189" i="1"/>
  <c r="H63" i="1"/>
  <c r="H188" i="1"/>
  <c r="H62" i="1"/>
  <c r="H187" i="1"/>
  <c r="H61" i="1"/>
  <c r="H186" i="1"/>
  <c r="H185" i="1"/>
  <c r="H60" i="1"/>
  <c r="H466" i="1"/>
  <c r="H59" i="1"/>
  <c r="H58" i="1"/>
  <c r="H465" i="1"/>
  <c r="H184" i="1"/>
  <c r="H57" i="1"/>
  <c r="H183" i="1"/>
  <c r="H182" i="1"/>
  <c r="H56" i="1"/>
  <c r="H181" i="1"/>
  <c r="H180" i="1"/>
  <c r="H55" i="1"/>
  <c r="H179" i="1"/>
  <c r="H178" i="1"/>
  <c r="H54" i="1"/>
  <c r="H177" i="1"/>
  <c r="H176" i="1"/>
  <c r="H483" i="1"/>
  <c r="H337" i="1"/>
  <c r="H175" i="1"/>
  <c r="H464" i="1"/>
  <c r="H174" i="1"/>
  <c r="H173" i="1"/>
  <c r="H53" i="1"/>
  <c r="H172" i="1"/>
  <c r="H52" i="1"/>
  <c r="H51" i="1"/>
  <c r="H171" i="1"/>
  <c r="H170" i="1"/>
  <c r="H50" i="1"/>
  <c r="H49" i="1"/>
  <c r="H169" i="1"/>
  <c r="H48" i="1"/>
  <c r="H168" i="1"/>
  <c r="H47" i="1"/>
  <c r="H46" i="1"/>
  <c r="H167" i="1"/>
  <c r="H45" i="1"/>
  <c r="H166" i="1"/>
  <c r="H44" i="1"/>
  <c r="H43" i="1"/>
  <c r="H165" i="1"/>
  <c r="H164" i="1"/>
  <c r="H163" i="1"/>
  <c r="H42" i="1"/>
  <c r="H162" i="1"/>
  <c r="H161" i="1"/>
  <c r="H41" i="1"/>
  <c r="H40" i="1"/>
  <c r="H160" i="1"/>
  <c r="H39" i="1"/>
  <c r="H38" i="1"/>
  <c r="H159" i="1"/>
  <c r="H158" i="1"/>
  <c r="H157" i="1"/>
  <c r="H37" i="1"/>
  <c r="H471" i="1"/>
  <c r="H463" i="1"/>
  <c r="H418" i="1"/>
  <c r="H382" i="1"/>
  <c r="H358" i="1"/>
  <c r="H156" i="1"/>
  <c r="H155" i="1"/>
  <c r="H36" i="1"/>
  <c r="H154" i="1"/>
  <c r="H33" i="1"/>
  <c r="H322" i="1"/>
  <c r="H151" i="1"/>
  <c r="H409" i="1"/>
  <c r="H292" i="1"/>
  <c r="H150" i="1"/>
  <c r="H32" i="1"/>
  <c r="H348" i="1"/>
  <c r="H149" i="1"/>
  <c r="H148" i="1"/>
  <c r="H381" i="1"/>
  <c r="H31" i="1"/>
  <c r="H147" i="1"/>
  <c r="H347" i="1"/>
  <c r="H30" i="1"/>
  <c r="H145" i="1"/>
  <c r="H481" i="1"/>
  <c r="H431" i="1"/>
  <c r="H459" i="1"/>
  <c r="H380" i="1"/>
  <c r="H135" i="1"/>
  <c r="H356" i="1"/>
  <c r="H25" i="1"/>
  <c r="H134" i="1"/>
  <c r="H487" i="1"/>
  <c r="H24" i="1"/>
  <c r="H133" i="1"/>
  <c r="H22" i="1"/>
  <c r="H132" i="1"/>
  <c r="H476" i="1"/>
  <c r="H131" i="1"/>
  <c r="H395" i="1"/>
  <c r="H415" i="1"/>
  <c r="H387" i="1"/>
  <c r="H368" i="1"/>
  <c r="H365" i="1"/>
  <c r="H451" i="1"/>
  <c r="H386" i="1"/>
  <c r="H414" i="1"/>
  <c r="H367" i="1"/>
  <c r="H312" i="1"/>
  <c r="H2" i="1"/>
  <c r="H108" i="1"/>
  <c r="H473" i="1"/>
  <c r="H448" i="1"/>
  <c r="G33" i="4"/>
  <c r="H403" i="1" s="1"/>
  <c r="G8" i="4"/>
  <c r="G79" i="4" s="1" a="1"/>
  <c r="G79" i="4" s="1"/>
  <c r="I259" i="1" l="1"/>
  <c r="I376" i="1"/>
  <c r="I342" i="1"/>
  <c r="I284" i="1"/>
  <c r="I439" i="1"/>
  <c r="I440" i="1"/>
  <c r="I275" i="1"/>
  <c r="I142" i="1"/>
  <c r="I260" i="1"/>
  <c r="I456" i="1"/>
  <c r="I153" i="1"/>
  <c r="I282" i="1"/>
  <c r="I375" i="1"/>
  <c r="I19" i="1"/>
  <c r="I110" i="1"/>
  <c r="I8" i="1"/>
  <c r="I309" i="1"/>
  <c r="S87" i="4" a="1"/>
  <c r="S87" i="4" s="1"/>
  <c r="S72" i="4" a="1"/>
  <c r="S72" i="4" s="1"/>
  <c r="S76" i="4" a="1"/>
  <c r="S76" i="4" s="1"/>
  <c r="R70" i="4" a="1"/>
  <c r="R70" i="4" s="1"/>
  <c r="S71" i="4" a="1"/>
  <c r="S71" i="4" s="1"/>
  <c r="R71" i="4" a="1"/>
  <c r="R71" i="4" s="1"/>
  <c r="Q71" i="4" s="1"/>
  <c r="S74" i="4" a="1"/>
  <c r="S74" i="4" s="1"/>
  <c r="R82" i="4" a="1"/>
  <c r="R82" i="4" s="1"/>
  <c r="R85" i="4" a="1"/>
  <c r="R85" i="4" s="1"/>
  <c r="R89" i="4" a="1"/>
  <c r="R89" i="4" s="1"/>
  <c r="J284" i="1" s="1"/>
  <c r="S73" i="4" a="1"/>
  <c r="S73" i="4" s="1"/>
  <c r="S84" i="4" a="1"/>
  <c r="S84" i="4" s="1"/>
  <c r="R75" i="4" a="1"/>
  <c r="R75" i="4" s="1"/>
  <c r="Q75" i="4" s="1"/>
  <c r="R73" i="4" a="1"/>
  <c r="R73" i="4" s="1"/>
  <c r="S88" i="4" a="1"/>
  <c r="S88" i="4" s="1"/>
  <c r="S79" i="4" a="1"/>
  <c r="S79" i="4" s="1"/>
  <c r="S83" i="4" a="1"/>
  <c r="S83" i="4" s="1"/>
  <c r="S77" i="4" a="1"/>
  <c r="S77" i="4" s="1"/>
  <c r="R81" i="4" a="1"/>
  <c r="R81" i="4" s="1"/>
  <c r="R88" i="4" a="1"/>
  <c r="R88" i="4" s="1"/>
  <c r="Q88" i="4" s="1"/>
  <c r="R79" i="4" a="1"/>
  <c r="R79" i="4" s="1"/>
  <c r="S89" i="4" a="1"/>
  <c r="S89" i="4" s="1"/>
  <c r="K284" i="1" s="1"/>
  <c r="R77" i="4" a="1"/>
  <c r="R77" i="4" s="1"/>
  <c r="Q77" i="4" s="1"/>
  <c r="R78" i="4" a="1"/>
  <c r="R78" i="4" s="1"/>
  <c r="R76" i="4" a="1"/>
  <c r="R76" i="4" s="1"/>
  <c r="S86" i="4" a="1"/>
  <c r="S86" i="4" s="1"/>
  <c r="R86" i="4" a="1"/>
  <c r="R86" i="4" s="1"/>
  <c r="Q86" i="4" s="1"/>
  <c r="S75" i="4" a="1"/>
  <c r="S75" i="4" s="1"/>
  <c r="S70" i="4" a="1"/>
  <c r="S70" i="4" s="1"/>
  <c r="R72" i="4" a="1"/>
  <c r="R72" i="4" s="1"/>
  <c r="S78" i="4" a="1"/>
  <c r="S78" i="4" s="1"/>
  <c r="S82" i="4" a="1"/>
  <c r="S82" i="4" s="1"/>
  <c r="R74" i="4" a="1"/>
  <c r="R74" i="4" s="1"/>
  <c r="S81" i="4" a="1"/>
  <c r="S81" i="4" s="1"/>
  <c r="R87" i="4" a="1"/>
  <c r="R87" i="4" s="1"/>
  <c r="Q87" i="4" s="1"/>
  <c r="R80" i="4" a="1"/>
  <c r="R80" i="4" s="1"/>
  <c r="Q80" i="4" s="1"/>
  <c r="S80" i="4" a="1"/>
  <c r="S80" i="4" s="1"/>
  <c r="R83" i="4" a="1"/>
  <c r="R83" i="4" s="1"/>
  <c r="S85" i="4" a="1"/>
  <c r="S85" i="4" s="1"/>
  <c r="R84" i="4" a="1"/>
  <c r="R84" i="4" s="1"/>
  <c r="I138" i="1"/>
  <c r="I333" i="1"/>
  <c r="I27" i="1"/>
  <c r="I336" i="1"/>
  <c r="I478" i="1"/>
  <c r="I470" i="1"/>
  <c r="I140" i="1"/>
  <c r="I339" i="1"/>
  <c r="I455" i="1"/>
  <c r="I458" i="1"/>
  <c r="I332" i="1"/>
  <c r="I136" i="1"/>
  <c r="I392" i="1"/>
  <c r="I334" i="1"/>
  <c r="I454" i="1"/>
  <c r="I457" i="1"/>
  <c r="I26" i="1"/>
  <c r="I480" i="1"/>
  <c r="I146" i="1"/>
  <c r="I144" i="1"/>
  <c r="I299" i="1"/>
  <c r="I413" i="1"/>
  <c r="I298" i="1"/>
  <c r="I29" i="1"/>
  <c r="I453" i="1"/>
  <c r="I301" i="1"/>
  <c r="I434" i="1"/>
  <c r="I331" i="1"/>
  <c r="I304" i="1"/>
  <c r="I321" i="1"/>
  <c r="I408" i="1"/>
  <c r="I462" i="1"/>
  <c r="I300" i="1"/>
  <c r="I137" i="1"/>
  <c r="I139" i="1"/>
  <c r="I306" i="1"/>
  <c r="AH89" i="4" a="1"/>
  <c r="AH89" i="4" s="1"/>
  <c r="P284" i="1" s="1"/>
  <c r="AG81" i="4" a="1"/>
  <c r="AG81" i="4" s="1"/>
  <c r="AG78" i="4" a="1"/>
  <c r="AG78" i="4" s="1"/>
  <c r="AH83" i="4" a="1"/>
  <c r="AH83" i="4" s="1"/>
  <c r="AG70" i="4" a="1"/>
  <c r="AG70" i="4" s="1"/>
  <c r="AH85" i="4" a="1"/>
  <c r="AH85" i="4" s="1"/>
  <c r="AH88" i="4" a="1"/>
  <c r="AH88" i="4" s="1"/>
  <c r="AG88" i="4" a="1"/>
  <c r="AG88" i="4" s="1"/>
  <c r="AH71" i="4" a="1"/>
  <c r="AH71" i="4" s="1"/>
  <c r="AH86" i="4" a="1"/>
  <c r="AH86" i="4" s="1"/>
  <c r="AH81" i="4" a="1"/>
  <c r="AH81" i="4" s="1"/>
  <c r="AH84" i="4" a="1"/>
  <c r="AH84" i="4" s="1"/>
  <c r="AG84" i="4" a="1"/>
  <c r="AG84" i="4" s="1"/>
  <c r="AG87" i="4" a="1"/>
  <c r="AG87" i="4" s="1"/>
  <c r="AH82" i="4" a="1"/>
  <c r="AH82" i="4" s="1"/>
  <c r="AH77" i="4" a="1"/>
  <c r="AH77" i="4" s="1"/>
  <c r="AH80" i="4" a="1"/>
  <c r="AH80" i="4" s="1"/>
  <c r="AG80" i="4" a="1"/>
  <c r="AG80" i="4" s="1"/>
  <c r="AG83" i="4" a="1"/>
  <c r="AG83" i="4" s="1"/>
  <c r="AH78" i="4" a="1"/>
  <c r="AH78" i="4" s="1"/>
  <c r="AH79" i="4" a="1"/>
  <c r="AH79" i="4" s="1"/>
  <c r="AG74" i="4" a="1"/>
  <c r="AG74" i="4" s="1"/>
  <c r="AH73" i="4" a="1"/>
  <c r="AH73" i="4" s="1"/>
  <c r="AH76" i="4" a="1"/>
  <c r="AH76" i="4" s="1"/>
  <c r="AG76" i="4" a="1"/>
  <c r="AG76" i="4" s="1"/>
  <c r="AG79" i="4" a="1"/>
  <c r="AG79" i="4" s="1"/>
  <c r="AH74" i="4" a="1"/>
  <c r="AH74" i="4" s="1"/>
  <c r="AH70" i="4" a="1"/>
  <c r="AH70" i="4" s="1"/>
  <c r="AG73" i="4" a="1"/>
  <c r="AG73" i="4" s="1"/>
  <c r="AH72" i="4" a="1"/>
  <c r="AH72" i="4" s="1"/>
  <c r="AH75" i="4" a="1"/>
  <c r="AH75" i="4" s="1"/>
  <c r="AG75" i="4" a="1"/>
  <c r="AG75" i="4" s="1"/>
  <c r="AG82" i="4" a="1"/>
  <c r="AG82" i="4" s="1"/>
  <c r="AG89" i="4" a="1"/>
  <c r="AG89" i="4" s="1"/>
  <c r="O284" i="1" s="1"/>
  <c r="AG72" i="4" a="1"/>
  <c r="AG72" i="4" s="1"/>
  <c r="AG77" i="4" a="1"/>
  <c r="AG77" i="4" s="1"/>
  <c r="AG71" i="4" a="1"/>
  <c r="AG71" i="4" s="1"/>
  <c r="AG86" i="4" a="1"/>
  <c r="AG86" i="4" s="1"/>
  <c r="AG85" i="4" a="1"/>
  <c r="AG85" i="4" s="1"/>
  <c r="AH87" i="4" a="1"/>
  <c r="AH87" i="4" s="1"/>
  <c r="I417" i="1"/>
  <c r="AE89" i="4" a="1"/>
  <c r="AE89" i="4" s="1"/>
  <c r="N284" i="1" s="1"/>
  <c r="AD89" i="4" a="1"/>
  <c r="AD89" i="4" s="1"/>
  <c r="M284" i="1" s="1"/>
  <c r="AD72" i="4" a="1"/>
  <c r="AD72" i="4" s="1"/>
  <c r="AD88" i="4" a="1"/>
  <c r="AD88" i="4" s="1"/>
  <c r="AE82" i="4" a="1"/>
  <c r="AE82" i="4" s="1"/>
  <c r="AD73" i="4" a="1"/>
  <c r="AD73" i="4" s="1"/>
  <c r="AE83" i="4" a="1"/>
  <c r="AE83" i="4" s="1"/>
  <c r="AD85" i="4" a="1"/>
  <c r="AD85" i="4" s="1"/>
  <c r="AE71" i="4" a="1"/>
  <c r="AE71" i="4" s="1"/>
  <c r="AD78" i="4" a="1"/>
  <c r="AD78" i="4" s="1"/>
  <c r="AE70" i="4" a="1"/>
  <c r="AE70" i="4" s="1"/>
  <c r="AE86" i="4" a="1"/>
  <c r="AE86" i="4" s="1"/>
  <c r="AD75" i="4" a="1"/>
  <c r="AD75" i="4" s="1"/>
  <c r="AE87" i="4" a="1"/>
  <c r="AE87" i="4" s="1"/>
  <c r="AE84" i="4" a="1"/>
  <c r="AE84" i="4" s="1"/>
  <c r="AE85" i="4" a="1"/>
  <c r="AE85" i="4" s="1"/>
  <c r="AD76" i="4" a="1"/>
  <c r="AD76" i="4" s="1"/>
  <c r="AE76" i="4" a="1"/>
  <c r="AE76" i="4" s="1"/>
  <c r="AE88" i="4" a="1"/>
  <c r="AE88" i="4" s="1"/>
  <c r="AD79" i="4" a="1"/>
  <c r="AD79" i="4" s="1"/>
  <c r="AE73" i="4" a="1"/>
  <c r="AE73" i="4" s="1"/>
  <c r="AD77" i="4" a="1"/>
  <c r="AD77" i="4" s="1"/>
  <c r="AD70" i="4" a="1"/>
  <c r="AD70" i="4" s="1"/>
  <c r="AE80" i="4" a="1"/>
  <c r="AE80" i="4" s="1"/>
  <c r="AD71" i="4" a="1"/>
  <c r="AD71" i="4" s="1"/>
  <c r="AD81" i="4" a="1"/>
  <c r="AD81" i="4" s="1"/>
  <c r="AE77" i="4" a="1"/>
  <c r="AE77" i="4" s="1"/>
  <c r="AD80" i="4" a="1"/>
  <c r="AD80" i="4" s="1"/>
  <c r="AD74" i="4" a="1"/>
  <c r="AD74" i="4" s="1"/>
  <c r="AD84" i="4" a="1"/>
  <c r="AD84" i="4" s="1"/>
  <c r="AE74" i="4" a="1"/>
  <c r="AE74" i="4" s="1"/>
  <c r="AD87" i="4" a="1"/>
  <c r="AD87" i="4" s="1"/>
  <c r="AE75" i="4" a="1"/>
  <c r="AE75" i="4" s="1"/>
  <c r="AD82" i="4" a="1"/>
  <c r="AD82" i="4" s="1"/>
  <c r="AD83" i="4" a="1"/>
  <c r="AD83" i="4" s="1"/>
  <c r="AD86" i="4" a="1"/>
  <c r="AD86" i="4" s="1"/>
  <c r="AE78" i="4" a="1"/>
  <c r="AE78" i="4" s="1"/>
  <c r="AE72" i="4" a="1"/>
  <c r="AE72" i="4" s="1"/>
  <c r="AE79" i="4" a="1"/>
  <c r="AE79" i="4" s="1"/>
  <c r="AE81" i="4" a="1"/>
  <c r="AE81" i="4" s="1"/>
  <c r="I398" i="1"/>
  <c r="I103" i="1"/>
  <c r="I447" i="1"/>
  <c r="I472" i="1"/>
  <c r="I371" i="1"/>
  <c r="I445" i="1"/>
  <c r="I23" i="1"/>
  <c r="I106" i="1"/>
  <c r="I372" i="1"/>
  <c r="I378" i="1"/>
  <c r="I297" i="1"/>
  <c r="I315" i="1"/>
  <c r="I105" i="1"/>
  <c r="I329" i="1"/>
  <c r="I130" i="1"/>
  <c r="I296" i="1"/>
  <c r="I328" i="1"/>
  <c r="I406" i="1"/>
  <c r="I104" i="1"/>
  <c r="I438" i="1"/>
  <c r="I317" i="1"/>
  <c r="I276" i="1"/>
  <c r="I3" i="1"/>
  <c r="I291" i="1"/>
  <c r="I391" i="1"/>
  <c r="I114" i="1"/>
  <c r="I9" i="1"/>
  <c r="I122" i="1"/>
  <c r="I379" i="1"/>
  <c r="I394" i="1"/>
  <c r="I274" i="1"/>
  <c r="I273" i="1"/>
  <c r="I20" i="1"/>
  <c r="I277" i="1"/>
  <c r="I287" i="1"/>
  <c r="I96" i="1"/>
  <c r="I354" i="1"/>
  <c r="I330" i="1"/>
  <c r="I16" i="1"/>
  <c r="I346" i="1"/>
  <c r="I335" i="1"/>
  <c r="I127" i="1"/>
  <c r="I475" i="1"/>
  <c r="I340" i="1"/>
  <c r="I320" i="1"/>
  <c r="I124" i="1"/>
  <c r="I141" i="1"/>
  <c r="I119" i="1"/>
  <c r="I383" i="1"/>
  <c r="U80" i="4" a="1"/>
  <c r="U80" i="4" s="1"/>
  <c r="I258" i="1"/>
  <c r="X89" i="4" a="1"/>
  <c r="X89" i="4" s="1"/>
  <c r="I390" i="1"/>
  <c r="U70" i="4" a="1"/>
  <c r="U70" i="4" s="1"/>
  <c r="X88" i="4" a="1"/>
  <c r="X88" i="4" s="1"/>
  <c r="V88" i="4" a="1"/>
  <c r="V88" i="4" s="1"/>
  <c r="W70" i="4" a="1"/>
  <c r="W70" i="4" s="1"/>
  <c r="V82" i="4" a="1"/>
  <c r="V82" i="4" s="1"/>
  <c r="I313" i="1"/>
  <c r="I120" i="1"/>
  <c r="I319" i="1"/>
  <c r="X83" i="4" a="1"/>
  <c r="X83" i="4" s="1"/>
  <c r="I10" i="1"/>
  <c r="I112" i="1"/>
  <c r="I293" i="1"/>
  <c r="I316" i="1"/>
  <c r="I11" i="1"/>
  <c r="I6" i="1"/>
  <c r="X85" i="4" a="1"/>
  <c r="X85" i="4" s="1"/>
  <c r="W83" i="4" a="1"/>
  <c r="W83" i="4" s="1"/>
  <c r="T87" i="4" a="1"/>
  <c r="T87" i="4" s="1"/>
  <c r="I355" i="1"/>
  <c r="I113" i="1"/>
  <c r="I115" i="1"/>
  <c r="I126" i="1"/>
  <c r="I285" i="1"/>
  <c r="I288" i="1"/>
  <c r="I302" i="1"/>
  <c r="W78" i="4" a="1"/>
  <c r="W78" i="4" s="1"/>
  <c r="U73" i="4" a="1"/>
  <c r="U73" i="4" s="1"/>
  <c r="I125" i="1"/>
  <c r="I5" i="1"/>
  <c r="I7" i="1"/>
  <c r="I308" i="1"/>
  <c r="I290" i="1"/>
  <c r="I399" i="1"/>
  <c r="I377" i="1"/>
  <c r="I323" i="1"/>
  <c r="I18" i="1"/>
  <c r="I286" i="1"/>
  <c r="W73" i="4" a="1"/>
  <c r="W73" i="4" s="1"/>
  <c r="X73" i="4" a="1"/>
  <c r="X73" i="4" s="1"/>
  <c r="U79" i="4" a="1"/>
  <c r="U79" i="4" s="1"/>
  <c r="U78" i="4" a="1"/>
  <c r="U78" i="4" s="1"/>
  <c r="W75" i="4" a="1"/>
  <c r="W75" i="4" s="1"/>
  <c r="I405" i="1"/>
  <c r="I17" i="1"/>
  <c r="I111" i="1"/>
  <c r="I289" i="1"/>
  <c r="I4" i="1"/>
  <c r="I109" i="1"/>
  <c r="I341" i="1"/>
  <c r="U89" i="4" a="1"/>
  <c r="U89" i="4" s="1"/>
  <c r="X72" i="4" a="1"/>
  <c r="X72" i="4" s="1"/>
  <c r="I305" i="1"/>
  <c r="I314" i="1"/>
  <c r="I318" i="1"/>
  <c r="X80" i="4" a="1"/>
  <c r="X80" i="4" s="1"/>
  <c r="W77" i="4" a="1"/>
  <c r="W77" i="4" s="1"/>
  <c r="X82" i="4" a="1"/>
  <c r="X82" i="4" s="1"/>
  <c r="I446" i="1"/>
  <c r="I443" i="1"/>
  <c r="T82" i="4" a="1"/>
  <c r="T82" i="4" s="1"/>
  <c r="T73" i="4" a="1"/>
  <c r="T73" i="4" s="1"/>
  <c r="V81" i="4" a="1"/>
  <c r="V81" i="4" s="1"/>
  <c r="T77" i="4" a="1"/>
  <c r="T77" i="4" s="1"/>
  <c r="T76" i="4" a="1"/>
  <c r="T76" i="4" s="1"/>
  <c r="T86" i="4" a="1"/>
  <c r="T86" i="4" s="1"/>
  <c r="W81" i="4" a="1"/>
  <c r="W81" i="4" s="1"/>
  <c r="W84" i="4" a="1"/>
  <c r="W84" i="4" s="1"/>
  <c r="T70" i="4" a="1"/>
  <c r="T70" i="4" s="1"/>
  <c r="V78" i="4" a="1"/>
  <c r="V78" i="4" s="1"/>
  <c r="W72" i="4" a="1"/>
  <c r="W72" i="4" s="1"/>
  <c r="X75" i="4" a="1"/>
  <c r="X75" i="4" s="1"/>
  <c r="U77" i="4" a="1"/>
  <c r="U77" i="4" s="1"/>
  <c r="X84" i="4" a="1"/>
  <c r="X84" i="4" s="1"/>
  <c r="V89" i="4" a="1"/>
  <c r="V89" i="4" s="1"/>
  <c r="X86" i="4" a="1"/>
  <c r="X86" i="4" s="1"/>
  <c r="X77" i="4" a="1"/>
  <c r="X77" i="4" s="1"/>
  <c r="U86" i="4" a="1"/>
  <c r="U86" i="4" s="1"/>
  <c r="U82" i="4" a="1"/>
  <c r="U82" i="4" s="1"/>
  <c r="V85" i="4" a="1"/>
  <c r="V85" i="4" s="1"/>
  <c r="X78" i="4" a="1"/>
  <c r="X78" i="4" s="1"/>
  <c r="I423" i="1"/>
  <c r="I421" i="1"/>
  <c r="I393" i="1"/>
  <c r="I422" i="1"/>
  <c r="T88" i="4" a="1"/>
  <c r="T88" i="4" s="1"/>
  <c r="X81" i="4" a="1"/>
  <c r="X81" i="4" s="1"/>
  <c r="V76" i="4" a="1"/>
  <c r="V76" i="4" s="1"/>
  <c r="T72" i="4" a="1"/>
  <c r="T72" i="4" s="1"/>
  <c r="W79" i="4" a="1"/>
  <c r="W79" i="4" s="1"/>
  <c r="T81" i="4" a="1"/>
  <c r="T81" i="4" s="1"/>
  <c r="W76" i="4" a="1"/>
  <c r="W76" i="4" s="1"/>
  <c r="T85" i="4" a="1"/>
  <c r="T85" i="4" s="1"/>
  <c r="T84" i="4" a="1"/>
  <c r="T84" i="4" s="1"/>
  <c r="V73" i="4" a="1"/>
  <c r="V73" i="4" s="1"/>
  <c r="X70" i="4" a="1"/>
  <c r="X70" i="4" s="1"/>
  <c r="T71" i="4" a="1"/>
  <c r="T71" i="4" s="1"/>
  <c r="H482" i="1"/>
  <c r="G89" i="4" a="1"/>
  <c r="G89" i="4" s="1"/>
  <c r="H284" i="1" s="1"/>
  <c r="G81" i="4" a="1"/>
  <c r="G81" i="4" s="1"/>
  <c r="H407" i="1" s="1"/>
  <c r="G73" i="4" a="1"/>
  <c r="G73" i="4" s="1"/>
  <c r="H125" i="1" s="1"/>
  <c r="G88" i="4" a="1"/>
  <c r="G88" i="4" s="1"/>
  <c r="H23" i="1" s="1"/>
  <c r="G80" i="4" a="1"/>
  <c r="G80" i="4" s="1"/>
  <c r="H10" i="1" s="1"/>
  <c r="G72" i="4" a="1"/>
  <c r="G72" i="4" s="1"/>
  <c r="H330" i="1" s="1"/>
  <c r="G87" i="4" a="1"/>
  <c r="G87" i="4" s="1"/>
  <c r="H283" i="1" s="1"/>
  <c r="H5" i="1"/>
  <c r="G71" i="4" a="1"/>
  <c r="G71" i="4" s="1"/>
  <c r="H127" i="1" s="1"/>
  <c r="G77" i="4" a="1"/>
  <c r="G77" i="4" s="1"/>
  <c r="H461" i="1" s="1"/>
  <c r="G76" i="4" a="1"/>
  <c r="G76" i="4" s="1"/>
  <c r="H401" i="1" s="1"/>
  <c r="G86" i="4" a="1"/>
  <c r="G86" i="4" s="1"/>
  <c r="H445" i="1" s="1"/>
  <c r="G78" i="4" a="1"/>
  <c r="G78" i="4" s="1"/>
  <c r="H137" i="1" s="1"/>
  <c r="G70" i="4" a="1"/>
  <c r="G70" i="4" s="1"/>
  <c r="H260" i="1" s="1"/>
  <c r="G85" i="4" a="1"/>
  <c r="G85" i="4" s="1"/>
  <c r="H153" i="1" s="1"/>
  <c r="G84" i="4" a="1"/>
  <c r="G84" i="4" s="1"/>
  <c r="H340" i="1" s="1"/>
  <c r="G83" i="4" a="1"/>
  <c r="G83" i="4" s="1"/>
  <c r="H146" i="1" s="1"/>
  <c r="G75" i="4" a="1"/>
  <c r="G75" i="4" s="1"/>
  <c r="H370" i="1" s="1"/>
  <c r="G82" i="4" a="1"/>
  <c r="G82" i="4" s="1"/>
  <c r="H333" i="1" s="1"/>
  <c r="G74" i="4" a="1"/>
  <c r="G74" i="4" s="1"/>
  <c r="H104" i="1" s="1"/>
  <c r="I429" i="1"/>
  <c r="U75" i="4" a="1"/>
  <c r="U75" i="4" s="1"/>
  <c r="W74" i="4" a="1"/>
  <c r="W74" i="4" s="1"/>
  <c r="U84" i="4" a="1"/>
  <c r="U84" i="4" s="1"/>
  <c r="X79" i="4" a="1"/>
  <c r="X79" i="4" s="1"/>
  <c r="U88" i="4" a="1"/>
  <c r="U88" i="4" s="1"/>
  <c r="U87" i="4" a="1"/>
  <c r="U87" i="4" s="1"/>
  <c r="V84" i="4" a="1"/>
  <c r="V84" i="4" s="1"/>
  <c r="U72" i="4" a="1"/>
  <c r="U72" i="4" s="1"/>
  <c r="U71" i="4" a="1"/>
  <c r="U71" i="4" s="1"/>
  <c r="U81" i="4" a="1"/>
  <c r="U81" i="4" s="1"/>
  <c r="V77" i="4" a="1"/>
  <c r="V77" i="4" s="1"/>
  <c r="W80" i="4" a="1"/>
  <c r="W80" i="4" s="1"/>
  <c r="I279" i="1"/>
  <c r="I430" i="1"/>
  <c r="T83" i="4" a="1"/>
  <c r="T83" i="4" s="1"/>
  <c r="V80" i="4" a="1"/>
  <c r="V80" i="4" s="1"/>
  <c r="V71" i="4" a="1"/>
  <c r="V71" i="4" s="1"/>
  <c r="W87" i="4" a="1"/>
  <c r="W87" i="4" s="1"/>
  <c r="V75" i="4" a="1"/>
  <c r="V75" i="4" s="1"/>
  <c r="V74" i="4" a="1"/>
  <c r="V74" i="4" s="1"/>
  <c r="W71" i="4" a="1"/>
  <c r="W71" i="4" s="1"/>
  <c r="T80" i="4" a="1"/>
  <c r="T80" i="4" s="1"/>
  <c r="X76" i="4" a="1"/>
  <c r="X76" i="4" s="1"/>
  <c r="T89" i="4" a="1"/>
  <c r="T89" i="4" s="1"/>
  <c r="W88" i="4" a="1"/>
  <c r="W88" i="4" s="1"/>
  <c r="U74" i="4" a="1"/>
  <c r="U74" i="4" s="1"/>
  <c r="I95" i="1"/>
  <c r="X74" i="4" a="1"/>
  <c r="X74" i="4" s="1"/>
  <c r="U83" i="4" a="1"/>
  <c r="U83" i="4" s="1"/>
  <c r="X71" i="4" a="1"/>
  <c r="X71" i="4" s="1"/>
  <c r="V79" i="4" a="1"/>
  <c r="V79" i="4" s="1"/>
  <c r="X87" i="4" a="1"/>
  <c r="X87" i="4" s="1"/>
  <c r="U85" i="4" a="1"/>
  <c r="U85" i="4" s="1"/>
  <c r="U76" i="4" a="1"/>
  <c r="U76" i="4" s="1"/>
  <c r="V72" i="4" a="1"/>
  <c r="V72" i="4" s="1"/>
  <c r="I283" i="1"/>
  <c r="W89" i="4" a="1"/>
  <c r="W89" i="4" s="1"/>
  <c r="T78" i="4" a="1"/>
  <c r="T78" i="4" s="1"/>
  <c r="V86" i="4" a="1"/>
  <c r="V86" i="4" s="1"/>
  <c r="V87" i="4" a="1"/>
  <c r="V87" i="4" s="1"/>
  <c r="W82" i="4" a="1"/>
  <c r="W82" i="4" s="1"/>
  <c r="V70" i="4" a="1"/>
  <c r="V70" i="4" s="1"/>
  <c r="W86" i="4" a="1"/>
  <c r="W86" i="4" s="1"/>
  <c r="W85" i="4" a="1"/>
  <c r="W85" i="4" s="1"/>
  <c r="T75" i="4" a="1"/>
  <c r="T75" i="4" s="1"/>
  <c r="V83" i="4" a="1"/>
  <c r="V83" i="4" s="1"/>
  <c r="T79" i="4" a="1"/>
  <c r="T79" i="4" s="1"/>
  <c r="T74" i="4" a="1"/>
  <c r="T74" i="4" s="1"/>
  <c r="H492" i="1"/>
  <c r="H485" i="1"/>
  <c r="H352" i="1"/>
  <c r="H388" i="1"/>
  <c r="H18" i="1"/>
  <c r="H491" i="1"/>
  <c r="H298" i="1"/>
  <c r="H449" i="1"/>
  <c r="H351" i="1"/>
  <c r="H152" i="1"/>
  <c r="H271" i="1"/>
  <c r="H34" i="1"/>
  <c r="H384" i="1"/>
  <c r="H120" i="1"/>
  <c r="M334" i="1" l="1"/>
  <c r="M298" i="1"/>
  <c r="M333" i="1"/>
  <c r="M321" i="1"/>
  <c r="M301" i="1"/>
  <c r="M140" i="1"/>
  <c r="M304" i="1"/>
  <c r="M139" i="1"/>
  <c r="M336" i="1"/>
  <c r="M339" i="1"/>
  <c r="M332" i="1"/>
  <c r="M300" i="1"/>
  <c r="M331" i="1"/>
  <c r="M299" i="1"/>
  <c r="M27" i="1"/>
  <c r="M142" i="1"/>
  <c r="M469" i="1"/>
  <c r="M407" i="1"/>
  <c r="M472" i="1"/>
  <c r="N401" i="1"/>
  <c r="N373" i="1"/>
  <c r="N121" i="1"/>
  <c r="N13" i="1"/>
  <c r="N486" i="1"/>
  <c r="N402" i="1"/>
  <c r="N400" i="1"/>
  <c r="N404" i="1"/>
  <c r="M478" i="1"/>
  <c r="M462" i="1"/>
  <c r="M458" i="1"/>
  <c r="M454" i="1"/>
  <c r="M434" i="1"/>
  <c r="M138" i="1"/>
  <c r="M26" i="1"/>
  <c r="M477" i="1"/>
  <c r="M457" i="1"/>
  <c r="M453" i="1"/>
  <c r="M144" i="1"/>
  <c r="M137" i="1"/>
  <c r="M480" i="1"/>
  <c r="M29" i="1"/>
  <c r="M456" i="1"/>
  <c r="M136" i="1"/>
  <c r="M455" i="1"/>
  <c r="O468" i="1"/>
  <c r="O460" i="1"/>
  <c r="O432" i="1"/>
  <c r="O435" i="1"/>
  <c r="O343" i="1"/>
  <c r="O311" i="1"/>
  <c r="O143" i="1"/>
  <c r="O479" i="1"/>
  <c r="O309" i="1"/>
  <c r="O461" i="1"/>
  <c r="O28" i="1"/>
  <c r="O433" i="1"/>
  <c r="P260" i="1"/>
  <c r="P11" i="1"/>
  <c r="P383" i="1"/>
  <c r="P96" i="1"/>
  <c r="P478" i="1"/>
  <c r="P462" i="1"/>
  <c r="P458" i="1"/>
  <c r="P454" i="1"/>
  <c r="P453" i="1"/>
  <c r="P434" i="1"/>
  <c r="P480" i="1"/>
  <c r="P457" i="1"/>
  <c r="P477" i="1"/>
  <c r="P455" i="1"/>
  <c r="P144" i="1"/>
  <c r="P138" i="1"/>
  <c r="P26" i="1"/>
  <c r="P137" i="1"/>
  <c r="P29" i="1"/>
  <c r="P136" i="1"/>
  <c r="P456" i="1"/>
  <c r="P341" i="1"/>
  <c r="P342" i="1"/>
  <c r="P335" i="1"/>
  <c r="P302" i="1"/>
  <c r="P340" i="1"/>
  <c r="P141" i="1"/>
  <c r="P470" i="1"/>
  <c r="P392" i="1"/>
  <c r="P413" i="1"/>
  <c r="P306" i="1"/>
  <c r="P408" i="1"/>
  <c r="P146" i="1"/>
  <c r="J438" i="1"/>
  <c r="J378" i="1"/>
  <c r="J275" i="1"/>
  <c r="J103" i="1"/>
  <c r="J274" i="1"/>
  <c r="J122" i="1"/>
  <c r="J379" i="1"/>
  <c r="J130" i="1"/>
  <c r="J276" i="1"/>
  <c r="J128" i="1"/>
  <c r="J104" i="1"/>
  <c r="J20" i="1"/>
  <c r="J106" i="1"/>
  <c r="J14" i="1"/>
  <c r="J277" i="1"/>
  <c r="J105" i="1"/>
  <c r="J273" i="1"/>
  <c r="J486" i="1"/>
  <c r="J402" i="1"/>
  <c r="J401" i="1"/>
  <c r="J400" i="1"/>
  <c r="J404" i="1"/>
  <c r="J373" i="1"/>
  <c r="J13" i="1"/>
  <c r="J121" i="1"/>
  <c r="K392" i="1"/>
  <c r="K306" i="1"/>
  <c r="K146" i="1"/>
  <c r="K470" i="1"/>
  <c r="K413" i="1"/>
  <c r="K408" i="1"/>
  <c r="J35" i="1"/>
  <c r="J357" i="1"/>
  <c r="J153" i="1"/>
  <c r="K423" i="1"/>
  <c r="K283" i="1"/>
  <c r="K279" i="1"/>
  <c r="K259" i="1"/>
  <c r="K95" i="1"/>
  <c r="K422" i="1"/>
  <c r="K258" i="1"/>
  <c r="K443" i="1"/>
  <c r="K430" i="1"/>
  <c r="K421" i="1"/>
  <c r="K429" i="1"/>
  <c r="K446" i="1"/>
  <c r="K393" i="1"/>
  <c r="N385" i="1"/>
  <c r="N353" i="1"/>
  <c r="N345" i="1"/>
  <c r="N129" i="1"/>
  <c r="N117" i="1"/>
  <c r="N21" i="1"/>
  <c r="N375" i="1"/>
  <c r="N123" i="1"/>
  <c r="N15" i="1"/>
  <c r="N374" i="1"/>
  <c r="N116" i="1"/>
  <c r="N474" i="1"/>
  <c r="N12" i="1"/>
  <c r="N370" i="1"/>
  <c r="N118" i="1"/>
  <c r="M371" i="1"/>
  <c r="M19" i="1"/>
  <c r="M127" i="1"/>
  <c r="M119" i="1"/>
  <c r="M486" i="1"/>
  <c r="M402" i="1"/>
  <c r="M401" i="1"/>
  <c r="M373" i="1"/>
  <c r="M13" i="1"/>
  <c r="M121" i="1"/>
  <c r="M400" i="1"/>
  <c r="M404" i="1"/>
  <c r="N371" i="1"/>
  <c r="N127" i="1"/>
  <c r="N119" i="1"/>
  <c r="N19" i="1"/>
  <c r="O376" i="1"/>
  <c r="O320" i="1"/>
  <c r="O124" i="1"/>
  <c r="O330" i="1"/>
  <c r="O475" i="1"/>
  <c r="O354" i="1"/>
  <c r="O346" i="1"/>
  <c r="O16" i="1"/>
  <c r="P277" i="1"/>
  <c r="P130" i="1"/>
  <c r="P103" i="1"/>
  <c r="P438" i="1"/>
  <c r="P275" i="1"/>
  <c r="P378" i="1"/>
  <c r="P276" i="1"/>
  <c r="P274" i="1"/>
  <c r="P104" i="1"/>
  <c r="P128" i="1"/>
  <c r="P379" i="1"/>
  <c r="P273" i="1"/>
  <c r="P122" i="1"/>
  <c r="P20" i="1"/>
  <c r="P106" i="1"/>
  <c r="P14" i="1"/>
  <c r="P105" i="1"/>
  <c r="O470" i="1"/>
  <c r="O408" i="1"/>
  <c r="O392" i="1"/>
  <c r="O413" i="1"/>
  <c r="O306" i="1"/>
  <c r="O146" i="1"/>
  <c r="P469" i="1"/>
  <c r="P472" i="1"/>
  <c r="P407" i="1"/>
  <c r="P142" i="1"/>
  <c r="O478" i="1"/>
  <c r="O462" i="1"/>
  <c r="O458" i="1"/>
  <c r="O454" i="1"/>
  <c r="O480" i="1"/>
  <c r="O456" i="1"/>
  <c r="O144" i="1"/>
  <c r="O136" i="1"/>
  <c r="O453" i="1"/>
  <c r="O434" i="1"/>
  <c r="O457" i="1"/>
  <c r="O455" i="1"/>
  <c r="O138" i="1"/>
  <c r="O26" i="1"/>
  <c r="O477" i="1"/>
  <c r="O137" i="1"/>
  <c r="O29" i="1"/>
  <c r="J302" i="1"/>
  <c r="J335" i="1"/>
  <c r="J342" i="1"/>
  <c r="J341" i="1"/>
  <c r="J340" i="1"/>
  <c r="J141" i="1"/>
  <c r="K339" i="1"/>
  <c r="K331" i="1"/>
  <c r="K299" i="1"/>
  <c r="K139" i="1"/>
  <c r="K27" i="1"/>
  <c r="K334" i="1"/>
  <c r="K298" i="1"/>
  <c r="K336" i="1"/>
  <c r="K332" i="1"/>
  <c r="K304" i="1"/>
  <c r="K300" i="1"/>
  <c r="K140" i="1"/>
  <c r="K321" i="1"/>
  <c r="K301" i="1"/>
  <c r="K333" i="1"/>
  <c r="J478" i="1"/>
  <c r="J462" i="1"/>
  <c r="J458" i="1"/>
  <c r="J454" i="1"/>
  <c r="J434" i="1"/>
  <c r="J138" i="1"/>
  <c r="J480" i="1"/>
  <c r="J453" i="1"/>
  <c r="J457" i="1"/>
  <c r="J456" i="1"/>
  <c r="J477" i="1"/>
  <c r="J455" i="1"/>
  <c r="J144" i="1"/>
  <c r="J136" i="1"/>
  <c r="J29" i="1"/>
  <c r="J137" i="1"/>
  <c r="J26" i="1"/>
  <c r="K111" i="1"/>
  <c r="K3" i="1"/>
  <c r="K110" i="1"/>
  <c r="K405" i="1"/>
  <c r="K390" i="1"/>
  <c r="K394" i="1"/>
  <c r="K308" i="1"/>
  <c r="K329" i="1"/>
  <c r="K5" i="1"/>
  <c r="K285" i="1"/>
  <c r="K4" i="1"/>
  <c r="K109" i="1"/>
  <c r="K305" i="1"/>
  <c r="J339" i="1"/>
  <c r="J331" i="1"/>
  <c r="J299" i="1"/>
  <c r="J139" i="1"/>
  <c r="J27" i="1"/>
  <c r="J298" i="1"/>
  <c r="J334" i="1"/>
  <c r="J333" i="1"/>
  <c r="J336" i="1"/>
  <c r="J332" i="1"/>
  <c r="J304" i="1"/>
  <c r="J300" i="1"/>
  <c r="J140" i="1"/>
  <c r="J321" i="1"/>
  <c r="J301" i="1"/>
  <c r="Q82" i="4"/>
  <c r="Q74" i="4"/>
  <c r="Q84" i="4"/>
  <c r="N469" i="1"/>
  <c r="N407" i="1"/>
  <c r="N472" i="1"/>
  <c r="N142" i="1"/>
  <c r="M446" i="1"/>
  <c r="M430" i="1"/>
  <c r="M422" i="1"/>
  <c r="M258" i="1"/>
  <c r="M429" i="1"/>
  <c r="M421" i="1"/>
  <c r="M393" i="1"/>
  <c r="M259" i="1"/>
  <c r="M283" i="1"/>
  <c r="M95" i="1"/>
  <c r="M423" i="1"/>
  <c r="M443" i="1"/>
  <c r="M279" i="1"/>
  <c r="N317" i="1"/>
  <c r="N313" i="1"/>
  <c r="N297" i="1"/>
  <c r="N293" i="1"/>
  <c r="N289" i="1"/>
  <c r="N113" i="1"/>
  <c r="N9" i="1"/>
  <c r="N391" i="1"/>
  <c r="N323" i="1"/>
  <c r="N319" i="1"/>
  <c r="N315" i="1"/>
  <c r="N291" i="1"/>
  <c r="N287" i="1"/>
  <c r="N115" i="1"/>
  <c r="N7" i="1"/>
  <c r="N8" i="1"/>
  <c r="N328" i="1"/>
  <c r="N318" i="1"/>
  <c r="N296" i="1"/>
  <c r="N316" i="1"/>
  <c r="N290" i="1"/>
  <c r="N288" i="1"/>
  <c r="N6" i="1"/>
  <c r="N114" i="1"/>
  <c r="N406" i="1"/>
  <c r="N314" i="1"/>
  <c r="N286" i="1"/>
  <c r="N112" i="1"/>
  <c r="N10" i="1"/>
  <c r="N357" i="1"/>
  <c r="N153" i="1"/>
  <c r="N35" i="1"/>
  <c r="M357" i="1"/>
  <c r="M35" i="1"/>
  <c r="M153" i="1"/>
  <c r="O308" i="1"/>
  <c r="O405" i="1"/>
  <c r="O329" i="1"/>
  <c r="O109" i="1"/>
  <c r="O4" i="1"/>
  <c r="O3" i="1"/>
  <c r="O111" i="1"/>
  <c r="O394" i="1"/>
  <c r="O285" i="1"/>
  <c r="O305" i="1"/>
  <c r="O110" i="1"/>
  <c r="O5" i="1"/>
  <c r="O390" i="1"/>
  <c r="O328" i="1"/>
  <c r="O316" i="1"/>
  <c r="O296" i="1"/>
  <c r="O288" i="1"/>
  <c r="O112" i="1"/>
  <c r="O406" i="1"/>
  <c r="O317" i="1"/>
  <c r="O286" i="1"/>
  <c r="O290" i="1"/>
  <c r="O391" i="1"/>
  <c r="O315" i="1"/>
  <c r="O293" i="1"/>
  <c r="O289" i="1"/>
  <c r="O319" i="1"/>
  <c r="O297" i="1"/>
  <c r="O291" i="1"/>
  <c r="O114" i="1"/>
  <c r="O323" i="1"/>
  <c r="O314" i="1"/>
  <c r="O8" i="1"/>
  <c r="O113" i="1"/>
  <c r="O7" i="1"/>
  <c r="O313" i="1"/>
  <c r="O287" i="1"/>
  <c r="O6" i="1"/>
  <c r="O10" i="1"/>
  <c r="O318" i="1"/>
  <c r="O115" i="1"/>
  <c r="O9" i="1"/>
  <c r="P447" i="1"/>
  <c r="P445" i="1"/>
  <c r="P428" i="1"/>
  <c r="P282" i="1"/>
  <c r="O472" i="1"/>
  <c r="O469" i="1"/>
  <c r="O407" i="1"/>
  <c r="O142" i="1"/>
  <c r="K35" i="1"/>
  <c r="K357" i="1"/>
  <c r="K153" i="1"/>
  <c r="K454" i="1"/>
  <c r="K480" i="1"/>
  <c r="K458" i="1"/>
  <c r="K453" i="1"/>
  <c r="K26" i="1"/>
  <c r="K462" i="1"/>
  <c r="K457" i="1"/>
  <c r="K138" i="1"/>
  <c r="K456" i="1"/>
  <c r="K434" i="1"/>
  <c r="K478" i="1"/>
  <c r="K477" i="1"/>
  <c r="K455" i="1"/>
  <c r="K137" i="1"/>
  <c r="K29" i="1"/>
  <c r="K136" i="1"/>
  <c r="K144" i="1"/>
  <c r="J432" i="1"/>
  <c r="J343" i="1"/>
  <c r="J311" i="1"/>
  <c r="J143" i="1"/>
  <c r="J435" i="1"/>
  <c r="J479" i="1"/>
  <c r="J461" i="1"/>
  <c r="J460" i="1"/>
  <c r="J433" i="1"/>
  <c r="J468" i="1"/>
  <c r="J28" i="1"/>
  <c r="J309" i="1"/>
  <c r="K23" i="1"/>
  <c r="K440" i="1"/>
  <c r="K417" i="1"/>
  <c r="K275" i="1"/>
  <c r="K103" i="1"/>
  <c r="K14" i="1"/>
  <c r="K379" i="1"/>
  <c r="K122" i="1"/>
  <c r="K106" i="1"/>
  <c r="K274" i="1"/>
  <c r="K130" i="1"/>
  <c r="K378" i="1"/>
  <c r="K438" i="1"/>
  <c r="K128" i="1"/>
  <c r="K105" i="1"/>
  <c r="K20" i="1"/>
  <c r="K277" i="1"/>
  <c r="K276" i="1"/>
  <c r="K104" i="1"/>
  <c r="K273" i="1"/>
  <c r="N405" i="1"/>
  <c r="N329" i="1"/>
  <c r="N305" i="1"/>
  <c r="N285" i="1"/>
  <c r="N109" i="1"/>
  <c r="N5" i="1"/>
  <c r="N111" i="1"/>
  <c r="N3" i="1"/>
  <c r="N390" i="1"/>
  <c r="N110" i="1"/>
  <c r="N308" i="1"/>
  <c r="N394" i="1"/>
  <c r="N4" i="1"/>
  <c r="N277" i="1"/>
  <c r="N273" i="1"/>
  <c r="N105" i="1"/>
  <c r="N379" i="1"/>
  <c r="N275" i="1"/>
  <c r="N103" i="1"/>
  <c r="N130" i="1"/>
  <c r="N104" i="1"/>
  <c r="N20" i="1"/>
  <c r="N14" i="1"/>
  <c r="N276" i="1"/>
  <c r="N128" i="1"/>
  <c r="N122" i="1"/>
  <c r="N378" i="1"/>
  <c r="N274" i="1"/>
  <c r="N438" i="1"/>
  <c r="N106" i="1"/>
  <c r="M96" i="1"/>
  <c r="M383" i="1"/>
  <c r="M260" i="1"/>
  <c r="M11" i="1"/>
  <c r="N341" i="1"/>
  <c r="N141" i="1"/>
  <c r="N335" i="1"/>
  <c r="N342" i="1"/>
  <c r="N340" i="1"/>
  <c r="N302" i="1"/>
  <c r="N413" i="1"/>
  <c r="N470" i="1"/>
  <c r="N408" i="1"/>
  <c r="N392" i="1"/>
  <c r="N306" i="1"/>
  <c r="N146" i="1"/>
  <c r="O336" i="1"/>
  <c r="O332" i="1"/>
  <c r="O304" i="1"/>
  <c r="O300" i="1"/>
  <c r="O140" i="1"/>
  <c r="O339" i="1"/>
  <c r="O299" i="1"/>
  <c r="O334" i="1"/>
  <c r="O321" i="1"/>
  <c r="O139" i="1"/>
  <c r="O333" i="1"/>
  <c r="O301" i="1"/>
  <c r="O331" i="1"/>
  <c r="O298" i="1"/>
  <c r="O27" i="1"/>
  <c r="O486" i="1"/>
  <c r="O404" i="1"/>
  <c r="O400" i="1"/>
  <c r="O401" i="1"/>
  <c r="O13" i="1"/>
  <c r="O373" i="1"/>
  <c r="O402" i="1"/>
  <c r="O121" i="1"/>
  <c r="P290" i="1"/>
  <c r="P316" i="1"/>
  <c r="P112" i="1"/>
  <c r="P7" i="1"/>
  <c r="P391" i="1"/>
  <c r="P328" i="1"/>
  <c r="P319" i="1"/>
  <c r="P297" i="1"/>
  <c r="P323" i="1"/>
  <c r="P314" i="1"/>
  <c r="P288" i="1"/>
  <c r="P315" i="1"/>
  <c r="P8" i="1"/>
  <c r="P406" i="1"/>
  <c r="P289" i="1"/>
  <c r="P113" i="1"/>
  <c r="P313" i="1"/>
  <c r="P287" i="1"/>
  <c r="P6" i="1"/>
  <c r="P293" i="1"/>
  <c r="P286" i="1"/>
  <c r="P10" i="1"/>
  <c r="P318" i="1"/>
  <c r="P115" i="1"/>
  <c r="P9" i="1"/>
  <c r="P317" i="1"/>
  <c r="P296" i="1"/>
  <c r="P291" i="1"/>
  <c r="P114" i="1"/>
  <c r="P371" i="1"/>
  <c r="P19" i="1"/>
  <c r="P127" i="1"/>
  <c r="P119" i="1"/>
  <c r="J470" i="1"/>
  <c r="J306" i="1"/>
  <c r="J392" i="1"/>
  <c r="J146" i="1"/>
  <c r="J413" i="1"/>
  <c r="J408" i="1"/>
  <c r="J475" i="1"/>
  <c r="J354" i="1"/>
  <c r="J346" i="1"/>
  <c r="J330" i="1"/>
  <c r="J376" i="1"/>
  <c r="J320" i="1"/>
  <c r="J124" i="1"/>
  <c r="J16" i="1"/>
  <c r="J398" i="1"/>
  <c r="J126" i="1"/>
  <c r="J355" i="1"/>
  <c r="J439" i="1"/>
  <c r="J377" i="1"/>
  <c r="J399" i="1"/>
  <c r="J372" i="1"/>
  <c r="J120" i="1"/>
  <c r="J17" i="1"/>
  <c r="J125" i="1"/>
  <c r="J18" i="1"/>
  <c r="J371" i="1"/>
  <c r="J127" i="1"/>
  <c r="J119" i="1"/>
  <c r="J19" i="1"/>
  <c r="Q78" i="4"/>
  <c r="Q72" i="4"/>
  <c r="N475" i="1"/>
  <c r="N354" i="1"/>
  <c r="N330" i="1"/>
  <c r="N376" i="1"/>
  <c r="N346" i="1"/>
  <c r="N320" i="1"/>
  <c r="N16" i="1"/>
  <c r="N124" i="1"/>
  <c r="M342" i="1"/>
  <c r="M302" i="1"/>
  <c r="M341" i="1"/>
  <c r="M340" i="1"/>
  <c r="M335" i="1"/>
  <c r="M141" i="1"/>
  <c r="M461" i="1"/>
  <c r="M433" i="1"/>
  <c r="M309" i="1"/>
  <c r="M460" i="1"/>
  <c r="M343" i="1"/>
  <c r="M311" i="1"/>
  <c r="M468" i="1"/>
  <c r="M435" i="1"/>
  <c r="M143" i="1"/>
  <c r="M479" i="1"/>
  <c r="M432" i="1"/>
  <c r="M28" i="1"/>
  <c r="N429" i="1"/>
  <c r="N421" i="1"/>
  <c r="N393" i="1"/>
  <c r="N443" i="1"/>
  <c r="N423" i="1"/>
  <c r="N283" i="1"/>
  <c r="N279" i="1"/>
  <c r="N259" i="1"/>
  <c r="N95" i="1"/>
  <c r="N430" i="1"/>
  <c r="N258" i="1"/>
  <c r="N446" i="1"/>
  <c r="N422" i="1"/>
  <c r="M398" i="1"/>
  <c r="M126" i="1"/>
  <c r="M18" i="1"/>
  <c r="M377" i="1"/>
  <c r="M372" i="1"/>
  <c r="M439" i="1"/>
  <c r="M399" i="1"/>
  <c r="M120" i="1"/>
  <c r="M125" i="1"/>
  <c r="M355" i="1"/>
  <c r="M17" i="1"/>
  <c r="P446" i="1"/>
  <c r="P422" i="1"/>
  <c r="P430" i="1"/>
  <c r="P95" i="1"/>
  <c r="P443" i="1"/>
  <c r="P421" i="1"/>
  <c r="P429" i="1"/>
  <c r="P283" i="1"/>
  <c r="P279" i="1"/>
  <c r="P258" i="1"/>
  <c r="P423" i="1"/>
  <c r="P259" i="1"/>
  <c r="P393" i="1"/>
  <c r="O474" i="1"/>
  <c r="O116" i="1"/>
  <c r="O117" i="1"/>
  <c r="O370" i="1"/>
  <c r="O374" i="1"/>
  <c r="O353" i="1"/>
  <c r="O385" i="1"/>
  <c r="O129" i="1"/>
  <c r="O123" i="1"/>
  <c r="O118" i="1"/>
  <c r="O21" i="1"/>
  <c r="O12" i="1"/>
  <c r="O15" i="1"/>
  <c r="O345" i="1"/>
  <c r="O375" i="1"/>
  <c r="P486" i="1"/>
  <c r="P401" i="1"/>
  <c r="P121" i="1"/>
  <c r="P400" i="1"/>
  <c r="P404" i="1"/>
  <c r="P402" i="1"/>
  <c r="P373" i="1"/>
  <c r="P13" i="1"/>
  <c r="P460" i="1"/>
  <c r="P435" i="1"/>
  <c r="P343" i="1"/>
  <c r="P143" i="1"/>
  <c r="P468" i="1"/>
  <c r="P479" i="1"/>
  <c r="P433" i="1"/>
  <c r="P461" i="1"/>
  <c r="P432" i="1"/>
  <c r="P309" i="1"/>
  <c r="P28" i="1"/>
  <c r="P311" i="1"/>
  <c r="O440" i="1"/>
  <c r="O417" i="1"/>
  <c r="O23" i="1"/>
  <c r="K323" i="1"/>
  <c r="K319" i="1"/>
  <c r="K315" i="1"/>
  <c r="K291" i="1"/>
  <c r="K287" i="1"/>
  <c r="K115" i="1"/>
  <c r="K7" i="1"/>
  <c r="K6" i="1"/>
  <c r="K406" i="1"/>
  <c r="K10" i="1"/>
  <c r="K318" i="1"/>
  <c r="K314" i="1"/>
  <c r="K290" i="1"/>
  <c r="K286" i="1"/>
  <c r="K114" i="1"/>
  <c r="K391" i="1"/>
  <c r="K328" i="1"/>
  <c r="K316" i="1"/>
  <c r="K9" i="1"/>
  <c r="K288" i="1"/>
  <c r="K113" i="1"/>
  <c r="K8" i="1"/>
  <c r="K293" i="1"/>
  <c r="K317" i="1"/>
  <c r="K112" i="1"/>
  <c r="K297" i="1"/>
  <c r="K313" i="1"/>
  <c r="K296" i="1"/>
  <c r="K289" i="1"/>
  <c r="K11" i="1"/>
  <c r="K383" i="1"/>
  <c r="K96" i="1"/>
  <c r="K260" i="1"/>
  <c r="J394" i="1"/>
  <c r="J390" i="1"/>
  <c r="J111" i="1"/>
  <c r="J3" i="1"/>
  <c r="J405" i="1"/>
  <c r="J329" i="1"/>
  <c r="J308" i="1"/>
  <c r="J4" i="1"/>
  <c r="J110" i="1"/>
  <c r="J305" i="1"/>
  <c r="J5" i="1"/>
  <c r="J285" i="1"/>
  <c r="J109" i="1"/>
  <c r="J474" i="1"/>
  <c r="J375" i="1"/>
  <c r="J123" i="1"/>
  <c r="J15" i="1"/>
  <c r="J374" i="1"/>
  <c r="J370" i="1"/>
  <c r="J118" i="1"/>
  <c r="J353" i="1"/>
  <c r="J345" i="1"/>
  <c r="J385" i="1"/>
  <c r="J116" i="1"/>
  <c r="J12" i="1"/>
  <c r="J117" i="1"/>
  <c r="J21" i="1"/>
  <c r="J129" i="1"/>
  <c r="K371" i="1"/>
  <c r="K127" i="1"/>
  <c r="K119" i="1"/>
  <c r="K19" i="1"/>
  <c r="N477" i="1"/>
  <c r="N457" i="1"/>
  <c r="N453" i="1"/>
  <c r="N137" i="1"/>
  <c r="N29" i="1"/>
  <c r="N455" i="1"/>
  <c r="N26" i="1"/>
  <c r="N144" i="1"/>
  <c r="N138" i="1"/>
  <c r="N480" i="1"/>
  <c r="N458" i="1"/>
  <c r="N456" i="1"/>
  <c r="N434" i="1"/>
  <c r="N136" i="1"/>
  <c r="N478" i="1"/>
  <c r="N462" i="1"/>
  <c r="N454" i="1"/>
  <c r="M438" i="1"/>
  <c r="M378" i="1"/>
  <c r="M274" i="1"/>
  <c r="M130" i="1"/>
  <c r="M122" i="1"/>
  <c r="M106" i="1"/>
  <c r="M14" i="1"/>
  <c r="M277" i="1"/>
  <c r="M273" i="1"/>
  <c r="M105" i="1"/>
  <c r="M104" i="1"/>
  <c r="M20" i="1"/>
  <c r="M379" i="1"/>
  <c r="M276" i="1"/>
  <c r="M128" i="1"/>
  <c r="M103" i="1"/>
  <c r="M275" i="1"/>
  <c r="N377" i="1"/>
  <c r="N125" i="1"/>
  <c r="N17" i="1"/>
  <c r="N439" i="1"/>
  <c r="N399" i="1"/>
  <c r="N355" i="1"/>
  <c r="N372" i="1"/>
  <c r="N120" i="1"/>
  <c r="N18" i="1"/>
  <c r="N126" i="1"/>
  <c r="N398" i="1"/>
  <c r="M474" i="1"/>
  <c r="M374" i="1"/>
  <c r="M370" i="1"/>
  <c r="M118" i="1"/>
  <c r="M385" i="1"/>
  <c r="M353" i="1"/>
  <c r="M345" i="1"/>
  <c r="M117" i="1"/>
  <c r="M21" i="1"/>
  <c r="M15" i="1"/>
  <c r="M129" i="1"/>
  <c r="M123" i="1"/>
  <c r="M116" i="1"/>
  <c r="M12" i="1"/>
  <c r="M375" i="1"/>
  <c r="N333" i="1"/>
  <c r="N321" i="1"/>
  <c r="N301" i="1"/>
  <c r="N339" i="1"/>
  <c r="N331" i="1"/>
  <c r="N299" i="1"/>
  <c r="N139" i="1"/>
  <c r="N27" i="1"/>
  <c r="N304" i="1"/>
  <c r="N298" i="1"/>
  <c r="N336" i="1"/>
  <c r="N334" i="1"/>
  <c r="N332" i="1"/>
  <c r="N300" i="1"/>
  <c r="N140" i="1"/>
  <c r="O35" i="1"/>
  <c r="O357" i="1"/>
  <c r="O153" i="1"/>
  <c r="P474" i="1"/>
  <c r="P375" i="1"/>
  <c r="P15" i="1"/>
  <c r="P374" i="1"/>
  <c r="P353" i="1"/>
  <c r="P345" i="1"/>
  <c r="P385" i="1"/>
  <c r="P129" i="1"/>
  <c r="P123" i="1"/>
  <c r="P118" i="1"/>
  <c r="P21" i="1"/>
  <c r="P12" i="1"/>
  <c r="P370" i="1"/>
  <c r="P117" i="1"/>
  <c r="P116" i="1"/>
  <c r="P355" i="1"/>
  <c r="P439" i="1"/>
  <c r="P399" i="1"/>
  <c r="P17" i="1"/>
  <c r="P372" i="1"/>
  <c r="P398" i="1"/>
  <c r="P377" i="1"/>
  <c r="P126" i="1"/>
  <c r="P125" i="1"/>
  <c r="P120" i="1"/>
  <c r="P18" i="1"/>
  <c r="P334" i="1"/>
  <c r="P321" i="1"/>
  <c r="P298" i="1"/>
  <c r="P27" i="1"/>
  <c r="P332" i="1"/>
  <c r="P301" i="1"/>
  <c r="P336" i="1"/>
  <c r="P339" i="1"/>
  <c r="P333" i="1"/>
  <c r="P300" i="1"/>
  <c r="P331" i="1"/>
  <c r="P299" i="1"/>
  <c r="P140" i="1"/>
  <c r="P304" i="1"/>
  <c r="P139" i="1"/>
  <c r="P440" i="1"/>
  <c r="P23" i="1"/>
  <c r="P417" i="1"/>
  <c r="J406" i="1"/>
  <c r="J7" i="1"/>
  <c r="J318" i="1"/>
  <c r="J323" i="1"/>
  <c r="J319" i="1"/>
  <c r="J315" i="1"/>
  <c r="J291" i="1"/>
  <c r="J287" i="1"/>
  <c r="J115" i="1"/>
  <c r="J286" i="1"/>
  <c r="J314" i="1"/>
  <c r="J290" i="1"/>
  <c r="J114" i="1"/>
  <c r="J391" i="1"/>
  <c r="J328" i="1"/>
  <c r="J316" i="1"/>
  <c r="J296" i="1"/>
  <c r="J288" i="1"/>
  <c r="J112" i="1"/>
  <c r="J8" i="1"/>
  <c r="J289" i="1"/>
  <c r="J9" i="1"/>
  <c r="J10" i="1"/>
  <c r="J113" i="1"/>
  <c r="J6" i="1"/>
  <c r="J293" i="1"/>
  <c r="J317" i="1"/>
  <c r="J297" i="1"/>
  <c r="J313" i="1"/>
  <c r="K375" i="1"/>
  <c r="K123" i="1"/>
  <c r="K15" i="1"/>
  <c r="K374" i="1"/>
  <c r="K370" i="1"/>
  <c r="K118" i="1"/>
  <c r="K474" i="1"/>
  <c r="K353" i="1"/>
  <c r="K345" i="1"/>
  <c r="K385" i="1"/>
  <c r="K12" i="1"/>
  <c r="K116" i="1"/>
  <c r="K21" i="1"/>
  <c r="K129" i="1"/>
  <c r="K117" i="1"/>
  <c r="J23" i="1"/>
  <c r="J440" i="1"/>
  <c r="J417" i="1"/>
  <c r="K335" i="1"/>
  <c r="K342" i="1"/>
  <c r="K302" i="1"/>
  <c r="K341" i="1"/>
  <c r="K340" i="1"/>
  <c r="K141" i="1"/>
  <c r="J11" i="1"/>
  <c r="J383" i="1"/>
  <c r="J260" i="1"/>
  <c r="J96" i="1"/>
  <c r="Q79" i="4"/>
  <c r="Q70" i="4"/>
  <c r="Q73" i="4"/>
  <c r="H479" i="1"/>
  <c r="M282" i="1"/>
  <c r="M445" i="1"/>
  <c r="M447" i="1"/>
  <c r="M428" i="1"/>
  <c r="M406" i="1"/>
  <c r="M318" i="1"/>
  <c r="M314" i="1"/>
  <c r="M290" i="1"/>
  <c r="M286" i="1"/>
  <c r="M114" i="1"/>
  <c r="M10" i="1"/>
  <c r="M6" i="1"/>
  <c r="M317" i="1"/>
  <c r="M313" i="1"/>
  <c r="M297" i="1"/>
  <c r="M293" i="1"/>
  <c r="M289" i="1"/>
  <c r="M391" i="1"/>
  <c r="M319" i="1"/>
  <c r="M291" i="1"/>
  <c r="M8" i="1"/>
  <c r="M328" i="1"/>
  <c r="M296" i="1"/>
  <c r="M7" i="1"/>
  <c r="M323" i="1"/>
  <c r="M316" i="1"/>
  <c r="M115" i="1"/>
  <c r="M315" i="1"/>
  <c r="M288" i="1"/>
  <c r="M287" i="1"/>
  <c r="M113" i="1"/>
  <c r="M112" i="1"/>
  <c r="M9" i="1"/>
  <c r="M394" i="1"/>
  <c r="M390" i="1"/>
  <c r="M110" i="1"/>
  <c r="M405" i="1"/>
  <c r="M329" i="1"/>
  <c r="M305" i="1"/>
  <c r="M285" i="1"/>
  <c r="M111" i="1"/>
  <c r="M109" i="1"/>
  <c r="M308" i="1"/>
  <c r="M5" i="1"/>
  <c r="M4" i="1"/>
  <c r="M3" i="1"/>
  <c r="N445" i="1"/>
  <c r="N447" i="1"/>
  <c r="N428" i="1"/>
  <c r="N282" i="1"/>
  <c r="M417" i="1"/>
  <c r="M440" i="1"/>
  <c r="M23" i="1"/>
  <c r="O428" i="1"/>
  <c r="O282" i="1"/>
  <c r="O447" i="1"/>
  <c r="O445" i="1"/>
  <c r="P376" i="1"/>
  <c r="P475" i="1"/>
  <c r="P124" i="1"/>
  <c r="P16" i="1"/>
  <c r="P320" i="1"/>
  <c r="P346" i="1"/>
  <c r="P354" i="1"/>
  <c r="P330" i="1"/>
  <c r="O438" i="1"/>
  <c r="O276" i="1"/>
  <c r="O128" i="1"/>
  <c r="O104" i="1"/>
  <c r="O273" i="1"/>
  <c r="O277" i="1"/>
  <c r="O379" i="1"/>
  <c r="O275" i="1"/>
  <c r="O105" i="1"/>
  <c r="O274" i="1"/>
  <c r="O103" i="1"/>
  <c r="O378" i="1"/>
  <c r="O122" i="1"/>
  <c r="O20" i="1"/>
  <c r="O106" i="1"/>
  <c r="O14" i="1"/>
  <c r="O130" i="1"/>
  <c r="O446" i="1"/>
  <c r="O393" i="1"/>
  <c r="O422" i="1"/>
  <c r="O430" i="1"/>
  <c r="O443" i="1"/>
  <c r="O421" i="1"/>
  <c r="O259" i="1"/>
  <c r="O429" i="1"/>
  <c r="O95" i="1"/>
  <c r="O423" i="1"/>
  <c r="O279" i="1"/>
  <c r="O258" i="1"/>
  <c r="O283" i="1"/>
  <c r="P35" i="1"/>
  <c r="P357" i="1"/>
  <c r="P153" i="1"/>
  <c r="J446" i="1"/>
  <c r="J430" i="1"/>
  <c r="J422" i="1"/>
  <c r="J393" i="1"/>
  <c r="J258" i="1"/>
  <c r="J423" i="1"/>
  <c r="J283" i="1"/>
  <c r="J279" i="1"/>
  <c r="J259" i="1"/>
  <c r="J95" i="1"/>
  <c r="J443" i="1"/>
  <c r="J421" i="1"/>
  <c r="J429" i="1"/>
  <c r="J445" i="1"/>
  <c r="J282" i="1"/>
  <c r="J447" i="1"/>
  <c r="J428" i="1"/>
  <c r="J472" i="1"/>
  <c r="J407" i="1"/>
  <c r="J142" i="1"/>
  <c r="J469" i="1"/>
  <c r="K355" i="1"/>
  <c r="K126" i="1"/>
  <c r="K18" i="1"/>
  <c r="K439" i="1"/>
  <c r="K377" i="1"/>
  <c r="K399" i="1"/>
  <c r="K372" i="1"/>
  <c r="K398" i="1"/>
  <c r="K17" i="1"/>
  <c r="K125" i="1"/>
  <c r="K120" i="1"/>
  <c r="K402" i="1"/>
  <c r="K401" i="1"/>
  <c r="K400" i="1"/>
  <c r="K404" i="1"/>
  <c r="K373" i="1"/>
  <c r="K486" i="1"/>
  <c r="K13" i="1"/>
  <c r="K121" i="1"/>
  <c r="M470" i="1"/>
  <c r="M306" i="1"/>
  <c r="M146" i="1"/>
  <c r="M413" i="1"/>
  <c r="M408" i="1"/>
  <c r="M392" i="1"/>
  <c r="N461" i="1"/>
  <c r="N433" i="1"/>
  <c r="N309" i="1"/>
  <c r="N479" i="1"/>
  <c r="N435" i="1"/>
  <c r="N343" i="1"/>
  <c r="N311" i="1"/>
  <c r="N143" i="1"/>
  <c r="N468" i="1"/>
  <c r="N432" i="1"/>
  <c r="N460" i="1"/>
  <c r="N28" i="1"/>
  <c r="N417" i="1"/>
  <c r="N23" i="1"/>
  <c r="N440" i="1"/>
  <c r="N383" i="1"/>
  <c r="N11" i="1"/>
  <c r="N96" i="1"/>
  <c r="N260" i="1"/>
  <c r="M354" i="1"/>
  <c r="M346" i="1"/>
  <c r="M330" i="1"/>
  <c r="M124" i="1"/>
  <c r="M475" i="1"/>
  <c r="M376" i="1"/>
  <c r="M320" i="1"/>
  <c r="M16" i="1"/>
  <c r="O371" i="1"/>
  <c r="O119" i="1"/>
  <c r="O127" i="1"/>
  <c r="O19" i="1"/>
  <c r="O372" i="1"/>
  <c r="O120" i="1"/>
  <c r="O355" i="1"/>
  <c r="O126" i="1"/>
  <c r="O439" i="1"/>
  <c r="O399" i="1"/>
  <c r="O398" i="1"/>
  <c r="O17" i="1"/>
  <c r="O377" i="1"/>
  <c r="O125" i="1"/>
  <c r="O18" i="1"/>
  <c r="P308" i="1"/>
  <c r="P405" i="1"/>
  <c r="P329" i="1"/>
  <c r="P285" i="1"/>
  <c r="P3" i="1"/>
  <c r="P390" i="1"/>
  <c r="P111" i="1"/>
  <c r="P394" i="1"/>
  <c r="P305" i="1"/>
  <c r="P110" i="1"/>
  <c r="P5" i="1"/>
  <c r="P109" i="1"/>
  <c r="P4" i="1"/>
  <c r="O340" i="1"/>
  <c r="O342" i="1"/>
  <c r="O302" i="1"/>
  <c r="O341" i="1"/>
  <c r="O335" i="1"/>
  <c r="O141" i="1"/>
  <c r="O260" i="1"/>
  <c r="O383" i="1"/>
  <c r="O96" i="1"/>
  <c r="O11" i="1"/>
  <c r="K142" i="1"/>
  <c r="K469" i="1"/>
  <c r="K472" i="1"/>
  <c r="K407" i="1"/>
  <c r="K282" i="1"/>
  <c r="K447" i="1"/>
  <c r="K428" i="1"/>
  <c r="K445" i="1"/>
  <c r="K343" i="1"/>
  <c r="K311" i="1"/>
  <c r="K143" i="1"/>
  <c r="K435" i="1"/>
  <c r="K479" i="1"/>
  <c r="K461" i="1"/>
  <c r="K460" i="1"/>
  <c r="K433" i="1"/>
  <c r="K468" i="1"/>
  <c r="K432" i="1"/>
  <c r="K28" i="1"/>
  <c r="K309" i="1"/>
  <c r="K475" i="1"/>
  <c r="K354" i="1"/>
  <c r="K346" i="1"/>
  <c r="K330" i="1"/>
  <c r="K376" i="1"/>
  <c r="K320" i="1"/>
  <c r="K16" i="1"/>
  <c r="K124" i="1"/>
  <c r="Q83" i="4"/>
  <c r="Q85" i="4"/>
  <c r="Q81" i="4"/>
  <c r="Q89" i="4"/>
  <c r="Q76" i="4"/>
  <c r="H306" i="1"/>
  <c r="H390" i="1"/>
  <c r="H309" i="1"/>
  <c r="H468" i="1"/>
  <c r="H432" i="1"/>
  <c r="H433" i="1"/>
  <c r="H460" i="1"/>
  <c r="H142" i="1"/>
  <c r="H469" i="1"/>
  <c r="H311" i="1"/>
  <c r="H21" i="1"/>
  <c r="H345" i="1"/>
  <c r="H129" i="1"/>
  <c r="H123" i="1"/>
  <c r="H305" i="1"/>
  <c r="H28" i="1"/>
  <c r="H375" i="1"/>
  <c r="H143" i="1"/>
  <c r="H374" i="1"/>
  <c r="H435" i="1"/>
  <c r="H12" i="1"/>
  <c r="H385" i="1"/>
  <c r="H353" i="1"/>
  <c r="H118" i="1"/>
  <c r="H343" i="1"/>
  <c r="H472" i="1"/>
  <c r="H474" i="1"/>
  <c r="H111" i="1"/>
  <c r="H405" i="1"/>
  <c r="H398" i="1"/>
  <c r="H329" i="1"/>
  <c r="H109" i="1"/>
  <c r="H16" i="1"/>
  <c r="H475" i="1"/>
  <c r="H346" i="1"/>
  <c r="H429" i="1"/>
  <c r="H393" i="1"/>
  <c r="H354" i="1"/>
  <c r="H320" i="1"/>
  <c r="H11" i="1"/>
  <c r="H376" i="1"/>
  <c r="H124" i="1"/>
  <c r="H96" i="1"/>
  <c r="H408" i="1"/>
  <c r="H371" i="1"/>
  <c r="H19" i="1"/>
  <c r="H413" i="1"/>
  <c r="H141" i="1"/>
  <c r="H335" i="1"/>
  <c r="H394" i="1"/>
  <c r="H285" i="1"/>
  <c r="H3" i="1"/>
  <c r="H342" i="1"/>
  <c r="H470" i="1"/>
  <c r="H392" i="1"/>
  <c r="H119" i="1"/>
  <c r="H4" i="1"/>
  <c r="H308" i="1"/>
  <c r="H110" i="1"/>
  <c r="H302" i="1"/>
  <c r="H447" i="1"/>
  <c r="H117" i="1"/>
  <c r="H383" i="1"/>
  <c r="H116" i="1"/>
  <c r="H15" i="1"/>
  <c r="H423" i="1"/>
  <c r="H259" i="1"/>
  <c r="H421" i="1"/>
  <c r="H258" i="1"/>
  <c r="H357" i="1"/>
  <c r="H443" i="1"/>
  <c r="H422" i="1"/>
  <c r="H378" i="1"/>
  <c r="H35" i="1"/>
  <c r="H430" i="1"/>
  <c r="H95" i="1"/>
  <c r="H446" i="1"/>
  <c r="H279" i="1"/>
  <c r="H438" i="1"/>
  <c r="H428" i="1"/>
  <c r="H440" i="1"/>
  <c r="H20" i="1"/>
  <c r="H103" i="1"/>
  <c r="H273" i="1"/>
  <c r="H282" i="1"/>
  <c r="H417" i="1"/>
  <c r="H14" i="1"/>
  <c r="H323" i="1"/>
  <c r="H457" i="1"/>
  <c r="H112" i="1"/>
  <c r="H9" i="1"/>
  <c r="H297" i="1"/>
  <c r="H462" i="1"/>
  <c r="H456" i="1"/>
  <c r="H6" i="1"/>
  <c r="H391" i="1"/>
  <c r="H315" i="1"/>
  <c r="H454" i="1"/>
  <c r="H115" i="1"/>
  <c r="H480" i="1"/>
  <c r="H319" i="1"/>
  <c r="H313" i="1"/>
  <c r="H314" i="1"/>
  <c r="H293" i="1"/>
  <c r="H8" i="1"/>
  <c r="H7" i="1"/>
  <c r="H138" i="1"/>
  <c r="H316" i="1"/>
  <c r="H29" i="1"/>
  <c r="H478" i="1"/>
  <c r="H317" i="1"/>
  <c r="H453" i="1"/>
  <c r="H144" i="1"/>
  <c r="H299" i="1"/>
  <c r="H290" i="1"/>
  <c r="H455" i="1"/>
  <c r="H301" i="1"/>
  <c r="H287" i="1"/>
  <c r="H136" i="1"/>
  <c r="H288" i="1"/>
  <c r="H291" i="1"/>
  <c r="H458" i="1"/>
  <c r="H113" i="1"/>
  <c r="H114" i="1"/>
  <c r="H434" i="1"/>
  <c r="H328" i="1"/>
  <c r="H406" i="1"/>
  <c r="H477" i="1"/>
  <c r="H26" i="1"/>
  <c r="H289" i="1"/>
  <c r="H318" i="1"/>
  <c r="H402" i="1"/>
  <c r="H286" i="1"/>
  <c r="H296" i="1"/>
  <c r="H274" i="1"/>
  <c r="H122" i="1"/>
  <c r="H379" i="1"/>
  <c r="H277" i="1"/>
  <c r="H341" i="1"/>
  <c r="H105" i="1"/>
  <c r="H130" i="1"/>
  <c r="H276" i="1"/>
  <c r="H275" i="1"/>
  <c r="H128" i="1"/>
  <c r="H106" i="1"/>
  <c r="H334" i="1"/>
  <c r="H372" i="1"/>
  <c r="H13" i="1"/>
  <c r="H486" i="1"/>
  <c r="H140" i="1"/>
  <c r="H400" i="1"/>
  <c r="H331" i="1"/>
  <c r="H439" i="1"/>
  <c r="H355" i="1"/>
  <c r="H321" i="1"/>
  <c r="H126" i="1"/>
  <c r="H399" i="1"/>
  <c r="H17" i="1"/>
  <c r="H27" i="1"/>
  <c r="H336" i="1"/>
  <c r="H121" i="1"/>
  <c r="H404" i="1"/>
  <c r="H304" i="1"/>
  <c r="H332" i="1"/>
  <c r="H377" i="1"/>
  <c r="H373" i="1"/>
  <c r="H139" i="1"/>
  <c r="H300" i="1"/>
  <c r="H33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 Rumpelnik</author>
  </authors>
  <commentList>
    <comment ref="O11" authorId="0" shapeId="0" xr:uid="{73590968-6C81-4190-BCA9-E5B8C4C8AA26}">
      <text>
        <r>
          <rPr>
            <b/>
            <sz val="9"/>
            <color rgb="FF000000"/>
            <rFont val="Tahoma"/>
            <family val="2"/>
          </rPr>
          <t>Christian Rumpelnik: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https://id.elsevier.com/as/authorization.oauth2?platSite=SD%2Fscience&amp;additionalPlatSites=GH%2Fgeneralhospital%2CMDY%2Fmendeley%2CSC%2Fscopus%2CRX%2Freaxys&amp;scope=openid%20email%20profile%20els_auth_info%20els_idp_info%20els_idp_analytics_attrs%20urn%3Acom%3Aelsevier%3Aidp%3Apolicy%3Aproduct%3Ainst_assoc&amp;response_type=code&amp;redirect_uri=https%3A%2F%2Fwww.sciencedirect.com%2Fuser%2Fidentity%2Flanding&amp;authType=SINGLE_SIGN_IN&amp;prompt=none&amp;client_id=SDFE-v4&amp;state=retryCounter%3D0%26csrfToken%3D3ee2c367-6739-4fd9-b7a7-d2a4c4b4265c%26idpPolicy%3Durn%253Acom%253Aelsevier%253Aidp%253Apolicy%253Aproduct%253Ainst_assoc%26returnUrl%3D%252Fscience%252Farticle%252Fpii%252FS2405844023102970%26prompt%3Dnone%26cid%3Darp-01a8fff7-a1a2-4fcc-9fcd-27c2863f8256#:~:text=Nitric%20acid%20is%20produced%20by,metals%20in%20plants%20%5B8%5D.</t>
        </r>
      </text>
    </comment>
    <comment ref="G53" authorId="0" shapeId="0" xr:uid="{23DB6428-97E0-4369-9D3D-96EF76B9D8E2}">
      <text>
        <r>
          <rPr>
            <b/>
            <sz val="9"/>
            <color indexed="81"/>
            <rFont val="Tahoma"/>
            <family val="2"/>
          </rPr>
          <t>Christian Rumpelnik:</t>
        </r>
        <r>
          <rPr>
            <sz val="9"/>
            <color indexed="81"/>
            <rFont val="Tahoma"/>
            <family val="2"/>
          </rPr>
          <t xml:space="preserve">
https://www.rhimagnesita.com/de/the-bulletin-blog/product-carbon-footprint-of-refractory-products/#:~:text=As%20a%20fallback%20for%20raw,average%20for%20refractory%20raw%20materials.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<sst xmlns="http://schemas.openxmlformats.org/spreadsheetml/2006/main" count="3455" uniqueCount="509">
  <si>
    <t>activity_type</t>
  </si>
  <si>
    <t>description</t>
  </si>
  <si>
    <t>nace_level2</t>
  </si>
  <si>
    <t>Freq</t>
  </si>
  <si>
    <t>Production of primary aluminium</t>
  </si>
  <si>
    <t>Aluminium production</t>
  </si>
  <si>
    <t>Basic metals</t>
  </si>
  <si>
    <t>Aluminium</t>
  </si>
  <si>
    <t>Production of secondary aluminium</t>
  </si>
  <si>
    <t>Production or processing of non-ferrous metals</t>
  </si>
  <si>
    <t>Combustion of fuels</t>
  </si>
  <si>
    <t>Combustion installations with a rated thermal input exceeding 20 MW</t>
  </si>
  <si>
    <t>Manufacture of ceramics</t>
  </si>
  <si>
    <t>Building of ships and floating structures</t>
  </si>
  <si>
    <t>Other transport equipment</t>
  </si>
  <si>
    <t>Other combustion</t>
  </si>
  <si>
    <t>Cargo handling</t>
  </si>
  <si>
    <t>Warehousing and support activities for transportation</t>
  </si>
  <si>
    <t>Production or processing of ferrous metals</t>
  </si>
  <si>
    <t>Casting of iron</t>
  </si>
  <si>
    <t>Iron &amp; Steel</t>
  </si>
  <si>
    <t>Production of pig iron or steel</t>
  </si>
  <si>
    <t>Casting of light metals</t>
  </si>
  <si>
    <t>Cold drawing of bars</t>
  </si>
  <si>
    <t>Cold drawing of wire</t>
  </si>
  <si>
    <t>Cold forming or folding</t>
  </si>
  <si>
    <t>Cold rolling of narrow strip</t>
  </si>
  <si>
    <t>Construction of roads and motorways</t>
  </si>
  <si>
    <t>Civil engineering</t>
  </si>
  <si>
    <t>Copper production</t>
  </si>
  <si>
    <t>Copper</t>
  </si>
  <si>
    <t>Data processing, hosting and related activities</t>
  </si>
  <si>
    <t>Information service activities</t>
  </si>
  <si>
    <t>Other activity opted-in pursuant to Article 24 of Directive 2003/87/EC</t>
  </si>
  <si>
    <t>Production of bulk chemicals</t>
  </si>
  <si>
    <t>Production of paper or cardboard</t>
  </si>
  <si>
    <t>Production or processing of gypsum or plasterboard</t>
  </si>
  <si>
    <t>Defence activities</t>
  </si>
  <si>
    <t>Public administration and defence</t>
  </si>
  <si>
    <t>Development of building projects</t>
  </si>
  <si>
    <t>Construction of buildings</t>
  </si>
  <si>
    <t>Distilling, rectifying and blending of spirits</t>
  </si>
  <si>
    <t>Beverages</t>
  </si>
  <si>
    <t>Distribution of electricity</t>
  </si>
  <si>
    <t>Electricity, gas, steam and air conditioning supply</t>
  </si>
  <si>
    <t>Power and heat</t>
  </si>
  <si>
    <t>Distribution of gaseous fuels through mains</t>
  </si>
  <si>
    <t>Electric power generation, transmission and distribution</t>
  </si>
  <si>
    <t>Mineral oil refineries</t>
  </si>
  <si>
    <t>Production of lime, or calcination of dolomite/magnesite</t>
  </si>
  <si>
    <t>Industrial plants for the production of (a) pulp from timber or other fibrous materials (b) paper and board</t>
  </si>
  <si>
    <t>Production of coke</t>
  </si>
  <si>
    <t>Refining of mineral oil</t>
  </si>
  <si>
    <t>Extraction of crude petroleum</t>
  </si>
  <si>
    <t>Extraction of crude petroleum and natural gas</t>
  </si>
  <si>
    <t>Extraction of Oil &amp; Gas</t>
  </si>
  <si>
    <t>Extraction of natural gas</t>
  </si>
  <si>
    <t>Extraction of salt</t>
  </si>
  <si>
    <t>Other mining and quarrying</t>
  </si>
  <si>
    <t>Financial leasing</t>
  </si>
  <si>
    <t>Financial service activities, except insurance and pension funding</t>
  </si>
  <si>
    <t>Finishing of textiles</t>
  </si>
  <si>
    <t>Textiles</t>
  </si>
  <si>
    <t>Fire service activities</t>
  </si>
  <si>
    <t>Forging, pressing, stamping and roll-forming of metal</t>
  </si>
  <si>
    <t>Other metal products</t>
  </si>
  <si>
    <t>Growing of cereals (except rice), leguminous crops and oil seeds</t>
  </si>
  <si>
    <t>Crop &amp; animal production</t>
  </si>
  <si>
    <t>Growing of other non-perennial crops</t>
  </si>
  <si>
    <t>Growing of tropical and subtropical fruits</t>
  </si>
  <si>
    <t>Growing of vegetables and melons, roots and tubers</t>
  </si>
  <si>
    <t>Higher education</t>
  </si>
  <si>
    <t>Education</t>
  </si>
  <si>
    <t>Hospital activities</t>
  </si>
  <si>
    <t>Human health activities</t>
  </si>
  <si>
    <t>Lead, zinc and tin production</t>
  </si>
  <si>
    <t>Lead, zinc and tin</t>
  </si>
  <si>
    <t>Metal ore roasting or sintering</t>
  </si>
  <si>
    <t>Machining</t>
  </si>
  <si>
    <t>Manufacture of glass</t>
  </si>
  <si>
    <t>Manufacture and processing of other glass, including technical glassware</t>
  </si>
  <si>
    <t>Non-metallic mineral products</t>
  </si>
  <si>
    <t>Glass</t>
  </si>
  <si>
    <t>Installations for the manufacture of glass including glass fibre</t>
  </si>
  <si>
    <t>Manufacture of abrasive products and non-metallic mineral products n.e.c.</t>
  </si>
  <si>
    <t>Manufacture of agricultural and forestry machinery</t>
  </si>
  <si>
    <t>Machinery &amp; equipment</t>
  </si>
  <si>
    <t>Manufacture of air and spacecraft and related machinery</t>
  </si>
  <si>
    <t>Manufacture of assembled parquet floors</t>
  </si>
  <si>
    <t>Wood and of products of wood and cork</t>
  </si>
  <si>
    <t>Manufacture of basic iron and steel and of ferro-alloys</t>
  </si>
  <si>
    <t>Installations for the production of pig iron or steel (primary or secondary fusion) including continuous casting</t>
  </si>
  <si>
    <t>Metal ore (including sulphide ore) roasting or sintering installations</t>
  </si>
  <si>
    <t>Manufacture of basic pharmaceutical products</t>
  </si>
  <si>
    <t>Pharmaceuticals</t>
  </si>
  <si>
    <t>Chemicals</t>
  </si>
  <si>
    <t>Manufacture of bearings, gears, gearing and driving elements</t>
  </si>
  <si>
    <t>Manufacture of beer</t>
  </si>
  <si>
    <t>Manufacture of bodies (coachwork) for motor vehicles</t>
  </si>
  <si>
    <t>Motor vehicles</t>
  </si>
  <si>
    <t>Manufacture of bricks, tiles and construction products, in baked clay</t>
  </si>
  <si>
    <t>Ceramics</t>
  </si>
  <si>
    <t>Installations for the manufacture of ceramic products by firing, in particular roofing tiles, bricks, refractory bricks, tiles, stoneware or porcelain</t>
  </si>
  <si>
    <t>Manufacture of carpets and rugs</t>
  </si>
  <si>
    <t>Production of cement clinker</t>
  </si>
  <si>
    <t>Manufacture of cement</t>
  </si>
  <si>
    <t>Cement</t>
  </si>
  <si>
    <t>Installations for the production of cement clinker in rotary kilns or lime in rotary kilns or in other furnaces</t>
  </si>
  <si>
    <t>Manufacture of ceramic household and ornamental articles</t>
  </si>
  <si>
    <t>Manufacture of ceramic insulators and insulating fittings</t>
  </si>
  <si>
    <t>Manufacture of ceramic sanitary fixtures</t>
  </si>
  <si>
    <t>Manufacture of ceramic tiles and flags</t>
  </si>
  <si>
    <t>Manufacture of cocoa, chocolate and sugar confectionery</t>
  </si>
  <si>
    <t>Food products</t>
  </si>
  <si>
    <t>Manufacture of coke oven products</t>
  </si>
  <si>
    <t>Coke and refined pretroleu,</t>
  </si>
  <si>
    <t>Coke</t>
  </si>
  <si>
    <t>Manufacture of computers and peripheral equipment</t>
  </si>
  <si>
    <t>Computer, electronic and optical products</t>
  </si>
  <si>
    <t>Manufacture of concrete products for construction purposes</t>
  </si>
  <si>
    <t>Manufacture of condiments and seasonings</t>
  </si>
  <si>
    <t>Manufacture of corrugated paper and paperboard and of containers of paper and paperboard</t>
  </si>
  <si>
    <t>Pulp &amp; Paper</t>
  </si>
  <si>
    <t xml:space="preserve">Corrugated paper </t>
  </si>
  <si>
    <t>Production of pulp</t>
  </si>
  <si>
    <t>Manufacture of dyes and pigments</t>
  </si>
  <si>
    <t>Manufacture of electric domestic appliances</t>
  </si>
  <si>
    <t>Electrical equipment</t>
  </si>
  <si>
    <t>Manufacture of electric lighting equipment</t>
  </si>
  <si>
    <t>Manufacture of electric motors, generators, transformers and electricity distribution and control apparatus</t>
  </si>
  <si>
    <t>Manufacture of electricity distribution and control apparatus</t>
  </si>
  <si>
    <t>Manufacture of electronic components</t>
  </si>
  <si>
    <t>Manufacture of engines and turbines, except aircraft, vehicle and cycle engines</t>
  </si>
  <si>
    <t>Manufacture of explosives</t>
  </si>
  <si>
    <t>Manufacture of fertilisers and nitrogen compounds</t>
  </si>
  <si>
    <t>Production of nitric acid</t>
  </si>
  <si>
    <t>Production of ammonia</t>
  </si>
  <si>
    <t>Manufacture of fibre cement</t>
  </si>
  <si>
    <t>Manufacture of flat glass</t>
  </si>
  <si>
    <t>Manufacture of fruit and vegetable juice</t>
  </si>
  <si>
    <t>Manufacture of gas</t>
  </si>
  <si>
    <t>Manufacture of glass fibres</t>
  </si>
  <si>
    <t>Glass fibre and mineral wool</t>
  </si>
  <si>
    <t>Manufacture of mineral wool</t>
  </si>
  <si>
    <t>Manufacture of glues</t>
  </si>
  <si>
    <t>Manufacture of grain mill products</t>
  </si>
  <si>
    <t>Manufacture of hollow glass</t>
  </si>
  <si>
    <t>Manufacture of homogenised food preparations and dietetic food</t>
  </si>
  <si>
    <t>Manufacture of household and sanitary goods and of toilet requisites</t>
  </si>
  <si>
    <t>Tissue</t>
  </si>
  <si>
    <t>Manufacture of ice cream</t>
  </si>
  <si>
    <t>Production of hydrogen and synthesis gas</t>
  </si>
  <si>
    <t>Manufacture of industrial gases</t>
  </si>
  <si>
    <t>Manufacture of light metal packaging</t>
  </si>
  <si>
    <t>Manufacture of lime and plaster</t>
  </si>
  <si>
    <t>Lime, dolomite and plaster</t>
  </si>
  <si>
    <t>Manufacture of macaroni, noodles, couscous and similar farinaceous products</t>
  </si>
  <si>
    <t>Manufacture of machinery for metallurgy</t>
  </si>
  <si>
    <t>Manufacture of machinery for mining, quarrying and construction</t>
  </si>
  <si>
    <t>Manufacture of machinery for textile, apparel and leather production</t>
  </si>
  <si>
    <t>Manufacture of made-up textile articles, except apparel</t>
  </si>
  <si>
    <t>Manufacture of malt</t>
  </si>
  <si>
    <t>Manufacture of man-made fibres</t>
  </si>
  <si>
    <t>Manufacture of medical and dental instruments and supplies</t>
  </si>
  <si>
    <t>Other manufacturing</t>
  </si>
  <si>
    <t>Manufacture of metal structures and parts of structures</t>
  </si>
  <si>
    <t>Manufacture of mortars</t>
  </si>
  <si>
    <t>Manufacture of motor vehicles</t>
  </si>
  <si>
    <t>Manufacture of motorcycles</t>
  </si>
  <si>
    <t>Manufacture of non-domestic cooling and ventilation equipment</t>
  </si>
  <si>
    <t>Manufacture of non-wovens and articles made from non-wovens, except apparel</t>
  </si>
  <si>
    <t>Manufacture of oils and fats</t>
  </si>
  <si>
    <t>Manufacture of other articles of paper and paperboard</t>
  </si>
  <si>
    <t>Paper</t>
  </si>
  <si>
    <t>Manufacture of other builders' carpentry and joinery</t>
  </si>
  <si>
    <t>Manufacture of other ceramic products</t>
  </si>
  <si>
    <t>Manufacture of other chemical products</t>
  </si>
  <si>
    <t>Manufacture of other chemical products n.e.c.</t>
  </si>
  <si>
    <t>Manufacture of other electrical equipment</t>
  </si>
  <si>
    <t>Manufacture of other electronic and electric wires and cables</t>
  </si>
  <si>
    <t>Manufacture of other fabricated metal products n.e.c.</t>
  </si>
  <si>
    <t>Manufacture of other food products</t>
  </si>
  <si>
    <t>Manufacture of other food products n.e.c.</t>
  </si>
  <si>
    <t>Manufacture of other furniture</t>
  </si>
  <si>
    <t>Furniture</t>
  </si>
  <si>
    <t>Manufacture of other inorganic basic chemicals</t>
  </si>
  <si>
    <t>Production of carbon black</t>
  </si>
  <si>
    <t>Production of soda ash and sodium bicarbonate</t>
  </si>
  <si>
    <t>Manufacture of other non-distilled fermented beverages</t>
  </si>
  <si>
    <t>Manufacture of other non-metallic mineral products n.e.c.</t>
  </si>
  <si>
    <t>Non-metallic products</t>
  </si>
  <si>
    <t>Manufacture of other organic basic chemicals</t>
  </si>
  <si>
    <t>Production of adipic acid</t>
  </si>
  <si>
    <t>Production of glyoxal and glyoxylic acid</t>
  </si>
  <si>
    <t>Manufacture of other outerwear</t>
  </si>
  <si>
    <t>Wearing apparel</t>
  </si>
  <si>
    <t>Manufacture of other parts and accessories for motor vehicles</t>
  </si>
  <si>
    <t>Manufacture of other plastic products</t>
  </si>
  <si>
    <t>Rubber &amp; plastic</t>
  </si>
  <si>
    <t>Manufacture of other porcelain and ceramic products</t>
  </si>
  <si>
    <t>Manufacture of other products of wood</t>
  </si>
  <si>
    <t>Manufacture of other pumps and compressors</t>
  </si>
  <si>
    <t>Manufacture of other rubber products</t>
  </si>
  <si>
    <t>Manufacture of other special-purpose machinery n.e.c.</t>
  </si>
  <si>
    <t>Manufacture of other taps and valves</t>
  </si>
  <si>
    <t>Manufacture of other technical ceramic products</t>
  </si>
  <si>
    <t>Manufacture of other textiles n.e.c.</t>
  </si>
  <si>
    <t>Manufacture of paints, varnishes and similar coatings, printing ink and mastics</t>
  </si>
  <si>
    <t>Manufacture of paper and paperboard</t>
  </si>
  <si>
    <t>Manufacture of perfumes and toilet preparations</t>
  </si>
  <si>
    <t>Manufacture of pesticides and other agrochemical products</t>
  </si>
  <si>
    <t>Manufacture of pharmaceutical preparations</t>
  </si>
  <si>
    <t>Manufacture of plaster products for construction purposes</t>
  </si>
  <si>
    <t>Gypsum and plaster</t>
  </si>
  <si>
    <t>Manufacture of plastic packing goods</t>
  </si>
  <si>
    <t>Manufacture of plastic plates, sheets, tubes and profiles</t>
  </si>
  <si>
    <t>Manufacture of plastics in primary forms</t>
  </si>
  <si>
    <t>Manufacture of prepared feeds for farm animals</t>
  </si>
  <si>
    <t>Manufacture of prepared meals and dishes</t>
  </si>
  <si>
    <t>Manufacture of prepared pet foods</t>
  </si>
  <si>
    <t>Manufacture of pulp</t>
  </si>
  <si>
    <t>Pulp</t>
  </si>
  <si>
    <t>Manufacture of railway locomotives and rolling stock</t>
  </si>
  <si>
    <t>Manufacture of refined petroleum products</t>
  </si>
  <si>
    <t>Refining</t>
  </si>
  <si>
    <t>Manufacture of refractory products</t>
  </si>
  <si>
    <t>Manufacture of rubber tyres and tubes</t>
  </si>
  <si>
    <t>Manufacture of rusks and biscuits</t>
  </si>
  <si>
    <t>Manufacture of soap and detergents, cleaning and polishing preparations</t>
  </si>
  <si>
    <t>Manufacture of starches and starch products</t>
  </si>
  <si>
    <t>Manufacture of sugar</t>
  </si>
  <si>
    <t>Manufacture of synthetic rubber in primary forms</t>
  </si>
  <si>
    <t>Manufacture of tanks, reservoirs and containers of metal</t>
  </si>
  <si>
    <t>Manufacture of tobacco products</t>
  </si>
  <si>
    <t>Tobacco products</t>
  </si>
  <si>
    <t>Manufacture of tools</t>
  </si>
  <si>
    <t>Manufacture of tubes, pipes, hollow profiles and related fittings, of steel</t>
  </si>
  <si>
    <t>Iron &amp; steel</t>
  </si>
  <si>
    <t>Manufacture of veneer sheets and wood-based panels</t>
  </si>
  <si>
    <t>Manufacture of wallpaper</t>
  </si>
  <si>
    <t>Manufacture of weapons and ammunition</t>
  </si>
  <si>
    <t>Mining of chemical and fertiliser minerals</t>
  </si>
  <si>
    <t>Mining &amp; quarrying</t>
  </si>
  <si>
    <t>Mining of hard coal</t>
  </si>
  <si>
    <t>Mining of coal and lignite</t>
  </si>
  <si>
    <t>Mining of iron ores</t>
  </si>
  <si>
    <t>Mining of metal ores</t>
  </si>
  <si>
    <t>Mining of uranium and thorium ores</t>
  </si>
  <si>
    <t>Monetary intermediation</t>
  </si>
  <si>
    <t>Operation of dairies and cheese making</t>
  </si>
  <si>
    <t>Operation of gravel and sand pits</t>
  </si>
  <si>
    <t>Other business support service activities n.e.c.</t>
  </si>
  <si>
    <t>Office administrative, office support and other business support activities</t>
  </si>
  <si>
    <t>Other human health activities</t>
  </si>
  <si>
    <t>Other mining and quarrying n.e.c.</t>
  </si>
  <si>
    <t>Other non-ferrous metal production</t>
  </si>
  <si>
    <t>Non-ferrous metals</t>
  </si>
  <si>
    <t>Other printing</t>
  </si>
  <si>
    <t>Printing</t>
  </si>
  <si>
    <t>Other processing and preserving of fruit and vegetables</t>
  </si>
  <si>
    <t>Other research and experimental development on natural sciences and engineering</t>
  </si>
  <si>
    <t>Scientific research and development</t>
  </si>
  <si>
    <t>Other specialised construction activities n.e.c.</t>
  </si>
  <si>
    <t>Specialised construction activities</t>
  </si>
  <si>
    <t>Other telecommunications activities</t>
  </si>
  <si>
    <t>Telecommunications</t>
  </si>
  <si>
    <t>Passenger air transport</t>
  </si>
  <si>
    <t>Air transport</t>
  </si>
  <si>
    <t>Passenger rail transport, interurban</t>
  </si>
  <si>
    <t>Land transport and transport via pipelines</t>
  </si>
  <si>
    <t>Plumbing, heat and air-conditioning installation</t>
  </si>
  <si>
    <t>Post-harvest crop activities</t>
  </si>
  <si>
    <t>Post-secondary non-tertiary education</t>
  </si>
  <si>
    <t>Preparation and spinning of textile fibres</t>
  </si>
  <si>
    <t>Processing and preserving of fish, crustaceans and molluscs</t>
  </si>
  <si>
    <t>Processing and preserving of fruit and vegetables</t>
  </si>
  <si>
    <t>Processing and preserving of meat</t>
  </si>
  <si>
    <t>Processing and preserving of potatoes</t>
  </si>
  <si>
    <t>Processing and preserving of poultry meat</t>
  </si>
  <si>
    <t>Processing of nuclear fuel</t>
  </si>
  <si>
    <t>Processing of tea and coffee</t>
  </si>
  <si>
    <t>Production of abrasive products</t>
  </si>
  <si>
    <t>Production of electricity</t>
  </si>
  <si>
    <t>Production of meat and poultry meat products</t>
  </si>
  <si>
    <t>Quarrying of ornamental and building stone, limestone, gypsum, chalk and slate</t>
  </si>
  <si>
    <t>Recovery of sorted materials</t>
  </si>
  <si>
    <t>Waste collection, treatment and disposal activities</t>
  </si>
  <si>
    <t>Rental and operating of own or leased real estate</t>
  </si>
  <si>
    <t>Real estate activities</t>
  </si>
  <si>
    <t>Repair and maintenance of aircraft and spacecraft</t>
  </si>
  <si>
    <t>Repair and installation of machinery and equipment</t>
  </si>
  <si>
    <t>Repair of machinery</t>
  </si>
  <si>
    <t>Research and experimental development on social sciences and humanities</t>
  </si>
  <si>
    <t>Restaurants and mobile food service activities</t>
  </si>
  <si>
    <t>Food and beverage service activities</t>
  </si>
  <si>
    <t>Sawmilling and planing of wood</t>
  </si>
  <si>
    <t>Seed processing for propagation</t>
  </si>
  <si>
    <t>Service activities incidental to air transportation</t>
  </si>
  <si>
    <t>Service activities incidental to water transportation</t>
  </si>
  <si>
    <t>Sewerage</t>
  </si>
  <si>
    <t>Shaping and processing of flat glass</t>
  </si>
  <si>
    <t>Steam and air conditioning supply</t>
  </si>
  <si>
    <t>Support activities for crop production</t>
  </si>
  <si>
    <t>Support activities for petroleum and natural gas extraction</t>
  </si>
  <si>
    <t>Mining support service activities</t>
  </si>
  <si>
    <t>Tanning and dressing of leather</t>
  </si>
  <si>
    <t>Leather and related products</t>
  </si>
  <si>
    <t>Technical testing and analysis</t>
  </si>
  <si>
    <t>Architectural and engineering activities</t>
  </si>
  <si>
    <t>Tertiary education</t>
  </si>
  <si>
    <t>Trade of electricity</t>
  </si>
  <si>
    <t>Trade of gas through mains</t>
  </si>
  <si>
    <t>Transport via pipeline</t>
  </si>
  <si>
    <t>Treatment and coating of metals</t>
  </si>
  <si>
    <t>Treatment and disposal of non-hazardous waste</t>
  </si>
  <si>
    <t>Warehousing and storage</t>
  </si>
  <si>
    <t>Weaving of textiles</t>
  </si>
  <si>
    <t>Wholesale of flowers and plants</t>
  </si>
  <si>
    <t>Wholesale trade, except of motor vehicles and motorcycles</t>
  </si>
  <si>
    <t>Wholesale of grain, unmanufactured tobacco, seeds and animal feeds</t>
  </si>
  <si>
    <t>Wholesale of pharmaceutical goods</t>
  </si>
  <si>
    <t>Wholesale of wood, construction materials and sanitary equipment</t>
  </si>
  <si>
    <t>Industry</t>
  </si>
  <si>
    <t>ETS BM Reference</t>
  </si>
  <si>
    <t>[Primary] Aluminium</t>
  </si>
  <si>
    <t>Fuel Benchmark</t>
  </si>
  <si>
    <t>Ceramics [WA]</t>
  </si>
  <si>
    <t>Cement [WA]</t>
  </si>
  <si>
    <t>Cartonboard [WA]</t>
  </si>
  <si>
    <t>Heat Benchmark</t>
  </si>
  <si>
    <t>Pulp [WA]</t>
  </si>
  <si>
    <t>Refractories</t>
  </si>
  <si>
    <t>Refractories [n.a.]</t>
  </si>
  <si>
    <t>Refinery products</t>
  </si>
  <si>
    <t>Facing bricks</t>
  </si>
  <si>
    <t>Chemicals [WA, Plastics subset]</t>
  </si>
  <si>
    <t>Plaster, Gypsum and Plasterboard [WA]</t>
  </si>
  <si>
    <t>Lime, dolime, sintered dolime [WA]</t>
  </si>
  <si>
    <t>Chemicals [WA]</t>
  </si>
  <si>
    <t>Hydrogen and synthetic gas [WA]</t>
  </si>
  <si>
    <t>Ammonia</t>
  </si>
  <si>
    <t>Nitric acid</t>
  </si>
  <si>
    <t>Chemicals [Acids and Ethylenoxid/Ethylenglykol subset, WA]</t>
  </si>
  <si>
    <t>Chemicals [Ammonia and Nitric Acid subset, WA]</t>
  </si>
  <si>
    <t>Carbon Black</t>
  </si>
  <si>
    <t>Adipic Acid</t>
  </si>
  <si>
    <t>Hydrogen and Synthetic Gas [WA]</t>
  </si>
  <si>
    <t>Soda Ash</t>
  </si>
  <si>
    <t>Chemicals [Organic chemicals subset, WA]</t>
  </si>
  <si>
    <t>Chemicals [Inorganic chemicals subset, WA]</t>
  </si>
  <si>
    <t>Continuous filament glass fibre &amp; mineral wool [WA]</t>
  </si>
  <si>
    <t>Glass [WA]</t>
  </si>
  <si>
    <t>Iron casting</t>
  </si>
  <si>
    <t>Lead, zinc and tin [n.a.]</t>
  </si>
  <si>
    <t>Non-ferrous metals [WA]</t>
  </si>
  <si>
    <t>Mineral wool</t>
  </si>
  <si>
    <t>Paper [WA]</t>
  </si>
  <si>
    <t>Non-metallic mineral products [WA]</t>
  </si>
  <si>
    <t>Steam cracking</t>
  </si>
  <si>
    <t>Aromatics</t>
  </si>
  <si>
    <t>Styrene</t>
  </si>
  <si>
    <t>Phenol/Acetone</t>
  </si>
  <si>
    <t>Ethylene oxide/ethylene glycol</t>
  </si>
  <si>
    <t>Vinyl chloride monomer</t>
  </si>
  <si>
    <t>S-PVC</t>
  </si>
  <si>
    <t>E-PVC</t>
  </si>
  <si>
    <t xml:space="preserve">Hydrogen </t>
  </si>
  <si>
    <t>Snythetic Gas</t>
  </si>
  <si>
    <t>Soda ash</t>
  </si>
  <si>
    <t>Hydrogen and SynGas</t>
  </si>
  <si>
    <t>Inorganic</t>
  </si>
  <si>
    <t>Organic</t>
  </si>
  <si>
    <t>Plastics</t>
  </si>
  <si>
    <t>Hot metal</t>
  </si>
  <si>
    <t>EAF carbon steel</t>
  </si>
  <si>
    <t>EAF high alloy steel</t>
  </si>
  <si>
    <t>Sintered ore</t>
  </si>
  <si>
    <t>Iron &amp; Steel - Integrated [WA]</t>
  </si>
  <si>
    <t>Grey cement clinker</t>
  </si>
  <si>
    <t>White cement clinker</t>
  </si>
  <si>
    <t>Lime</t>
  </si>
  <si>
    <t>Dolime</t>
  </si>
  <si>
    <t>Sintered Dolime</t>
  </si>
  <si>
    <t>Float glass</t>
  </si>
  <si>
    <t>Bottles and jars of colourless glass</t>
  </si>
  <si>
    <t>Bottles and jars of coloured glass</t>
  </si>
  <si>
    <t>Continous filament glass fibre products</t>
  </si>
  <si>
    <t>Pavers</t>
  </si>
  <si>
    <t>Roof tiles</t>
  </si>
  <si>
    <t>Spray dried powder</t>
  </si>
  <si>
    <t>Plaster</t>
  </si>
  <si>
    <t>Dried secondary gypsum</t>
  </si>
  <si>
    <t>Plasterboard</t>
  </si>
  <si>
    <t>Short fibre kraft pulp</t>
  </si>
  <si>
    <t>Long fibre kraft pulp</t>
  </si>
  <si>
    <t>Sulphite pulp</t>
  </si>
  <si>
    <t>Recovered paper pulp</t>
  </si>
  <si>
    <t>Newsprint</t>
  </si>
  <si>
    <t>Uncoated fine paper</t>
  </si>
  <si>
    <t>Coated fine paper</t>
  </si>
  <si>
    <t>Testliner and fluting</t>
  </si>
  <si>
    <t>Uncoated carbon board</t>
  </si>
  <si>
    <t>Coated carbon board</t>
  </si>
  <si>
    <t>Other</t>
  </si>
  <si>
    <t>BM</t>
  </si>
  <si>
    <t>Pulp &amp; Paper [WA]</t>
  </si>
  <si>
    <t>fuel</t>
  </si>
  <si>
    <t>feedstock</t>
  </si>
  <si>
    <t>key</t>
  </si>
  <si>
    <t>Non-metallic minerals</t>
  </si>
  <si>
    <t>Pulp &amp; paper</t>
  </si>
  <si>
    <t>BM_AL</t>
  </si>
  <si>
    <t>Gypsum</t>
  </si>
  <si>
    <t>Graphic paper</t>
  </si>
  <si>
    <t>Index_2030</t>
  </si>
  <si>
    <t>Index_2050</t>
  </si>
  <si>
    <t xml:space="preserve">Fraunhofer </t>
  </si>
  <si>
    <t>SEC Fuel (Neuwirth)</t>
  </si>
  <si>
    <t>SEC Feedstock (Neuwirth)</t>
  </si>
  <si>
    <t>GJ/T</t>
  </si>
  <si>
    <t>SEC Fuel (Kiemel)</t>
  </si>
  <si>
    <t>SEC Feedstock (Kiemel)</t>
  </si>
  <si>
    <t>Copper [n.a.]</t>
  </si>
  <si>
    <t>Process temperature</t>
  </si>
  <si>
    <t>&gt;500 (primary), 200-500 (processing)</t>
  </si>
  <si>
    <t>Note</t>
  </si>
  <si>
    <t>Approx. Zinc and general metal processing</t>
  </si>
  <si>
    <t>Check</t>
  </si>
  <si>
    <t>Confirmed</t>
  </si>
  <si>
    <t>-</t>
  </si>
  <si>
    <t>&gt; 500</t>
  </si>
  <si>
    <t>Excluded from consideration</t>
  </si>
  <si>
    <t>No distinction applied between hydrocracking and hydrotreating</t>
  </si>
  <si>
    <t>Updraft sintering</t>
  </si>
  <si>
    <t>Approx. glass general</t>
  </si>
  <si>
    <t>Approx. fibre glass</t>
  </si>
  <si>
    <t>&gt; 500 (Firing), 200-500 (Drying)</t>
  </si>
  <si>
    <t>&gt;500 (Firing),100-300 (Drying)</t>
  </si>
  <si>
    <t>Approx. cement/clinker general</t>
  </si>
  <si>
    <t>100-200</t>
  </si>
  <si>
    <t>Cartonboard</t>
  </si>
  <si>
    <t>GJ/GJ</t>
  </si>
  <si>
    <t>Hydrogen LHV</t>
  </si>
  <si>
    <t>Default to Neuwirth: Chemical Pulp</t>
  </si>
  <si>
    <t>130-150</t>
  </si>
  <si>
    <t>Status</t>
  </si>
  <si>
    <t>Iron &amp; Steel - Processing [WA]</t>
  </si>
  <si>
    <t>Ferrous metal processing, assuming no mass losses between liquid steel and rolling</t>
  </si>
  <si>
    <t>H2-DRI to hot metal</t>
  </si>
  <si>
    <t>IEA Fuel</t>
  </si>
  <si>
    <t>IEA Feedstock</t>
  </si>
  <si>
    <t>&lt;100</t>
  </si>
  <si>
    <t>200-500</t>
  </si>
  <si>
    <t>Ammonia oxidation (0.285t ammonia per to nitric acid)</t>
  </si>
  <si>
    <t>Haber-Bosch process</t>
  </si>
  <si>
    <t>H2 burner in furnace</t>
  </si>
  <si>
    <t>Solvay process / H2-burner in furnace</t>
  </si>
  <si>
    <t>Default to Neuwirth: Lime burning</t>
  </si>
  <si>
    <t>Production</t>
  </si>
  <si>
    <t>T/CO2e</t>
  </si>
  <si>
    <t>T</t>
  </si>
  <si>
    <t>Composites</t>
  </si>
  <si>
    <t>Fertilizer</t>
  </si>
  <si>
    <t>Hydrogen and Syngas</t>
  </si>
  <si>
    <t>A</t>
  </si>
  <si>
    <t>B</t>
  </si>
  <si>
    <t>C</t>
  </si>
  <si>
    <t>D</t>
  </si>
  <si>
    <t>Tags</t>
  </si>
  <si>
    <t>Emissions factors (tCO2e/t production)</t>
  </si>
  <si>
    <t>Weighted</t>
  </si>
  <si>
    <t>Allocation</t>
  </si>
  <si>
    <t>Integrated Steel</t>
  </si>
  <si>
    <t>Steel Processing</t>
  </si>
  <si>
    <t>Fibreglass</t>
  </si>
  <si>
    <t>Pulp and Paper</t>
  </si>
  <si>
    <t>Structural Ceramics</t>
  </si>
  <si>
    <t>SEC (Fuel)</t>
  </si>
  <si>
    <t>SEC (Feedstock)</t>
  </si>
  <si>
    <t>Source</t>
  </si>
  <si>
    <t>Kiemel et al (2024)</t>
  </si>
  <si>
    <t>Methanol-to-Olefins (Etyhlene)</t>
  </si>
  <si>
    <t>IEA</t>
  </si>
  <si>
    <t>NREL</t>
  </si>
  <si>
    <t>Primarily Steam, 20% efficiency upside</t>
  </si>
  <si>
    <t>Average of Benzene, Toluene, Xylone aromatics extraction, 20% efficiency upside</t>
  </si>
  <si>
    <t>Steam, 20% efficiency upside</t>
  </si>
  <si>
    <t>Primarily Fuel, 20% efficiency upside</t>
  </si>
  <si>
    <t>Excluded</t>
  </si>
  <si>
    <t>Neuwirth et al (2022)</t>
  </si>
  <si>
    <t>ETS BM</t>
  </si>
  <si>
    <t>Default to Neuwirth: Recovered fibres</t>
  </si>
  <si>
    <t>%, 2023-2030</t>
  </si>
  <si>
    <t>%, 2030-2050</t>
  </si>
  <si>
    <t>Chemical products</t>
  </si>
  <si>
    <t>Ferrous metals</t>
  </si>
  <si>
    <t>Paper products</t>
  </si>
  <si>
    <t>Crude oil</t>
  </si>
  <si>
    <t>Total intermediate demand</t>
  </si>
  <si>
    <t>Market growth EU SAM GEM3 22</t>
  </si>
  <si>
    <t>Market growth (Alt)</t>
  </si>
  <si>
    <t>Approx. tiles, plates, refractories</t>
  </si>
  <si>
    <t>Approx. bricks</t>
  </si>
  <si>
    <t>Approx. other non-metallic minerals</t>
  </si>
  <si>
    <t>Peak process temperature</t>
  </si>
  <si>
    <t>Index_2050_Depr</t>
  </si>
  <si>
    <t>Index_2030_Depr</t>
  </si>
  <si>
    <t>Sector</t>
  </si>
  <si>
    <t>carbon_leakage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</si>
</sst>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0.0000"/>
    <numFmt numFmtId="166" formatCode="0.000"/>
    <numFmt numFmtId="167" formatCode="_-* #,##0_-;\-* #,##0_-;_-* &quot;-&quot;??_-;_-@_-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u/>
      <sz val="11"/>
      <color theme="10"/>
      <name val="Aptos Narrow"/>
      <family val="2"/>
      <scheme val="minor"/>
    </font>
    <font>
      <u/>
      <sz val="11"/>
      <color theme="10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2" fillId="2" borderId="1" applyNumberFormat="0" applyFont="0" applyAlignment="0" applyProtection="0"/>
    <xf numFmtId="0" fontId="9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2" borderId="1" xfId="2" applyFont="1"/>
    <xf numFmtId="2" fontId="5" fillId="2" borderId="1" xfId="2" applyNumberFormat="1" applyFont="1"/>
    <xf numFmtId="2" fontId="5" fillId="2" borderId="1" xfId="2" applyNumberFormat="1" applyFont="1" applyAlignment="1">
      <alignment horizontal="right"/>
    </xf>
    <xf numFmtId="2" fontId="5" fillId="3" borderId="1" xfId="2" applyNumberFormat="1" applyFont="1" applyFill="1"/>
    <xf numFmtId="0" fontId="5" fillId="3" borderId="1" xfId="2" applyFont="1" applyFill="1"/>
    <xf numFmtId="2" fontId="6" fillId="3" borderId="1" xfId="2" applyNumberFormat="1" applyFont="1" applyFill="1"/>
    <xf numFmtId="0" fontId="6" fillId="3" borderId="1" xfId="2" applyFont="1" applyFill="1"/>
    <xf numFmtId="15" fontId="5" fillId="0" borderId="0" xfId="0" applyNumberFormat="1" applyFont="1"/>
    <xf numFmtId="15" fontId="5" fillId="0" borderId="0" xfId="0" applyNumberFormat="1" applyFont="1" applyAlignment="1">
      <alignment horizontal="left"/>
    </xf>
    <xf numFmtId="164" fontId="5" fillId="2" borderId="1" xfId="1" applyFont="1" applyFill="1" applyBorder="1"/>
    <xf numFmtId="1" fontId="5" fillId="3" borderId="1" xfId="2" applyNumberFormat="1" applyFont="1" applyFill="1"/>
    <xf numFmtId="165" fontId="6" fillId="3" borderId="1" xfId="2" applyNumberFormat="1" applyFont="1" applyFill="1"/>
    <xf numFmtId="165" fontId="5" fillId="3" borderId="1" xfId="2" applyNumberFormat="1" applyFont="1" applyFill="1"/>
    <xf numFmtId="166" fontId="5" fillId="2" borderId="1" xfId="2" applyNumberFormat="1" applyFont="1"/>
    <xf numFmtId="166" fontId="5" fillId="3" borderId="1" xfId="2" applyNumberFormat="1" applyFont="1" applyFill="1"/>
    <xf numFmtId="166" fontId="6" fillId="3" borderId="1" xfId="2" applyNumberFormat="1" applyFont="1" applyFill="1"/>
    <xf numFmtId="0" fontId="7" fillId="4" borderId="0" xfId="0" applyFont="1" applyFill="1"/>
    <xf numFmtId="0" fontId="8" fillId="4" borderId="0" xfId="0" applyFont="1" applyFill="1"/>
    <xf numFmtId="164" fontId="5" fillId="0" borderId="0" xfId="1" applyFont="1"/>
    <xf numFmtId="167" fontId="5" fillId="0" borderId="0" xfId="1" applyNumberFormat="1" applyFont="1" applyAlignment="1">
      <alignment horizontal="right"/>
    </xf>
    <xf numFmtId="167" fontId="8" fillId="4" borderId="0" xfId="1" applyNumberFormat="1" applyFont="1" applyFill="1" applyAlignment="1">
      <alignment horizontal="right"/>
    </xf>
    <xf numFmtId="167" fontId="5" fillId="0" borderId="0" xfId="1" applyNumberFormat="1" applyFont="1"/>
    <xf numFmtId="164" fontId="8" fillId="4" borderId="0" xfId="1" applyFont="1" applyFill="1"/>
    <xf numFmtId="164" fontId="5" fillId="3" borderId="1" xfId="1" applyFont="1" applyFill="1" applyBorder="1"/>
    <xf numFmtId="0" fontId="7" fillId="4" borderId="0" xfId="0" applyFont="1" applyFill="1" applyAlignment="1">
      <alignment horizontal="centerContinuous" vertical="distributed"/>
    </xf>
    <xf numFmtId="0" fontId="5" fillId="4" borderId="0" xfId="0" applyFont="1" applyFill="1" applyAlignment="1">
      <alignment horizontal="centerContinuous" vertical="distributed"/>
    </xf>
    <xf numFmtId="0" fontId="7" fillId="4" borderId="2" xfId="0" applyFont="1" applyFill="1" applyBorder="1" applyAlignment="1">
      <alignment horizontal="centerContinuous" vertical="distributed"/>
    </xf>
    <xf numFmtId="167" fontId="5" fillId="0" borderId="0" xfId="1" applyNumberFormat="1" applyFont="1" applyAlignment="1">
      <alignment horizontal="left"/>
    </xf>
    <xf numFmtId="164" fontId="5" fillId="0" borderId="0" xfId="1" applyFont="1" applyAlignment="1">
      <alignment horizontal="left"/>
    </xf>
    <xf numFmtId="15" fontId="10" fillId="0" borderId="0" xfId="3" applyNumberFormat="1" applyFont="1"/>
    <xf numFmtId="0" fontId="10" fillId="0" borderId="0" xfId="3" applyFont="1"/>
    <xf numFmtId="164" fontId="5" fillId="0" borderId="0" xfId="0" applyNumberFormat="1" applyFont="1"/>
    <xf numFmtId="0" fontId="1" fillId="0" borderId="0" xfId="0" applyFont="1"/>
  </cellXfs>
  <cellStyles count="4">
    <cellStyle name="Comma" xfId="1" builtinId="3"/>
    <cellStyle name="Hyperlink" xfId="3" builtinId="8"/>
    <cellStyle name="Normal" xfId="0" builtinId="0"/>
    <cellStyle name="Note" xfId="2" builtinId="1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nrel.gov/hydrogen/assets/docs/current-central-coal-without-co2-sequestration-v2-1-1.xls" TargetMode="External"/><Relationship Id="rId1" Type="http://schemas.openxmlformats.org/officeDocument/2006/relationships/hyperlink" Target="https://www.nrel.gov/hydrogen/assets/docs/current-central-coal-without-co2-sequestration-v2-1-1.xls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529B1-990E-4A36-A39E-CB671DA8004D}">
  <dimension ref="A1:Q492"/>
  <sheetViews>
    <sheetView zoomScale="115" workbookViewId="0">
      <selection activeCell="B23" sqref="B23"/>
    </sheetView>
  </sheetViews>
  <sheetFormatPr baseColWidth="10" defaultColWidth="8.83203125" defaultRowHeight="15" x14ac:dyDescent="0.2"/>
  <cols>
    <col min="1" max="1" width="63.5" customWidth="1"/>
    <col min="2" max="2" width="56.5" customWidth="1"/>
    <col min="3" max="5" width="21.83203125" customWidth="1"/>
    <col min="7" max="7" width="52.1640625" customWidth="1"/>
    <col min="12" max="12" width="118" customWidth="1"/>
    <col min="13" max="13" width="11.1640625" customWidth="1"/>
    <col min="14" max="14" width="13.6640625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38" t="s">
        <v>507</v>
      </c>
      <c r="E1" s="1" t="s">
        <v>322</v>
      </c>
      <c r="F1" s="1" t="s">
        <v>3</v>
      </c>
      <c r="G1" s="1" t="s">
        <v>323</v>
      </c>
      <c r="H1" s="1" t="s">
        <v>404</v>
      </c>
      <c r="I1" s="1" t="s">
        <v>411</v>
      </c>
      <c r="J1" s="1" t="s">
        <v>406</v>
      </c>
      <c r="K1" s="1" t="s">
        <v>407</v>
      </c>
      <c r="L1" s="1" t="s">
        <v>408</v>
      </c>
      <c r="M1" s="3" t="s">
        <v>414</v>
      </c>
      <c r="N1" s="3" t="s">
        <v>415</v>
      </c>
      <c r="O1" s="3" t="s">
        <v>506</v>
      </c>
      <c r="P1" s="3" t="s">
        <v>505</v>
      </c>
      <c r="Q1" s="3" t="s">
        <v>508</v>
      </c>
    </row>
    <row r="2" spans="1:17" x14ac:dyDescent="0.2">
      <c r="A2" t="s">
        <v>11</v>
      </c>
      <c r="B2" t="s">
        <v>5</v>
      </c>
      <c r="C2" t="s">
        <v>6</v>
      </c>
      <c r="D2" t="s">
        <v>256</v>
      </c>
      <c r="E2" t="s">
        <v>7</v>
      </c>
      <c r="F2">
        <v>4</v>
      </c>
      <c r="G2" t="s">
        <v>324</v>
      </c>
      <c r="H2" s="2">
        <f>INDEX(Data!G:G,MATCH(G2,Data!A:A,0),1)</f>
        <v>1.641</v>
      </c>
      <c r="I2" s="2">
        <f>INDEX(Data!J:J,MATCH(G2,Data!A:A,0),1)</f>
        <v>1.464</v>
      </c>
      <c r="J2" s="2">
        <f>INDEX(Data!R:R,MATCH(G2,Data!A:A,0),1)</f>
        <v>12.024000000000001</v>
      </c>
      <c r="K2" s="2">
        <f>INDEX(Data!S:S,MATCH(G2,Data!A:A,0),1)</f>
        <v>0</v>
      </c>
      <c r="L2" t="str">
        <f t="shared" ref="L2:L65" si="0">IF(B2="",A2,A2&amp;"_"&amp;B2)</f>
        <v>Combustion installations with a rated thermal input exceeding 20 MW_Aluminium production</v>
      </c>
      <c r="M2">
        <f>INDEX(Data!AD:AD,MATCH($G2,Data!$A:$A,0),1)</f>
        <v>0.80400000000000005</v>
      </c>
      <c r="N2">
        <f>INDEX(Data!AE:AE,MATCH($G2,Data!$A:$A,0),1)</f>
        <v>0.85799999999999998</v>
      </c>
      <c r="O2">
        <f>INDEX(Data!AG:AG,MATCH($G2,Data!$A:$A,0),1)</f>
        <v>1.3517721377141791</v>
      </c>
      <c r="P2">
        <f>INDEX(Data!AH:AH,MATCH($G2,Data!$A:$A,0),1)</f>
        <v>3.1982577724511621</v>
      </c>
      <c r="Q2">
        <f>IFERROR(IF(MATCH(B2,#REF!,0)&gt;0,1),0)</f>
        <v>0</v>
      </c>
    </row>
    <row r="3" spans="1:17" x14ac:dyDescent="0.2">
      <c r="A3" t="s">
        <v>11</v>
      </c>
      <c r="B3" t="s">
        <v>105</v>
      </c>
      <c r="C3" t="s">
        <v>81</v>
      </c>
      <c r="D3" t="s">
        <v>409</v>
      </c>
      <c r="E3" t="s">
        <v>106</v>
      </c>
      <c r="F3">
        <v>1</v>
      </c>
      <c r="G3" t="s">
        <v>327</v>
      </c>
      <c r="H3" s="2">
        <f>INDEX(Data!G:G,MATCH(G3,Data!A:A,0),1)</f>
        <v>0.81745070728588098</v>
      </c>
      <c r="I3" s="2">
        <f>INDEX(Data!J:J,MATCH(G3,Data!A:A,0),1)</f>
        <v>0.6991394038416423</v>
      </c>
      <c r="J3" s="2">
        <f>INDEX(Data!R:R,MATCH(G3,Data!A:A,0),1)</f>
        <v>4.3200000000000021</v>
      </c>
      <c r="K3" s="2">
        <f>INDEX(Data!S:S,MATCH(G3,Data!A:A,0),1)</f>
        <v>0</v>
      </c>
      <c r="L3" t="str">
        <f t="shared" si="0"/>
        <v>Combustion installations with a rated thermal input exceeding 20 MW_Manufacture of cement</v>
      </c>
      <c r="M3">
        <f>INDEX(Data!AD:AD,MATCH($G3,Data!$A:$A,0),1)</f>
        <v>0.6</v>
      </c>
      <c r="N3">
        <f>INDEX(Data!AE:AE,MATCH($G3,Data!$A:$A,0),1)</f>
        <v>0.59799999999999998</v>
      </c>
      <c r="O3">
        <f>INDEX(Data!AG:AG,MATCH($G3,Data!$A:$A,0),1)</f>
        <v>1.7474276218071669</v>
      </c>
      <c r="P3">
        <f>INDEX(Data!AH:AH,MATCH($G3,Data!$A:$A,0),1)</f>
        <v>11.543912994239886</v>
      </c>
      <c r="Q3">
        <f>IFERROR(IF(MATCH(B3,#REF!,0)&gt;0,1),0)</f>
        <v>0</v>
      </c>
    </row>
    <row r="4" spans="1:17" x14ac:dyDescent="0.2">
      <c r="A4" t="s">
        <v>11</v>
      </c>
      <c r="B4" t="s">
        <v>119</v>
      </c>
      <c r="C4" t="s">
        <v>81</v>
      </c>
      <c r="D4" t="s">
        <v>409</v>
      </c>
      <c r="E4" t="s">
        <v>106</v>
      </c>
      <c r="F4">
        <v>1</v>
      </c>
      <c r="G4" t="s">
        <v>327</v>
      </c>
      <c r="H4" s="2">
        <f>INDEX(Data!G:G,MATCH(G4,Data!A:A,0),1)</f>
        <v>0.81745070728588098</v>
      </c>
      <c r="I4" s="2">
        <f>INDEX(Data!J:J,MATCH(G4,Data!A:A,0),1)</f>
        <v>0.6991394038416423</v>
      </c>
      <c r="J4" s="2">
        <f>INDEX(Data!R:R,MATCH(G4,Data!A:A,0),1)</f>
        <v>4.3200000000000021</v>
      </c>
      <c r="K4" s="2">
        <f>INDEX(Data!S:S,MATCH(G4,Data!A:A,0),1)</f>
        <v>0</v>
      </c>
      <c r="L4" t="str">
        <f t="shared" si="0"/>
        <v>Combustion installations with a rated thermal input exceeding 20 MW_Manufacture of concrete products for construction purposes</v>
      </c>
      <c r="M4">
        <f>INDEX(Data!AD:AD,MATCH($G4,Data!$A:$A,0),1)</f>
        <v>0.6</v>
      </c>
      <c r="N4">
        <f>INDEX(Data!AE:AE,MATCH($G4,Data!$A:$A,0),1)</f>
        <v>0.59799999999999998</v>
      </c>
      <c r="O4">
        <f>INDEX(Data!AG:AG,MATCH($G4,Data!$A:$A,0),1)</f>
        <v>1.7474276218071669</v>
      </c>
      <c r="P4">
        <f>INDEX(Data!AH:AH,MATCH($G4,Data!$A:$A,0),1)</f>
        <v>11.543912994239886</v>
      </c>
      <c r="Q4">
        <f>IFERROR(IF(MATCH(B4,#REF!,0)&gt;0,1),0)</f>
        <v>0</v>
      </c>
    </row>
    <row r="5" spans="1:17" x14ac:dyDescent="0.2">
      <c r="A5" t="s">
        <v>11</v>
      </c>
      <c r="B5" t="s">
        <v>137</v>
      </c>
      <c r="C5" t="s">
        <v>81</v>
      </c>
      <c r="D5" t="s">
        <v>409</v>
      </c>
      <c r="E5" t="s">
        <v>106</v>
      </c>
      <c r="F5">
        <v>1</v>
      </c>
      <c r="G5" t="s">
        <v>327</v>
      </c>
      <c r="H5" s="2">
        <f>INDEX(Data!G:G,MATCH(G5,Data!A:A,0),1)</f>
        <v>0.81745070728588098</v>
      </c>
      <c r="I5" s="2">
        <f>INDEX(Data!J:J,MATCH(G5,Data!A:A,0),1)</f>
        <v>0.6991394038416423</v>
      </c>
      <c r="J5" s="2">
        <f>INDEX(Data!R:R,MATCH(G5,Data!A:A,0),1)</f>
        <v>4.3200000000000021</v>
      </c>
      <c r="K5" s="2">
        <f>INDEX(Data!S:S,MATCH(G5,Data!A:A,0),1)</f>
        <v>0</v>
      </c>
      <c r="L5" t="str">
        <f t="shared" si="0"/>
        <v>Combustion installations with a rated thermal input exceeding 20 MW_Manufacture of fibre cement</v>
      </c>
      <c r="M5">
        <f>INDEX(Data!AD:AD,MATCH($G5,Data!$A:$A,0),1)</f>
        <v>0.6</v>
      </c>
      <c r="N5">
        <f>INDEX(Data!AE:AE,MATCH($G5,Data!$A:$A,0),1)</f>
        <v>0.59799999999999998</v>
      </c>
      <c r="O5">
        <f>INDEX(Data!AG:AG,MATCH($G5,Data!$A:$A,0),1)</f>
        <v>1.7474276218071669</v>
      </c>
      <c r="P5">
        <f>INDEX(Data!AH:AH,MATCH($G5,Data!$A:$A,0),1)</f>
        <v>11.543912994239886</v>
      </c>
      <c r="Q5">
        <f>IFERROR(IF(MATCH(B5,#REF!,0)&gt;0,1),0)</f>
        <v>0</v>
      </c>
    </row>
    <row r="6" spans="1:17" x14ac:dyDescent="0.2">
      <c r="A6" t="s">
        <v>11</v>
      </c>
      <c r="B6" t="s">
        <v>100</v>
      </c>
      <c r="C6" t="s">
        <v>81</v>
      </c>
      <c r="D6" t="s">
        <v>409</v>
      </c>
      <c r="E6" t="s">
        <v>101</v>
      </c>
      <c r="F6">
        <v>3</v>
      </c>
      <c r="G6" t="s">
        <v>326</v>
      </c>
      <c r="H6" s="2">
        <f>INDEX(Data!G:G,MATCH(G6,Data!A:A,0),1)</f>
        <v>0.12876363322314929</v>
      </c>
      <c r="I6" s="2">
        <f>INDEX(Data!J:J,MATCH(G6,Data!A:A,0),1)</f>
        <v>9.509036148184509E-2</v>
      </c>
      <c r="J6" s="2">
        <f>INDEX(Data!R:R,MATCH(G6,Data!A:A,0),1)</f>
        <v>3.0746807959647584</v>
      </c>
      <c r="K6" s="2">
        <f>INDEX(Data!S:S,MATCH(G6,Data!A:A,0),1)</f>
        <v>0</v>
      </c>
      <c r="L6" t="str">
        <f t="shared" si="0"/>
        <v>Combustion installations with a rated thermal input exceeding 20 MW_Manufacture of bricks, tiles and construction products, in baked clay</v>
      </c>
      <c r="M6">
        <f>INDEX(Data!AD:AD,MATCH($G6,Data!$A:$A,0),1)</f>
        <v>0.6</v>
      </c>
      <c r="N6">
        <f>INDEX(Data!AE:AE,MATCH($G6,Data!$A:$A,0),1)</f>
        <v>0.59799999999999998</v>
      </c>
      <c r="O6">
        <f>INDEX(Data!AG:AG,MATCH($G6,Data!$A:$A,0),1)</f>
        <v>1.1022133959071165</v>
      </c>
      <c r="P6">
        <f>INDEX(Data!AH:AH,MATCH($G6,Data!$A:$A,0),1)</f>
        <v>1.455542145135519</v>
      </c>
      <c r="Q6">
        <f>IFERROR(IF(MATCH(B6,#REF!,0)&gt;0,1),0)</f>
        <v>0</v>
      </c>
    </row>
    <row r="7" spans="1:17" x14ac:dyDescent="0.2">
      <c r="A7" t="s">
        <v>11</v>
      </c>
      <c r="B7" t="s">
        <v>108</v>
      </c>
      <c r="C7" t="s">
        <v>81</v>
      </c>
      <c r="D7" t="s">
        <v>409</v>
      </c>
      <c r="E7" t="s">
        <v>101</v>
      </c>
      <c r="F7">
        <v>4</v>
      </c>
      <c r="G7" t="s">
        <v>326</v>
      </c>
      <c r="H7" s="2">
        <f>INDEX(Data!G:G,MATCH(G7,Data!A:A,0),1)</f>
        <v>0.12876363322314929</v>
      </c>
      <c r="I7" s="2">
        <f>INDEX(Data!J:J,MATCH(G7,Data!A:A,0),1)</f>
        <v>9.509036148184509E-2</v>
      </c>
      <c r="J7" s="2">
        <f>INDEX(Data!R:R,MATCH(G7,Data!A:A,0),1)</f>
        <v>3.0746807959647584</v>
      </c>
      <c r="K7" s="2">
        <f>INDEX(Data!S:S,MATCH(G7,Data!A:A,0),1)</f>
        <v>0</v>
      </c>
      <c r="L7" t="str">
        <f t="shared" si="0"/>
        <v>Combustion installations with a rated thermal input exceeding 20 MW_Manufacture of ceramic household and ornamental articles</v>
      </c>
      <c r="M7">
        <f>INDEX(Data!AD:AD,MATCH($G7,Data!$A:$A,0),1)</f>
        <v>0.6</v>
      </c>
      <c r="N7">
        <f>INDEX(Data!AE:AE,MATCH($G7,Data!$A:$A,0),1)</f>
        <v>0.59799999999999998</v>
      </c>
      <c r="O7">
        <f>INDEX(Data!AG:AG,MATCH($G7,Data!$A:$A,0),1)</f>
        <v>1.1022133959071165</v>
      </c>
      <c r="P7">
        <f>INDEX(Data!AH:AH,MATCH($G7,Data!$A:$A,0),1)</f>
        <v>1.455542145135519</v>
      </c>
      <c r="Q7">
        <f>IFERROR(IF(MATCH(B7,#REF!,0)&gt;0,1),0)</f>
        <v>0</v>
      </c>
    </row>
    <row r="8" spans="1:17" x14ac:dyDescent="0.2">
      <c r="A8" t="s">
        <v>11</v>
      </c>
      <c r="B8" t="s">
        <v>110</v>
      </c>
      <c r="C8" t="s">
        <v>81</v>
      </c>
      <c r="D8" t="s">
        <v>409</v>
      </c>
      <c r="E8" t="s">
        <v>101</v>
      </c>
      <c r="F8">
        <v>1</v>
      </c>
      <c r="G8" t="s">
        <v>326</v>
      </c>
      <c r="H8" s="2">
        <f>INDEX(Data!G:G,MATCH(G8,Data!A:A,0),1)</f>
        <v>0.12876363322314929</v>
      </c>
      <c r="I8" s="2">
        <f>INDEX(Data!J:J,MATCH(G8,Data!A:A,0),1)</f>
        <v>9.509036148184509E-2</v>
      </c>
      <c r="J8" s="2">
        <f>INDEX(Data!R:R,MATCH(G8,Data!A:A,0),1)</f>
        <v>3.0746807959647584</v>
      </c>
      <c r="K8" s="2">
        <f>INDEX(Data!S:S,MATCH(G8,Data!A:A,0),1)</f>
        <v>0</v>
      </c>
      <c r="L8" t="str">
        <f t="shared" si="0"/>
        <v>Combustion installations with a rated thermal input exceeding 20 MW_Manufacture of ceramic sanitary fixtures</v>
      </c>
      <c r="M8">
        <f>INDEX(Data!AD:AD,MATCH($G8,Data!$A:$A,0),1)</f>
        <v>0.6</v>
      </c>
      <c r="N8">
        <f>INDEX(Data!AE:AE,MATCH($G8,Data!$A:$A,0),1)</f>
        <v>0.59799999999999998</v>
      </c>
      <c r="O8">
        <f>INDEX(Data!AG:AG,MATCH($G8,Data!$A:$A,0),1)</f>
        <v>1.1022133959071165</v>
      </c>
      <c r="P8">
        <f>INDEX(Data!AH:AH,MATCH($G8,Data!$A:$A,0),1)</f>
        <v>1.455542145135519</v>
      </c>
      <c r="Q8">
        <f>IFERROR(IF(MATCH(B8,#REF!,0)&gt;0,1),0)</f>
        <v>0</v>
      </c>
    </row>
    <row r="9" spans="1:17" x14ac:dyDescent="0.2">
      <c r="A9" t="s">
        <v>11</v>
      </c>
      <c r="B9" t="s">
        <v>199</v>
      </c>
      <c r="C9" t="s">
        <v>81</v>
      </c>
      <c r="D9" t="s">
        <v>409</v>
      </c>
      <c r="E9" t="s">
        <v>101</v>
      </c>
      <c r="F9">
        <v>1</v>
      </c>
      <c r="G9" t="s">
        <v>326</v>
      </c>
      <c r="H9" s="2">
        <f>INDEX(Data!G:G,MATCH(G9,Data!A:A,0),1)</f>
        <v>0.12876363322314929</v>
      </c>
      <c r="I9" s="2">
        <f>INDEX(Data!J:J,MATCH(G9,Data!A:A,0),1)</f>
        <v>9.509036148184509E-2</v>
      </c>
      <c r="J9" s="2">
        <f>INDEX(Data!R:R,MATCH(G9,Data!A:A,0),1)</f>
        <v>3.0746807959647584</v>
      </c>
      <c r="K9" s="2">
        <f>INDEX(Data!S:S,MATCH(G9,Data!A:A,0),1)</f>
        <v>0</v>
      </c>
      <c r="L9" t="str">
        <f t="shared" si="0"/>
        <v>Combustion installations with a rated thermal input exceeding 20 MW_Manufacture of other porcelain and ceramic products</v>
      </c>
      <c r="M9">
        <f>INDEX(Data!AD:AD,MATCH($G9,Data!$A:$A,0),1)</f>
        <v>0.6</v>
      </c>
      <c r="N9">
        <f>INDEX(Data!AE:AE,MATCH($G9,Data!$A:$A,0),1)</f>
        <v>0.59799999999999998</v>
      </c>
      <c r="O9">
        <f>INDEX(Data!AG:AG,MATCH($G9,Data!$A:$A,0),1)</f>
        <v>1.1022133959071165</v>
      </c>
      <c r="P9">
        <f>INDEX(Data!AH:AH,MATCH($G9,Data!$A:$A,0),1)</f>
        <v>1.455542145135519</v>
      </c>
      <c r="Q9">
        <f>IFERROR(IF(MATCH(B9,#REF!,0)&gt;0,1),0)</f>
        <v>0</v>
      </c>
    </row>
    <row r="10" spans="1:17" x14ac:dyDescent="0.2">
      <c r="A10" t="s">
        <v>11</v>
      </c>
      <c r="B10" t="s">
        <v>281</v>
      </c>
      <c r="C10" t="s">
        <v>81</v>
      </c>
      <c r="D10" t="s">
        <v>409</v>
      </c>
      <c r="E10" t="s">
        <v>101</v>
      </c>
      <c r="F10">
        <v>1</v>
      </c>
      <c r="G10" t="s">
        <v>326</v>
      </c>
      <c r="H10" s="2">
        <f>INDEX(Data!G:G,MATCH(G10,Data!A:A,0),1)</f>
        <v>0.12876363322314929</v>
      </c>
      <c r="I10" s="2">
        <f>INDEX(Data!J:J,MATCH(G10,Data!A:A,0),1)</f>
        <v>9.509036148184509E-2</v>
      </c>
      <c r="J10" s="2">
        <f>INDEX(Data!R:R,MATCH(G10,Data!A:A,0),1)</f>
        <v>3.0746807959647584</v>
      </c>
      <c r="K10" s="2">
        <f>INDEX(Data!S:S,MATCH(G10,Data!A:A,0),1)</f>
        <v>0</v>
      </c>
      <c r="L10" t="str">
        <f t="shared" si="0"/>
        <v>Combustion installations with a rated thermal input exceeding 20 MW_Production of abrasive products</v>
      </c>
      <c r="M10">
        <f>INDEX(Data!AD:AD,MATCH($G10,Data!$A:$A,0),1)</f>
        <v>0.6</v>
      </c>
      <c r="N10">
        <f>INDEX(Data!AE:AE,MATCH($G10,Data!$A:$A,0),1)</f>
        <v>0.59799999999999998</v>
      </c>
      <c r="O10">
        <f>INDEX(Data!AG:AG,MATCH($G10,Data!$A:$A,0),1)</f>
        <v>1.1022133959071165</v>
      </c>
      <c r="P10">
        <f>INDEX(Data!AH:AH,MATCH($G10,Data!$A:$A,0),1)</f>
        <v>1.455542145135519</v>
      </c>
      <c r="Q10">
        <f>IFERROR(IF(MATCH(B10,#REF!,0)&gt;0,1),0)</f>
        <v>0</v>
      </c>
    </row>
    <row r="11" spans="1:17" x14ac:dyDescent="0.2">
      <c r="A11" t="s">
        <v>11</v>
      </c>
      <c r="B11" t="s">
        <v>93</v>
      </c>
      <c r="C11" t="s">
        <v>94</v>
      </c>
      <c r="D11" t="s">
        <v>95</v>
      </c>
      <c r="E11" t="s">
        <v>94</v>
      </c>
      <c r="F11">
        <v>1</v>
      </c>
      <c r="G11" t="s">
        <v>342</v>
      </c>
      <c r="H11" s="2">
        <f>INDEX(Data!G:G,MATCH(G11,Data!A:A,0),1)</f>
        <v>0.38529467763961761</v>
      </c>
      <c r="I11" s="2">
        <f>INDEX(Data!J:J,MATCH(G11,Data!A:A,0),1)</f>
        <v>0.65015695160798492</v>
      </c>
      <c r="J11" s="2">
        <f>INDEX(Data!R:R,MATCH(G11,Data!A:A,0),1)</f>
        <v>0.99664158109543011</v>
      </c>
      <c r="K11" s="2">
        <f>INDEX(Data!S:S,MATCH(G11,Data!A:A,0),1)</f>
        <v>5.2249389559964285</v>
      </c>
      <c r="L11" t="str">
        <f t="shared" si="0"/>
        <v>Combustion installations with a rated thermal input exceeding 20 MW_Manufacture of basic pharmaceutical products</v>
      </c>
      <c r="M11">
        <f>INDEX(Data!AD:AD,MATCH($G11,Data!$A:$A,0),1)</f>
        <v>0.81200000000000006</v>
      </c>
      <c r="N11">
        <f>INDEX(Data!AE:AE,MATCH($G11,Data!$A:$A,0),1)</f>
        <v>0.73899999999999999</v>
      </c>
      <c r="O11">
        <f>INDEX(Data!AG:AG,MATCH($G11,Data!$A:$A,0),1)</f>
        <v>1.2983191848894986</v>
      </c>
      <c r="P11">
        <f>INDEX(Data!AH:AH,MATCH($G11,Data!$A:$A,0),1)</f>
        <v>4.8395672422172096</v>
      </c>
      <c r="Q11">
        <f>IFERROR(IF(MATCH(B11,#REF!,0)&gt;0,1),0)</f>
        <v>0</v>
      </c>
    </row>
    <row r="12" spans="1:17" x14ac:dyDescent="0.2">
      <c r="A12" t="s">
        <v>11</v>
      </c>
      <c r="B12" t="s">
        <v>125</v>
      </c>
      <c r="C12" t="s">
        <v>95</v>
      </c>
      <c r="D12" t="s">
        <v>95</v>
      </c>
      <c r="E12" t="s">
        <v>95</v>
      </c>
      <c r="F12">
        <v>1</v>
      </c>
      <c r="G12" t="s">
        <v>338</v>
      </c>
      <c r="H12" s="2">
        <f>INDEX(Data!G:G,MATCH(G12,Data!A:A,0),1)</f>
        <v>1.1838611017829463</v>
      </c>
      <c r="I12" s="2">
        <f>INDEX(Data!J:J,MATCH(G12,Data!A:A,0),1)</f>
        <v>1.0013516184567537</v>
      </c>
      <c r="J12" s="2">
        <f>INDEX(Data!R:R,MATCH(G12,Data!A:A,0),1)</f>
        <v>2.6802340811720051</v>
      </c>
      <c r="K12" s="2">
        <f>INDEX(Data!S:S,MATCH(G12,Data!A:A,0),1)</f>
        <v>27.108503329226927</v>
      </c>
      <c r="L12" t="str">
        <f t="shared" si="0"/>
        <v>Combustion installations with a rated thermal input exceeding 20 MW_Manufacture of dyes and pigments</v>
      </c>
      <c r="M12">
        <f>INDEX(Data!AD:AD,MATCH($G12,Data!$A:$A,0),1)</f>
        <v>0.81199999999999994</v>
      </c>
      <c r="N12">
        <f>INDEX(Data!AE:AE,MATCH($G12,Data!$A:$A,0),1)</f>
        <v>0.73899999999999999</v>
      </c>
      <c r="O12">
        <f>INDEX(Data!AG:AG,MATCH($G12,Data!$A:$A,0),1)</f>
        <v>1.3265650001686902</v>
      </c>
      <c r="P12">
        <f>INDEX(Data!AH:AH,MATCH($G12,Data!$A:$A,0),1)</f>
        <v>6.8406134516345016</v>
      </c>
      <c r="Q12">
        <f>IFERROR(IF(MATCH(B12,#REF!,0)&gt;0,1),0)</f>
        <v>0</v>
      </c>
    </row>
    <row r="13" spans="1:17" x14ac:dyDescent="0.2">
      <c r="A13" t="s">
        <v>11</v>
      </c>
      <c r="B13" t="s">
        <v>152</v>
      </c>
      <c r="C13" t="s">
        <v>95</v>
      </c>
      <c r="D13" t="s">
        <v>95</v>
      </c>
      <c r="E13" t="s">
        <v>95</v>
      </c>
      <c r="F13">
        <v>3</v>
      </c>
      <c r="G13" t="s">
        <v>339</v>
      </c>
      <c r="H13" s="2">
        <f>INDEX(Data!G:G,MATCH(G13,Data!A:A,0),1)</f>
        <v>8.4591606470324017</v>
      </c>
      <c r="I13" s="2">
        <f>INDEX(Data!J:J,MATCH(G13,Data!A:A,0),1)</f>
        <v>6.4483962143983575</v>
      </c>
      <c r="J13" s="2">
        <f>INDEX(Data!R:R,MATCH(G13,Data!A:A,0),1)</f>
        <v>0</v>
      </c>
      <c r="K13" s="2">
        <f>INDEX(Data!S:S,MATCH(G13,Data!A:A,0),1)</f>
        <v>120.04801920768308</v>
      </c>
      <c r="L13" t="str">
        <f t="shared" si="0"/>
        <v>Combustion installations with a rated thermal input exceeding 20 MW_Manufacture of industrial gases</v>
      </c>
      <c r="M13">
        <f>INDEX(Data!AD:AD,MATCH($G13,Data!$A:$A,0),1)</f>
        <v>0.81200000000000017</v>
      </c>
      <c r="N13">
        <f>INDEX(Data!AE:AE,MATCH($G13,Data!$A:$A,0),1)</f>
        <v>0.7390000000000001</v>
      </c>
      <c r="O13">
        <f>INDEX(Data!AG:AG,MATCH($G13,Data!$A:$A,0),1)</f>
        <v>1.2983191848894988</v>
      </c>
      <c r="P13">
        <f>INDEX(Data!AH:AH,MATCH($G13,Data!$A:$A,0),1)</f>
        <v>4.8395672422172114</v>
      </c>
      <c r="Q13">
        <f>IFERROR(IF(MATCH(B13,#REF!,0)&gt;0,1),0)</f>
        <v>0</v>
      </c>
    </row>
    <row r="14" spans="1:17" x14ac:dyDescent="0.2">
      <c r="A14" t="s">
        <v>11</v>
      </c>
      <c r="B14" t="s">
        <v>162</v>
      </c>
      <c r="C14" t="s">
        <v>95</v>
      </c>
      <c r="D14" t="s">
        <v>95</v>
      </c>
      <c r="E14" t="s">
        <v>95</v>
      </c>
      <c r="F14">
        <v>2</v>
      </c>
      <c r="G14" t="s">
        <v>335</v>
      </c>
      <c r="H14" s="2">
        <f>INDEX(Data!G:G,MATCH(G14,Data!A:A,0),1)</f>
        <v>0.49494039340491602</v>
      </c>
      <c r="I14" s="2">
        <f>INDEX(Data!J:J,MATCH(G14,Data!A:A,0),1)</f>
        <v>0.76276347235126118</v>
      </c>
      <c r="J14" s="2">
        <f>INDEX(Data!R:R,MATCH(G14,Data!A:A,0),1)</f>
        <v>6.0728236366858992</v>
      </c>
      <c r="K14" s="2">
        <f>INDEX(Data!S:S,MATCH(G14,Data!A:A,0),1)</f>
        <v>0</v>
      </c>
      <c r="L14" t="str">
        <f t="shared" si="0"/>
        <v>Combustion installations with a rated thermal input exceeding 20 MW_Manufacture of man-made fibres</v>
      </c>
      <c r="M14">
        <f>INDEX(Data!AD:AD,MATCH($G14,Data!$A:$A,0),1)</f>
        <v>0.81200000000000017</v>
      </c>
      <c r="N14">
        <f>INDEX(Data!AE:AE,MATCH($G14,Data!$A:$A,0),1)</f>
        <v>0.73900000000000021</v>
      </c>
      <c r="O14">
        <f>INDEX(Data!AG:AG,MATCH($G14,Data!$A:$A,0),1)</f>
        <v>1.298319184889499</v>
      </c>
      <c r="P14">
        <f>INDEX(Data!AH:AH,MATCH($G14,Data!$A:$A,0),1)</f>
        <v>4.8395672422172114</v>
      </c>
      <c r="Q14">
        <f>IFERROR(IF(MATCH(B14,#REF!,0)&gt;0,1),0)</f>
        <v>0</v>
      </c>
    </row>
    <row r="15" spans="1:17" x14ac:dyDescent="0.2">
      <c r="A15" t="s">
        <v>11</v>
      </c>
      <c r="B15" t="s">
        <v>177</v>
      </c>
      <c r="C15" t="s">
        <v>95</v>
      </c>
      <c r="D15" t="s">
        <v>95</v>
      </c>
      <c r="E15" t="s">
        <v>95</v>
      </c>
      <c r="F15">
        <v>5</v>
      </c>
      <c r="G15" t="s">
        <v>338</v>
      </c>
      <c r="H15" s="2">
        <f>INDEX(Data!G:G,MATCH(G15,Data!A:A,0),1)</f>
        <v>1.1838611017829463</v>
      </c>
      <c r="I15" s="2">
        <f>INDEX(Data!J:J,MATCH(G15,Data!A:A,0),1)</f>
        <v>1.0013516184567537</v>
      </c>
      <c r="J15" s="2">
        <f>INDEX(Data!R:R,MATCH(G15,Data!A:A,0),1)</f>
        <v>2.6802340811720051</v>
      </c>
      <c r="K15" s="2">
        <f>INDEX(Data!S:S,MATCH(G15,Data!A:A,0),1)</f>
        <v>27.108503329226927</v>
      </c>
      <c r="L15" t="str">
        <f t="shared" si="0"/>
        <v>Combustion installations with a rated thermal input exceeding 20 MW_Manufacture of other chemical products n.e.c.</v>
      </c>
      <c r="M15">
        <f>INDEX(Data!AD:AD,MATCH($G15,Data!$A:$A,0),1)</f>
        <v>0.81199999999999994</v>
      </c>
      <c r="N15">
        <f>INDEX(Data!AE:AE,MATCH($G15,Data!$A:$A,0),1)</f>
        <v>0.73899999999999999</v>
      </c>
      <c r="O15">
        <f>INDEX(Data!AG:AG,MATCH($G15,Data!$A:$A,0),1)</f>
        <v>1.3265650001686902</v>
      </c>
      <c r="P15">
        <f>INDEX(Data!AH:AH,MATCH($G15,Data!$A:$A,0),1)</f>
        <v>6.8406134516345016</v>
      </c>
      <c r="Q15">
        <f>IFERROR(IF(MATCH(B15,#REF!,0)&gt;0,1),0)</f>
        <v>0</v>
      </c>
    </row>
    <row r="16" spans="1:17" x14ac:dyDescent="0.2">
      <c r="A16" t="s">
        <v>11</v>
      </c>
      <c r="B16" t="s">
        <v>185</v>
      </c>
      <c r="C16" t="s">
        <v>95</v>
      </c>
      <c r="D16" t="s">
        <v>95</v>
      </c>
      <c r="E16" t="s">
        <v>95</v>
      </c>
      <c r="F16">
        <v>5</v>
      </c>
      <c r="G16" t="s">
        <v>349</v>
      </c>
      <c r="H16" s="2">
        <f>INDEX(Data!G:G,MATCH(G16,Data!A:A,0),1)</f>
        <v>1.5967631163208207</v>
      </c>
      <c r="I16" s="2">
        <f>INDEX(Data!J:J,MATCH(G16,Data!A:A,0),1)</f>
        <v>1.2656396050839946</v>
      </c>
      <c r="J16" s="2">
        <f>INDEX(Data!R:R,MATCH(G16,Data!A:A,0),1)</f>
        <v>3.2911730425008185</v>
      </c>
      <c r="K16" s="2">
        <f>INDEX(Data!S:S,MATCH(G16,Data!A:A,0),1)</f>
        <v>10.213571642020407</v>
      </c>
      <c r="L16" t="str">
        <f t="shared" si="0"/>
        <v>Combustion installations with a rated thermal input exceeding 20 MW_Manufacture of other inorganic basic chemicals</v>
      </c>
      <c r="M16">
        <f>INDEX(Data!AD:AD,MATCH($G16,Data!$A:$A,0),1)</f>
        <v>0.81200000000000028</v>
      </c>
      <c r="N16">
        <f>INDEX(Data!AE:AE,MATCH($G16,Data!$A:$A,0),1)</f>
        <v>0.73899999999999999</v>
      </c>
      <c r="O16">
        <f>INDEX(Data!AG:AG,MATCH($G16,Data!$A:$A,0),1)</f>
        <v>1.3556812573212713</v>
      </c>
      <c r="P16">
        <f>INDEX(Data!AH:AH,MATCH($G16,Data!$A:$A,0),1)</f>
        <v>3.2322103139373444</v>
      </c>
      <c r="Q16">
        <f>IFERROR(IF(MATCH(B16,#REF!,0)&gt;0,1),0)</f>
        <v>0</v>
      </c>
    </row>
    <row r="17" spans="1:17" x14ac:dyDescent="0.2">
      <c r="A17" t="s">
        <v>11</v>
      </c>
      <c r="B17" t="s">
        <v>191</v>
      </c>
      <c r="C17" t="s">
        <v>95</v>
      </c>
      <c r="D17" t="s">
        <v>95</v>
      </c>
      <c r="E17" t="s">
        <v>95</v>
      </c>
      <c r="F17">
        <v>9</v>
      </c>
      <c r="G17" t="s">
        <v>348</v>
      </c>
      <c r="H17" s="2">
        <f>INDEX(Data!G:G,MATCH(G17,Data!A:A,0),1)</f>
        <v>0.7451576638020061</v>
      </c>
      <c r="I17" s="2">
        <f>INDEX(Data!J:J,MATCH(G17,Data!A:A,0),1)</f>
        <v>0.6864801988122935</v>
      </c>
      <c r="J17" s="2">
        <f>INDEX(Data!R:R,MATCH(G17,Data!A:A,0),1)</f>
        <v>2.1991404818942466</v>
      </c>
      <c r="K17" s="2">
        <f>INDEX(Data!S:S,MATCH(G17,Data!A:A,0),1)</f>
        <v>40.412685922642247</v>
      </c>
      <c r="L17" t="str">
        <f t="shared" si="0"/>
        <v>Combustion installations with a rated thermal input exceeding 20 MW_Manufacture of other organic basic chemicals</v>
      </c>
      <c r="M17">
        <f>INDEX(Data!AD:AD,MATCH($G17,Data!$A:$A,0),1)</f>
        <v>0.81200000000000028</v>
      </c>
      <c r="N17">
        <f>INDEX(Data!AE:AE,MATCH($G17,Data!$A:$A,0),1)</f>
        <v>0.73899999999999988</v>
      </c>
      <c r="O17">
        <f>INDEX(Data!AG:AG,MATCH($G17,Data!$A:$A,0),1)</f>
        <v>1.303636940513492</v>
      </c>
      <c r="P17">
        <f>INDEX(Data!AH:AH,MATCH($G17,Data!$A:$A,0),1)</f>
        <v>9.6821078775000036</v>
      </c>
      <c r="Q17">
        <f>IFERROR(IF(MATCH(B17,#REF!,0)&gt;0,1),0)</f>
        <v>0</v>
      </c>
    </row>
    <row r="18" spans="1:17" x14ac:dyDescent="0.2">
      <c r="A18" t="s">
        <v>11</v>
      </c>
      <c r="B18" t="s">
        <v>209</v>
      </c>
      <c r="C18" t="s">
        <v>95</v>
      </c>
      <c r="D18" t="s">
        <v>95</v>
      </c>
      <c r="E18" t="s">
        <v>95</v>
      </c>
      <c r="F18">
        <v>1</v>
      </c>
      <c r="G18" t="s">
        <v>348</v>
      </c>
      <c r="H18" s="2">
        <f>INDEX(Data!G:G,MATCH(G18,Data!A:A,0),1)</f>
        <v>0.7451576638020061</v>
      </c>
      <c r="I18" s="2">
        <f>INDEX(Data!J:J,MATCH(G18,Data!A:A,0),1)</f>
        <v>0.6864801988122935</v>
      </c>
      <c r="J18" s="2">
        <f>INDEX(Data!R:R,MATCH(G18,Data!A:A,0),1)</f>
        <v>2.1991404818942466</v>
      </c>
      <c r="K18" s="2">
        <f>INDEX(Data!S:S,MATCH(G18,Data!A:A,0),1)</f>
        <v>40.412685922642247</v>
      </c>
      <c r="L18" t="str">
        <f t="shared" si="0"/>
        <v>Combustion installations with a rated thermal input exceeding 20 MW_Manufacture of perfumes and toilet preparations</v>
      </c>
      <c r="M18">
        <f>INDEX(Data!AD:AD,MATCH($G18,Data!$A:$A,0),1)</f>
        <v>0.81200000000000028</v>
      </c>
      <c r="N18">
        <f>INDEX(Data!AE:AE,MATCH($G18,Data!$A:$A,0),1)</f>
        <v>0.73899999999999988</v>
      </c>
      <c r="O18">
        <f>INDEX(Data!AG:AG,MATCH($G18,Data!$A:$A,0),1)</f>
        <v>1.303636940513492</v>
      </c>
      <c r="P18">
        <f>INDEX(Data!AH:AH,MATCH($G18,Data!$A:$A,0),1)</f>
        <v>9.6821078775000036</v>
      </c>
      <c r="Q18">
        <f>IFERROR(IF(MATCH(B18,#REF!,0)&gt;0,1),0)</f>
        <v>0</v>
      </c>
    </row>
    <row r="19" spans="1:17" x14ac:dyDescent="0.2">
      <c r="A19" t="s">
        <v>11</v>
      </c>
      <c r="B19" t="s">
        <v>210</v>
      </c>
      <c r="C19" t="s">
        <v>95</v>
      </c>
      <c r="D19" t="s">
        <v>95</v>
      </c>
      <c r="E19" t="s">
        <v>95</v>
      </c>
      <c r="F19">
        <v>1</v>
      </c>
      <c r="G19" t="s">
        <v>343</v>
      </c>
      <c r="H19" s="2">
        <f>INDEX(Data!G:G,MATCH(G19,Data!A:A,0),1)</f>
        <v>1.7186343172225256</v>
      </c>
      <c r="I19" s="2">
        <f>INDEX(Data!J:J,MATCH(G19,Data!A:A,0),1)</f>
        <v>1.3535743777501814</v>
      </c>
      <c r="J19" s="2">
        <f>INDEX(Data!R:R,MATCH(G19,Data!A:A,0),1)</f>
        <v>0</v>
      </c>
      <c r="K19" s="2">
        <f>INDEX(Data!S:S,MATCH(G19,Data!A:A,0),1)</f>
        <v>12.596122450268965</v>
      </c>
      <c r="L19" t="str">
        <f t="shared" si="0"/>
        <v>Combustion installations with a rated thermal input exceeding 20 MW_Manufacture of pesticides and other agrochemical products</v>
      </c>
      <c r="M19">
        <f>INDEX(Data!AD:AD,MATCH($G19,Data!$A:$A,0),1)</f>
        <v>0.81200000000000017</v>
      </c>
      <c r="N19">
        <f>INDEX(Data!AE:AE,MATCH($G19,Data!$A:$A,0),1)</f>
        <v>0.7390000000000001</v>
      </c>
      <c r="O19">
        <f>INDEX(Data!AG:AG,MATCH($G19,Data!$A:$A,0),1)</f>
        <v>1.3999902829084085</v>
      </c>
      <c r="P19">
        <f>INDEX(Data!AH:AH,MATCH($G19,Data!$A:$A,0),1)</f>
        <v>3.5899569454976663</v>
      </c>
      <c r="Q19">
        <f>IFERROR(IF(MATCH(B19,#REF!,0)&gt;0,1),0)</f>
        <v>0</v>
      </c>
    </row>
    <row r="20" spans="1:17" x14ac:dyDescent="0.2">
      <c r="A20" t="s">
        <v>11</v>
      </c>
      <c r="B20" t="s">
        <v>216</v>
      </c>
      <c r="C20" t="s">
        <v>95</v>
      </c>
      <c r="D20" t="s">
        <v>95</v>
      </c>
      <c r="E20" t="s">
        <v>95</v>
      </c>
      <c r="F20">
        <v>2</v>
      </c>
      <c r="G20" t="s">
        <v>335</v>
      </c>
      <c r="H20" s="2">
        <f>INDEX(Data!G:G,MATCH(G20,Data!A:A,0),1)</f>
        <v>0.49494039340491602</v>
      </c>
      <c r="I20" s="2">
        <f>INDEX(Data!J:J,MATCH(G20,Data!A:A,0),1)</f>
        <v>0.76276347235126118</v>
      </c>
      <c r="J20" s="2">
        <f>INDEX(Data!R:R,MATCH(G20,Data!A:A,0),1)</f>
        <v>6.0728236366858992</v>
      </c>
      <c r="K20" s="2">
        <f>INDEX(Data!S:S,MATCH(G20,Data!A:A,0),1)</f>
        <v>0</v>
      </c>
      <c r="L20" t="str">
        <f t="shared" si="0"/>
        <v>Combustion installations with a rated thermal input exceeding 20 MW_Manufacture of plastics in primary forms</v>
      </c>
      <c r="M20">
        <f>INDEX(Data!AD:AD,MATCH($G20,Data!$A:$A,0),1)</f>
        <v>0.81200000000000017</v>
      </c>
      <c r="N20">
        <f>INDEX(Data!AE:AE,MATCH($G20,Data!$A:$A,0),1)</f>
        <v>0.73900000000000021</v>
      </c>
      <c r="O20">
        <f>INDEX(Data!AG:AG,MATCH($G20,Data!$A:$A,0),1)</f>
        <v>1.298319184889499</v>
      </c>
      <c r="P20">
        <f>INDEX(Data!AH:AH,MATCH($G20,Data!$A:$A,0),1)</f>
        <v>4.8395672422172114</v>
      </c>
      <c r="Q20">
        <f>IFERROR(IF(MATCH(B20,#REF!,0)&gt;0,1),0)</f>
        <v>0</v>
      </c>
    </row>
    <row r="21" spans="1:17" x14ac:dyDescent="0.2">
      <c r="A21" t="s">
        <v>11</v>
      </c>
      <c r="B21" t="s">
        <v>228</v>
      </c>
      <c r="C21" t="s">
        <v>95</v>
      </c>
      <c r="D21" t="s">
        <v>95</v>
      </c>
      <c r="E21" t="s">
        <v>95</v>
      </c>
      <c r="F21">
        <v>1</v>
      </c>
      <c r="G21" t="s">
        <v>338</v>
      </c>
      <c r="H21" s="2">
        <f>INDEX(Data!G:G,MATCH(G21,Data!A:A,0),1)</f>
        <v>1.1838611017829463</v>
      </c>
      <c r="I21" s="2">
        <f>INDEX(Data!J:J,MATCH(G21,Data!A:A,0),1)</f>
        <v>1.0013516184567537</v>
      </c>
      <c r="J21" s="2">
        <f>INDEX(Data!R:R,MATCH(G21,Data!A:A,0),1)</f>
        <v>2.6802340811720051</v>
      </c>
      <c r="K21" s="2">
        <f>INDEX(Data!S:S,MATCH(G21,Data!A:A,0),1)</f>
        <v>27.108503329226927</v>
      </c>
      <c r="L21" t="str">
        <f t="shared" si="0"/>
        <v>Combustion installations with a rated thermal input exceeding 20 MW_Manufacture of soap and detergents, cleaning and polishing preparations</v>
      </c>
      <c r="M21">
        <f>INDEX(Data!AD:AD,MATCH($G21,Data!$A:$A,0),1)</f>
        <v>0.81199999999999994</v>
      </c>
      <c r="N21">
        <f>INDEX(Data!AE:AE,MATCH($G21,Data!$A:$A,0),1)</f>
        <v>0.73899999999999999</v>
      </c>
      <c r="O21">
        <f>INDEX(Data!AG:AG,MATCH($G21,Data!$A:$A,0),1)</f>
        <v>1.3265650001686902</v>
      </c>
      <c r="P21">
        <f>INDEX(Data!AH:AH,MATCH($G21,Data!$A:$A,0),1)</f>
        <v>6.8406134516345016</v>
      </c>
      <c r="Q21">
        <f>IFERROR(IF(MATCH(B21,#REF!,0)&gt;0,1),0)</f>
        <v>0</v>
      </c>
    </row>
    <row r="22" spans="1:17" x14ac:dyDescent="0.2">
      <c r="A22" t="s">
        <v>11</v>
      </c>
      <c r="B22" t="s">
        <v>29</v>
      </c>
      <c r="C22" t="s">
        <v>6</v>
      </c>
      <c r="D22" t="s">
        <v>256</v>
      </c>
      <c r="E22" t="s">
        <v>30</v>
      </c>
      <c r="F22">
        <v>2</v>
      </c>
      <c r="G22" t="s">
        <v>422</v>
      </c>
      <c r="H22" s="2">
        <f>INDEX(Data!G:G,MATCH(G22,Data!A:A,0),1)</f>
        <v>1.4</v>
      </c>
      <c r="I22" s="2">
        <f>INDEX(Data!J:J,MATCH(G22,Data!A:A,0),1)</f>
        <v>1.4</v>
      </c>
      <c r="J22" s="2">
        <f>INDEX(Data!R:R,MATCH(G22,Data!A:A,0),1)</f>
        <v>8.0280000000000005</v>
      </c>
      <c r="K22" s="2">
        <f>INDEX(Data!S:S,MATCH(G22,Data!A:A,0),1)</f>
        <v>0</v>
      </c>
      <c r="L22" t="str">
        <f t="shared" si="0"/>
        <v>Combustion installations with a rated thermal input exceeding 20 MW_Copper production</v>
      </c>
      <c r="M22">
        <f>INDEX(Data!AD:AD,MATCH($G22,Data!$A:$A,0),1)</f>
        <v>0.80400000000000005</v>
      </c>
      <c r="N22">
        <f>INDEX(Data!AE:AE,MATCH($G22,Data!$A:$A,0),1)</f>
        <v>0.85799999999999998</v>
      </c>
      <c r="O22">
        <f>INDEX(Data!AG:AG,MATCH($G22,Data!$A:$A,0),1)</f>
        <v>1</v>
      </c>
      <c r="P22">
        <f>INDEX(Data!AH:AH,MATCH($G22,Data!$A:$A,0),1)</f>
        <v>1</v>
      </c>
      <c r="Q22">
        <f>IFERROR(IF(MATCH(B22,#REF!,0)&gt;0,1),0)</f>
        <v>0</v>
      </c>
    </row>
    <row r="23" spans="1:17" x14ac:dyDescent="0.2">
      <c r="A23" t="s">
        <v>11</v>
      </c>
      <c r="B23" t="s">
        <v>121</v>
      </c>
      <c r="C23" t="s">
        <v>122</v>
      </c>
      <c r="D23" t="s">
        <v>410</v>
      </c>
      <c r="E23" t="s">
        <v>123</v>
      </c>
      <c r="F23">
        <v>1</v>
      </c>
      <c r="G23" t="s">
        <v>328</v>
      </c>
      <c r="H23" s="2">
        <f>INDEX(Data!G:G,MATCH(G23,Data!A:A,0),1)</f>
        <v>0.20263440019098061</v>
      </c>
      <c r="I23" s="2">
        <f>INDEX(Data!J:J,MATCH(G23,Data!A:A,0),1)</f>
        <v>0.19255330027571974</v>
      </c>
      <c r="J23" s="2">
        <f>INDEX(Data!R:R,MATCH(G23,Data!A:A,0),1)</f>
        <v>4.968</v>
      </c>
      <c r="K23" s="2">
        <f>INDEX(Data!S:S,MATCH(G23,Data!A:A,0),1)</f>
        <v>0</v>
      </c>
      <c r="L23" t="str">
        <f t="shared" si="0"/>
        <v>Combustion installations with a rated thermal input exceeding 20 MW_Manufacture of corrugated paper and paperboard and of containers of paper and paperboard</v>
      </c>
      <c r="M23">
        <f>INDEX(Data!AD:AD,MATCH($G23,Data!$A:$A,0),1)</f>
        <v>0.79800000000000004</v>
      </c>
      <c r="N23">
        <f>INDEX(Data!AE:AE,MATCH($G23,Data!$A:$A,0),1)</f>
        <v>0.92099999999999993</v>
      </c>
      <c r="O23">
        <f>INDEX(Data!AG:AG,MATCH($G23,Data!$A:$A,0),1)</f>
        <v>1.2809090316655365</v>
      </c>
      <c r="P23">
        <f>INDEX(Data!AH:AH,MATCH($G23,Data!$A:$A,0),1)</f>
        <v>4.1862577628706559</v>
      </c>
      <c r="Q23">
        <f>IFERROR(IF(MATCH(B23,#REF!,0)&gt;0,1),0)</f>
        <v>0</v>
      </c>
    </row>
    <row r="24" spans="1:17" x14ac:dyDescent="0.2">
      <c r="A24" t="s">
        <v>11</v>
      </c>
      <c r="B24" t="s">
        <v>53</v>
      </c>
      <c r="C24" t="s">
        <v>54</v>
      </c>
      <c r="D24" t="s">
        <v>403</v>
      </c>
      <c r="E24" t="s">
        <v>55</v>
      </c>
      <c r="F24">
        <v>7</v>
      </c>
      <c r="G24" t="s">
        <v>325</v>
      </c>
      <c r="H24" s="2">
        <f>INDEX(Data!G:G,MATCH(G24,Data!A:A,0),1)</f>
        <v>5.79E-2</v>
      </c>
      <c r="I24" s="2">
        <f>INDEX(Data!J:J,MATCH(G24,Data!A:A,0),1)</f>
        <v>4.2599999999999999E-2</v>
      </c>
      <c r="J24" s="2">
        <f>INDEX(Data!R:R,MATCH(G24,Data!A:A,0),1)</f>
        <v>1</v>
      </c>
      <c r="K24" s="2">
        <f>INDEX(Data!S:S,MATCH(G24,Data!A:A,0),1)</f>
        <v>0</v>
      </c>
      <c r="L24" t="str">
        <f t="shared" si="0"/>
        <v>Combustion installations with a rated thermal input exceeding 20 MW_Extraction of crude petroleum</v>
      </c>
      <c r="M24">
        <f>INDEX(Data!AD:AD,MATCH($G24,Data!$A:$A,0),1)</f>
        <v>0.78200000000000003</v>
      </c>
      <c r="N24">
        <f>INDEX(Data!AE:AE,MATCH($G24,Data!$A:$A,0),1)</f>
        <v>0.63500000000000001</v>
      </c>
      <c r="O24">
        <f>INDEX(Data!AG:AG,MATCH($G24,Data!$A:$A,0),1)</f>
        <v>1.1486856676492798</v>
      </c>
      <c r="P24">
        <f>INDEX(Data!AH:AH,MATCH($G24,Data!$A:$A,0),1)</f>
        <v>1.7068864766411047</v>
      </c>
      <c r="Q24">
        <f>IFERROR(IF(MATCH(B24,#REF!,0)&gt;0,1),0)</f>
        <v>0</v>
      </c>
    </row>
    <row r="25" spans="1:17" x14ac:dyDescent="0.2">
      <c r="A25" t="s">
        <v>11</v>
      </c>
      <c r="B25" t="s">
        <v>56</v>
      </c>
      <c r="C25" t="s">
        <v>54</v>
      </c>
      <c r="D25" t="s">
        <v>403</v>
      </c>
      <c r="E25" t="s">
        <v>55</v>
      </c>
      <c r="F25">
        <v>13</v>
      </c>
      <c r="G25" t="s">
        <v>325</v>
      </c>
      <c r="H25" s="2">
        <f>INDEX(Data!G:G,MATCH(G25,Data!A:A,0),1)</f>
        <v>5.79E-2</v>
      </c>
      <c r="I25" s="2">
        <f>INDEX(Data!J:J,MATCH(G25,Data!A:A,0),1)</f>
        <v>4.2599999999999999E-2</v>
      </c>
      <c r="J25" s="2">
        <f>INDEX(Data!R:R,MATCH(G25,Data!A:A,0),1)</f>
        <v>1</v>
      </c>
      <c r="K25" s="2">
        <f>INDEX(Data!S:S,MATCH(G25,Data!A:A,0),1)</f>
        <v>0</v>
      </c>
      <c r="L25" t="str">
        <f t="shared" si="0"/>
        <v>Combustion installations with a rated thermal input exceeding 20 MW_Extraction of natural gas</v>
      </c>
      <c r="M25">
        <f>INDEX(Data!AD:AD,MATCH($G25,Data!$A:$A,0),1)</f>
        <v>0.78200000000000003</v>
      </c>
      <c r="N25">
        <f>INDEX(Data!AE:AE,MATCH($G25,Data!$A:$A,0),1)</f>
        <v>0.63500000000000001</v>
      </c>
      <c r="O25">
        <f>INDEX(Data!AG:AG,MATCH($G25,Data!$A:$A,0),1)</f>
        <v>1.1486856676492798</v>
      </c>
      <c r="P25">
        <f>INDEX(Data!AH:AH,MATCH($G25,Data!$A:$A,0),1)</f>
        <v>1.7068864766411047</v>
      </c>
      <c r="Q25">
        <f>IFERROR(IF(MATCH(B25,#REF!,0)&gt;0,1),0)</f>
        <v>0</v>
      </c>
    </row>
    <row r="26" spans="1:17" x14ac:dyDescent="0.2">
      <c r="A26" t="s">
        <v>11</v>
      </c>
      <c r="B26" t="s">
        <v>64</v>
      </c>
      <c r="C26" t="s">
        <v>65</v>
      </c>
      <c r="D26" t="s">
        <v>237</v>
      </c>
      <c r="E26" t="s">
        <v>237</v>
      </c>
      <c r="F26">
        <v>1</v>
      </c>
      <c r="G26" s="2" t="s">
        <v>446</v>
      </c>
      <c r="H26" s="2">
        <f>INDEX(Data!G:G,MATCH(G26,Data!A:A,0),1)</f>
        <v>0.28693460797283676</v>
      </c>
      <c r="I26" s="2">
        <f>INDEX(Data!J:J,MATCH(G26,Data!A:A,0),1)</f>
        <v>0.24234523094630439</v>
      </c>
      <c r="J26" s="2">
        <f>INDEX(Data!R:R,MATCH(G26,Data!A:A,0),1)</f>
        <v>2.4768000000000003</v>
      </c>
      <c r="K26" s="2">
        <f>INDEX(Data!S:S,MATCH(G26,Data!A:A,0),1)</f>
        <v>0</v>
      </c>
      <c r="L26" t="str">
        <f t="shared" si="0"/>
        <v>Combustion installations with a rated thermal input exceeding 20 MW_Forging, pressing, stamping and roll-forming of metal</v>
      </c>
      <c r="M26">
        <f>INDEX(Data!AD:AD,MATCH($G26,Data!$A:$A,0),1)</f>
        <v>0.48099999999999998</v>
      </c>
      <c r="N26">
        <f>INDEX(Data!AE:AE,MATCH($G26,Data!$A:$A,0),1)</f>
        <v>0.41199999999999998</v>
      </c>
      <c r="O26">
        <f>INDEX(Data!AG:AG,MATCH($G26,Data!$A:$A,0),1)</f>
        <v>1.2895889249131132</v>
      </c>
      <c r="P26">
        <f>INDEX(Data!AH:AH,MATCH($G26,Data!$A:$A,0),1)</f>
        <v>0.59422748497442568</v>
      </c>
      <c r="Q26">
        <f>IFERROR(IF(MATCH(B26,#REF!,0)&gt;0,1),0)</f>
        <v>0</v>
      </c>
    </row>
    <row r="27" spans="1:17" x14ac:dyDescent="0.2">
      <c r="A27" t="s">
        <v>11</v>
      </c>
      <c r="B27" t="s">
        <v>207</v>
      </c>
      <c r="C27" t="s">
        <v>95</v>
      </c>
      <c r="D27" t="s">
        <v>409</v>
      </c>
      <c r="E27" t="s">
        <v>82</v>
      </c>
      <c r="F27">
        <v>1</v>
      </c>
      <c r="G27" t="s">
        <v>351</v>
      </c>
      <c r="H27" s="2">
        <f>INDEX(Data!G:G,MATCH(G27,Data!A:A,0),1)</f>
        <v>0.44693420519106453</v>
      </c>
      <c r="I27" s="2">
        <f>INDEX(Data!J:J,MATCH(G27,Data!A:A,0),1)</f>
        <v>0.32449753999236403</v>
      </c>
      <c r="J27" s="2">
        <f>INDEX(Data!R:R,MATCH(G27,Data!A:A,0),1)</f>
        <v>8.3851770965800991</v>
      </c>
      <c r="K27" s="2">
        <f>INDEX(Data!S:S,MATCH(G27,Data!A:A,0),1)</f>
        <v>0</v>
      </c>
      <c r="L27" t="str">
        <f t="shared" si="0"/>
        <v>Combustion installations with a rated thermal input exceeding 20 MW_Manufacture of paints, varnishes and similar coatings, printing ink and mastics</v>
      </c>
      <c r="M27">
        <f>INDEX(Data!AD:AD,MATCH($G27,Data!$A:$A,0),1)</f>
        <v>0.6</v>
      </c>
      <c r="N27">
        <f>INDEX(Data!AE:AE,MATCH($G27,Data!$A:$A,0),1)</f>
        <v>0.59799999999999998</v>
      </c>
      <c r="O27">
        <f>INDEX(Data!AG:AG,MATCH($G27,Data!$A:$A,0),1)</f>
        <v>1.1805916207174112</v>
      </c>
      <c r="P27">
        <f>INDEX(Data!AH:AH,MATCH($G27,Data!$A:$A,0),1)</f>
        <v>1.6217124671972132</v>
      </c>
      <c r="Q27">
        <f>IFERROR(IF(MATCH(B27,#REF!,0)&gt;0,1),0)</f>
        <v>0</v>
      </c>
    </row>
    <row r="28" spans="1:17" x14ac:dyDescent="0.2">
      <c r="A28" t="s">
        <v>11</v>
      </c>
      <c r="B28" t="s">
        <v>90</v>
      </c>
      <c r="C28" t="s">
        <v>6</v>
      </c>
      <c r="D28" t="s">
        <v>237</v>
      </c>
      <c r="E28" t="s">
        <v>237</v>
      </c>
      <c r="F28">
        <v>2</v>
      </c>
      <c r="G28" s="2" t="s">
        <v>377</v>
      </c>
      <c r="H28" s="2">
        <f>INDEX(Data!G:G,MATCH(G28,Data!A:A,0),1)</f>
        <v>1.4950000000000001</v>
      </c>
      <c r="I28" s="2">
        <f>INDEX(Data!J:J,MATCH(G28,Data!A:A,0),1)</f>
        <v>1.288</v>
      </c>
      <c r="J28" s="2">
        <f>INDEX(Data!R:R,MATCH(G28,Data!A:A,0),1)</f>
        <v>14.976000000000001</v>
      </c>
      <c r="K28" s="2">
        <f>INDEX(Data!S:S,MATCH(G28,Data!A:A,0),1)</f>
        <v>6.8039999999999985</v>
      </c>
      <c r="L28" t="str">
        <f t="shared" si="0"/>
        <v>Combustion installations with a rated thermal input exceeding 20 MW_Manufacture of basic iron and steel and of ferro-alloys</v>
      </c>
      <c r="M28">
        <f>INDEX(Data!AD:AD,MATCH($G28,Data!$A:$A,0),1)</f>
        <v>0.48099999999999998</v>
      </c>
      <c r="N28">
        <f>INDEX(Data!AE:AE,MATCH($G28,Data!$A:$A,0),1)</f>
        <v>0.41199999999999992</v>
      </c>
      <c r="O28">
        <f>INDEX(Data!AG:AG,MATCH($G28,Data!$A:$A,0),1)</f>
        <v>1.2895889249131132</v>
      </c>
      <c r="P28">
        <f>INDEX(Data!AH:AH,MATCH($G28,Data!$A:$A,0),1)</f>
        <v>0.59422748497442568</v>
      </c>
      <c r="Q28">
        <f>IFERROR(IF(MATCH(B28,#REF!,0)&gt;0,1),0)</f>
        <v>0</v>
      </c>
    </row>
    <row r="29" spans="1:17" x14ac:dyDescent="0.2">
      <c r="A29" t="s">
        <v>11</v>
      </c>
      <c r="B29" t="s">
        <v>236</v>
      </c>
      <c r="C29" t="s">
        <v>6</v>
      </c>
      <c r="D29" t="s">
        <v>237</v>
      </c>
      <c r="E29" t="s">
        <v>237</v>
      </c>
      <c r="F29">
        <v>1</v>
      </c>
      <c r="G29" s="2" t="s">
        <v>446</v>
      </c>
      <c r="H29" s="2">
        <f>INDEX(Data!G:G,MATCH(G29,Data!A:A,0),1)</f>
        <v>0.28693460797283676</v>
      </c>
      <c r="I29" s="2">
        <f>INDEX(Data!J:J,MATCH(G29,Data!A:A,0),1)</f>
        <v>0.24234523094630439</v>
      </c>
      <c r="J29" s="2">
        <f>INDEX(Data!R:R,MATCH(G29,Data!A:A,0),1)</f>
        <v>2.4768000000000003</v>
      </c>
      <c r="K29" s="2">
        <f>INDEX(Data!S:S,MATCH(G29,Data!A:A,0),1)</f>
        <v>0</v>
      </c>
      <c r="L29" t="str">
        <f t="shared" si="0"/>
        <v>Combustion installations with a rated thermal input exceeding 20 MW_Manufacture of tubes, pipes, hollow profiles and related fittings, of steel</v>
      </c>
      <c r="M29">
        <f>INDEX(Data!AD:AD,MATCH($G29,Data!$A:$A,0),1)</f>
        <v>0.48099999999999998</v>
      </c>
      <c r="N29">
        <f>INDEX(Data!AE:AE,MATCH($G29,Data!$A:$A,0),1)</f>
        <v>0.41199999999999998</v>
      </c>
      <c r="O29">
        <f>INDEX(Data!AG:AG,MATCH($G29,Data!$A:$A,0),1)</f>
        <v>1.2895889249131132</v>
      </c>
      <c r="P29">
        <f>INDEX(Data!AH:AH,MATCH($G29,Data!$A:$A,0),1)</f>
        <v>0.59422748497442568</v>
      </c>
      <c r="Q29">
        <f>IFERROR(IF(MATCH(B29,#REF!,0)&gt;0,1),0)</f>
        <v>0</v>
      </c>
    </row>
    <row r="30" spans="1:17" x14ac:dyDescent="0.2">
      <c r="A30" t="s">
        <v>11</v>
      </c>
      <c r="B30" t="s">
        <v>75</v>
      </c>
      <c r="C30" t="s">
        <v>6</v>
      </c>
      <c r="D30" t="s">
        <v>256</v>
      </c>
      <c r="E30" t="s">
        <v>76</v>
      </c>
      <c r="F30">
        <v>1</v>
      </c>
      <c r="G30" t="s">
        <v>353</v>
      </c>
      <c r="H30" s="2">
        <f>INDEX(Data!G:G,MATCH(G30,Data!A:A,0),1)</f>
        <v>1.92</v>
      </c>
      <c r="I30" s="2">
        <f>INDEX(Data!J:J,MATCH(G30,Data!A:A,0),1)</f>
        <v>1.92</v>
      </c>
      <c r="J30" s="2">
        <f>INDEX(Data!R:R,MATCH(G30,Data!A:A,0),1)</f>
        <v>2.2680000000000002</v>
      </c>
      <c r="K30" s="2">
        <f>INDEX(Data!S:S,MATCH(G30,Data!A:A,0),1)</f>
        <v>0</v>
      </c>
      <c r="L30" t="str">
        <f t="shared" si="0"/>
        <v>Combustion installations with a rated thermal input exceeding 20 MW_Lead, zinc and tin production</v>
      </c>
      <c r="M30">
        <f>INDEX(Data!AD:AD,MATCH($G30,Data!$A:$A,0),1)</f>
        <v>0.80400000000000005</v>
      </c>
      <c r="N30">
        <f>INDEX(Data!AE:AE,MATCH($G30,Data!$A:$A,0),1)</f>
        <v>0.85799999999999998</v>
      </c>
      <c r="O30">
        <f>INDEX(Data!AG:AG,MATCH($G30,Data!$A:$A,0),1)</f>
        <v>1</v>
      </c>
      <c r="P30">
        <f>INDEX(Data!AH:AH,MATCH($G30,Data!$A:$A,0),1)</f>
        <v>1</v>
      </c>
      <c r="Q30">
        <f>IFERROR(IF(MATCH(B30,#REF!,0)&gt;0,1),0)</f>
        <v>0</v>
      </c>
    </row>
    <row r="31" spans="1:17" x14ac:dyDescent="0.2">
      <c r="A31" t="s">
        <v>11</v>
      </c>
      <c r="B31" t="s">
        <v>57</v>
      </c>
      <c r="C31" t="s">
        <v>58</v>
      </c>
      <c r="D31" t="s">
        <v>403</v>
      </c>
      <c r="E31" t="s">
        <v>242</v>
      </c>
      <c r="F31">
        <v>1</v>
      </c>
      <c r="G31" t="s">
        <v>325</v>
      </c>
      <c r="H31" s="2">
        <f>INDEX(Data!G:G,MATCH(G31,Data!A:A,0),1)</f>
        <v>5.79E-2</v>
      </c>
      <c r="I31" s="2">
        <f>INDEX(Data!J:J,MATCH(G31,Data!A:A,0),1)</f>
        <v>4.2599999999999999E-2</v>
      </c>
      <c r="J31" s="2">
        <f>INDEX(Data!R:R,MATCH(G31,Data!A:A,0),1)</f>
        <v>1</v>
      </c>
      <c r="K31" s="2">
        <f>INDEX(Data!S:S,MATCH(G31,Data!A:A,0),1)</f>
        <v>0</v>
      </c>
      <c r="L31" t="str">
        <f t="shared" si="0"/>
        <v>Combustion installations with a rated thermal input exceeding 20 MW_Extraction of salt</v>
      </c>
      <c r="M31">
        <f>INDEX(Data!AD:AD,MATCH($G31,Data!$A:$A,0),1)</f>
        <v>0.78200000000000003</v>
      </c>
      <c r="N31">
        <f>INDEX(Data!AE:AE,MATCH($G31,Data!$A:$A,0),1)</f>
        <v>0.63500000000000001</v>
      </c>
      <c r="O31">
        <f>INDEX(Data!AG:AG,MATCH($G31,Data!$A:$A,0),1)</f>
        <v>1.1486856676492798</v>
      </c>
      <c r="P31">
        <f>INDEX(Data!AH:AH,MATCH($G31,Data!$A:$A,0),1)</f>
        <v>1.7068864766411047</v>
      </c>
      <c r="Q31">
        <f>IFERROR(IF(MATCH(B31,#REF!,0)&gt;0,1),0)</f>
        <v>0</v>
      </c>
    </row>
    <row r="32" spans="1:17" x14ac:dyDescent="0.2">
      <c r="A32" t="s">
        <v>11</v>
      </c>
      <c r="B32" t="s">
        <v>247</v>
      </c>
      <c r="C32" t="s">
        <v>246</v>
      </c>
      <c r="D32" t="s">
        <v>403</v>
      </c>
      <c r="E32" t="s">
        <v>242</v>
      </c>
      <c r="F32">
        <v>1</v>
      </c>
      <c r="G32" t="s">
        <v>325</v>
      </c>
      <c r="H32" s="2">
        <f>INDEX(Data!G:G,MATCH(G32,Data!A:A,0),1)</f>
        <v>5.79E-2</v>
      </c>
      <c r="I32" s="2">
        <f>INDEX(Data!J:J,MATCH(G32,Data!A:A,0),1)</f>
        <v>4.2599999999999999E-2</v>
      </c>
      <c r="J32" s="2">
        <f>INDEX(Data!R:R,MATCH(G32,Data!A:A,0),1)</f>
        <v>1</v>
      </c>
      <c r="K32" s="2">
        <f>INDEX(Data!S:S,MATCH(G32,Data!A:A,0),1)</f>
        <v>0</v>
      </c>
      <c r="L32" t="str">
        <f t="shared" si="0"/>
        <v>Combustion installations with a rated thermal input exceeding 20 MW_Mining of uranium and thorium ores</v>
      </c>
      <c r="M32">
        <f>INDEX(Data!AD:AD,MATCH($G32,Data!$A:$A,0),1)</f>
        <v>0.78200000000000003</v>
      </c>
      <c r="N32">
        <f>INDEX(Data!AE:AE,MATCH($G32,Data!$A:$A,0),1)</f>
        <v>0.63500000000000001</v>
      </c>
      <c r="O32">
        <f>INDEX(Data!AG:AG,MATCH($G32,Data!$A:$A,0),1)</f>
        <v>1.1486856676492798</v>
      </c>
      <c r="P32">
        <f>INDEX(Data!AH:AH,MATCH($G32,Data!$A:$A,0),1)</f>
        <v>1.7068864766411047</v>
      </c>
      <c r="Q32">
        <f>IFERROR(IF(MATCH(B32,#REF!,0)&gt;0,1),0)</f>
        <v>0</v>
      </c>
    </row>
    <row r="33" spans="1:17" x14ac:dyDescent="0.2">
      <c r="A33" t="s">
        <v>11</v>
      </c>
      <c r="B33" t="s">
        <v>254</v>
      </c>
      <c r="C33" t="s">
        <v>58</v>
      </c>
      <c r="D33" t="s">
        <v>403</v>
      </c>
      <c r="E33" t="s">
        <v>242</v>
      </c>
      <c r="F33">
        <v>1</v>
      </c>
      <c r="G33" t="s">
        <v>325</v>
      </c>
      <c r="H33" s="2">
        <f>INDEX(Data!G:G,MATCH(G33,Data!A:A,0),1)</f>
        <v>5.79E-2</v>
      </c>
      <c r="I33" s="2">
        <f>INDEX(Data!J:J,MATCH(G33,Data!A:A,0),1)</f>
        <v>4.2599999999999999E-2</v>
      </c>
      <c r="J33" s="2">
        <f>INDEX(Data!R:R,MATCH(G33,Data!A:A,0),1)</f>
        <v>1</v>
      </c>
      <c r="K33" s="2">
        <f>INDEX(Data!S:S,MATCH(G33,Data!A:A,0),1)</f>
        <v>0</v>
      </c>
      <c r="L33" t="str">
        <f t="shared" si="0"/>
        <v>Combustion installations with a rated thermal input exceeding 20 MW_Other mining and quarrying n.e.c.</v>
      </c>
      <c r="M33">
        <f>INDEX(Data!AD:AD,MATCH($G33,Data!$A:$A,0),1)</f>
        <v>0.78200000000000003</v>
      </c>
      <c r="N33">
        <f>INDEX(Data!AE:AE,MATCH($G33,Data!$A:$A,0),1)</f>
        <v>0.63500000000000001</v>
      </c>
      <c r="O33">
        <f>INDEX(Data!AG:AG,MATCH($G33,Data!$A:$A,0),1)</f>
        <v>1.1486856676492798</v>
      </c>
      <c r="P33">
        <f>INDEX(Data!AH:AH,MATCH($G33,Data!$A:$A,0),1)</f>
        <v>1.7068864766411047</v>
      </c>
      <c r="Q33">
        <f>IFERROR(IF(MATCH(B33,#REF!,0)&gt;0,1),0)</f>
        <v>0</v>
      </c>
    </row>
    <row r="34" spans="1:17" x14ac:dyDescent="0.2">
      <c r="A34" t="s">
        <v>11</v>
      </c>
      <c r="B34" t="s">
        <v>22</v>
      </c>
      <c r="C34" t="s">
        <v>6</v>
      </c>
      <c r="D34" t="s">
        <v>256</v>
      </c>
      <c r="E34" t="s">
        <v>256</v>
      </c>
      <c r="F34">
        <v>1</v>
      </c>
      <c r="G34" t="s">
        <v>354</v>
      </c>
      <c r="H34" s="2">
        <f>INDEX(Data!G:G,MATCH(G34,Data!A:A,0),1)</f>
        <v>1.6536666666666668</v>
      </c>
      <c r="I34" s="2">
        <f>INDEX(Data!J:J,MATCH(G34,Data!A:A,0),1)</f>
        <v>1.5946666666666667</v>
      </c>
      <c r="J34" s="2">
        <f>INDEX(Data!R:R,MATCH(G34,Data!A:A,0),1)</f>
        <v>2.2680000000000002</v>
      </c>
      <c r="K34" s="2">
        <f>INDEX(Data!S:S,MATCH(G34,Data!A:A,0),1)</f>
        <v>0</v>
      </c>
      <c r="L34" t="str">
        <f t="shared" si="0"/>
        <v>Combustion installations with a rated thermal input exceeding 20 MW_Casting of light metals</v>
      </c>
      <c r="M34">
        <f>INDEX(Data!AD:AD,MATCH($G34,Data!$A:$A,0),1)</f>
        <v>0.80400000000000005</v>
      </c>
      <c r="N34">
        <f>INDEX(Data!AE:AE,MATCH($G34,Data!$A:$A,0),1)</f>
        <v>0.85799999999999998</v>
      </c>
      <c r="O34">
        <f>INDEX(Data!AG:AG,MATCH($G34,Data!$A:$A,0),1)</f>
        <v>1</v>
      </c>
      <c r="P34">
        <f>INDEX(Data!AH:AH,MATCH($G34,Data!$A:$A,0),1)</f>
        <v>1</v>
      </c>
      <c r="Q34">
        <f>IFERROR(IF(MATCH(B34,#REF!,0)&gt;0,1),0)</f>
        <v>0</v>
      </c>
    </row>
    <row r="35" spans="1:17" x14ac:dyDescent="0.2">
      <c r="A35" t="s">
        <v>11</v>
      </c>
      <c r="B35" t="s">
        <v>189</v>
      </c>
      <c r="C35" t="s">
        <v>81</v>
      </c>
      <c r="D35" t="s">
        <v>409</v>
      </c>
      <c r="E35" t="s">
        <v>190</v>
      </c>
      <c r="F35">
        <v>3</v>
      </c>
      <c r="G35" t="s">
        <v>357</v>
      </c>
      <c r="H35" s="2">
        <f>INDEX(Data!G:G,MATCH(G35,Data!A:A,0),1)</f>
        <v>0.805852417888692</v>
      </c>
      <c r="I35" s="2">
        <f>INDEX(Data!J:J,MATCH(G35,Data!A:A,0),1)</f>
        <v>0.66291615790238245</v>
      </c>
      <c r="J35" s="2">
        <f>INDEX(Data!R:R,MATCH(G35,Data!A:A,0),1)</f>
        <v>4.5353855263775982</v>
      </c>
      <c r="K35" s="2">
        <f>INDEX(Data!S:S,MATCH(G35,Data!A:A,0),1)</f>
        <v>0</v>
      </c>
      <c r="L35" t="str">
        <f t="shared" si="0"/>
        <v>Combustion installations with a rated thermal input exceeding 20 MW_Manufacture of other non-metallic mineral products n.e.c.</v>
      </c>
      <c r="M35">
        <f>INDEX(Data!AD:AD,MATCH($G35,Data!$A:$A,0),1)</f>
        <v>0.60000000000000009</v>
      </c>
      <c r="N35">
        <f>INDEX(Data!AE:AE,MATCH($G35,Data!$A:$A,0),1)</f>
        <v>0.59800000000000009</v>
      </c>
      <c r="O35">
        <f>INDEX(Data!AG:AG,MATCH($G35,Data!$A:$A,0),1)</f>
        <v>1.5739122718925649</v>
      </c>
      <c r="P35">
        <f>INDEX(Data!AH:AH,MATCH($G35,Data!$A:$A,0),1)</f>
        <v>19.180526497604429</v>
      </c>
      <c r="Q35">
        <f>IFERROR(IF(MATCH(B35,#REF!,0)&gt;0,1),0)</f>
        <v>0</v>
      </c>
    </row>
    <row r="36" spans="1:17" x14ac:dyDescent="0.2">
      <c r="A36" t="s">
        <v>11</v>
      </c>
      <c r="B36" t="s">
        <v>16</v>
      </c>
      <c r="C36" t="s">
        <v>17</v>
      </c>
      <c r="D36" t="s">
        <v>403</v>
      </c>
      <c r="E36" t="s">
        <v>15</v>
      </c>
      <c r="F36">
        <v>2</v>
      </c>
      <c r="G36" t="s">
        <v>325</v>
      </c>
      <c r="H36" s="2">
        <f>INDEX(Data!G:G,MATCH(G36,Data!A:A,0),1)</f>
        <v>5.79E-2</v>
      </c>
      <c r="I36" s="2">
        <f>INDEX(Data!J:J,MATCH(G36,Data!A:A,0),1)</f>
        <v>4.2599999999999999E-2</v>
      </c>
      <c r="J36" s="2">
        <f>INDEX(Data!R:R,MATCH(G36,Data!A:A,0),1)</f>
        <v>1</v>
      </c>
      <c r="K36" s="2">
        <f>INDEX(Data!S:S,MATCH(G36,Data!A:A,0),1)</f>
        <v>0</v>
      </c>
      <c r="L36" t="str">
        <f t="shared" si="0"/>
        <v>Combustion installations with a rated thermal input exceeding 20 MW_Cargo handling</v>
      </c>
      <c r="M36">
        <f>INDEX(Data!AD:AD,MATCH($G36,Data!$A:$A,0),1)</f>
        <v>0.78200000000000003</v>
      </c>
      <c r="N36">
        <f>INDEX(Data!AE:AE,MATCH($G36,Data!$A:$A,0),1)</f>
        <v>0.63500000000000001</v>
      </c>
      <c r="O36">
        <f>INDEX(Data!AG:AG,MATCH($G36,Data!$A:$A,0),1)</f>
        <v>1.1486856676492798</v>
      </c>
      <c r="P36">
        <f>INDEX(Data!AH:AH,MATCH($G36,Data!$A:$A,0),1)</f>
        <v>1.7068864766411047</v>
      </c>
      <c r="Q36">
        <f>IFERROR(IF(MATCH(B36,#REF!,0)&gt;0,1),0)</f>
        <v>0</v>
      </c>
    </row>
    <row r="37" spans="1:17" x14ac:dyDescent="0.2">
      <c r="A37" t="s">
        <v>11</v>
      </c>
      <c r="B37" t="s">
        <v>37</v>
      </c>
      <c r="C37" t="s">
        <v>38</v>
      </c>
      <c r="D37" t="s">
        <v>403</v>
      </c>
      <c r="E37" t="s">
        <v>15</v>
      </c>
      <c r="F37">
        <v>2</v>
      </c>
      <c r="G37" t="s">
        <v>325</v>
      </c>
      <c r="H37" s="2">
        <f>INDEX(Data!G:G,MATCH(G37,Data!A:A,0),1)</f>
        <v>5.79E-2</v>
      </c>
      <c r="I37" s="2">
        <f>INDEX(Data!J:J,MATCH(G37,Data!A:A,0),1)</f>
        <v>4.2599999999999999E-2</v>
      </c>
      <c r="J37" s="2">
        <f>INDEX(Data!R:R,MATCH(G37,Data!A:A,0),1)</f>
        <v>1</v>
      </c>
      <c r="K37" s="2">
        <f>INDEX(Data!S:S,MATCH(G37,Data!A:A,0),1)</f>
        <v>0</v>
      </c>
      <c r="L37" t="str">
        <f t="shared" si="0"/>
        <v>Combustion installations with a rated thermal input exceeding 20 MW_Defence activities</v>
      </c>
      <c r="M37">
        <f>INDEX(Data!AD:AD,MATCH($G37,Data!$A:$A,0),1)</f>
        <v>0.78200000000000003</v>
      </c>
      <c r="N37">
        <f>INDEX(Data!AE:AE,MATCH($G37,Data!$A:$A,0),1)</f>
        <v>0.63500000000000001</v>
      </c>
      <c r="O37">
        <f>INDEX(Data!AG:AG,MATCH($G37,Data!$A:$A,0),1)</f>
        <v>1.1486856676492798</v>
      </c>
      <c r="P37">
        <f>INDEX(Data!AH:AH,MATCH($G37,Data!$A:$A,0),1)</f>
        <v>1.7068864766411047</v>
      </c>
      <c r="Q37">
        <f>IFERROR(IF(MATCH(B37,#REF!,0)&gt;0,1),0)</f>
        <v>0</v>
      </c>
    </row>
    <row r="38" spans="1:17" x14ac:dyDescent="0.2">
      <c r="A38" t="s">
        <v>11</v>
      </c>
      <c r="B38" t="s">
        <v>41</v>
      </c>
      <c r="C38" t="s">
        <v>42</v>
      </c>
      <c r="D38" t="s">
        <v>403</v>
      </c>
      <c r="E38" t="s">
        <v>15</v>
      </c>
      <c r="F38">
        <v>4</v>
      </c>
      <c r="G38" t="s">
        <v>325</v>
      </c>
      <c r="H38" s="2">
        <f>INDEX(Data!G:G,MATCH(G38,Data!A:A,0),1)</f>
        <v>5.79E-2</v>
      </c>
      <c r="I38" s="2">
        <f>INDEX(Data!J:J,MATCH(G38,Data!A:A,0),1)</f>
        <v>4.2599999999999999E-2</v>
      </c>
      <c r="J38" s="2">
        <f>INDEX(Data!R:R,MATCH(G38,Data!A:A,0),1)</f>
        <v>1</v>
      </c>
      <c r="K38" s="2">
        <f>INDEX(Data!S:S,MATCH(G38,Data!A:A,0),1)</f>
        <v>0</v>
      </c>
      <c r="L38" t="str">
        <f t="shared" si="0"/>
        <v>Combustion installations with a rated thermal input exceeding 20 MW_Distilling, rectifying and blending of spirits</v>
      </c>
      <c r="M38">
        <f>INDEX(Data!AD:AD,MATCH($G38,Data!$A:$A,0),1)</f>
        <v>0.78200000000000003</v>
      </c>
      <c r="N38">
        <f>INDEX(Data!AE:AE,MATCH($G38,Data!$A:$A,0),1)</f>
        <v>0.63500000000000001</v>
      </c>
      <c r="O38">
        <f>INDEX(Data!AG:AG,MATCH($G38,Data!$A:$A,0),1)</f>
        <v>1.1486856676492798</v>
      </c>
      <c r="P38">
        <f>INDEX(Data!AH:AH,MATCH($G38,Data!$A:$A,0),1)</f>
        <v>1.7068864766411047</v>
      </c>
      <c r="Q38">
        <f>IFERROR(IF(MATCH(B38,#REF!,0)&gt;0,1),0)</f>
        <v>0</v>
      </c>
    </row>
    <row r="39" spans="1:17" x14ac:dyDescent="0.2">
      <c r="A39" t="s">
        <v>11</v>
      </c>
      <c r="B39" t="s">
        <v>59</v>
      </c>
      <c r="C39" t="s">
        <v>60</v>
      </c>
      <c r="D39" t="s">
        <v>403</v>
      </c>
      <c r="E39" t="s">
        <v>15</v>
      </c>
      <c r="F39">
        <v>1</v>
      </c>
      <c r="G39" t="s">
        <v>325</v>
      </c>
      <c r="H39" s="2">
        <f>INDEX(Data!G:G,MATCH(G39,Data!A:A,0),1)</f>
        <v>5.79E-2</v>
      </c>
      <c r="I39" s="2">
        <f>INDEX(Data!J:J,MATCH(G39,Data!A:A,0),1)</f>
        <v>4.2599999999999999E-2</v>
      </c>
      <c r="J39" s="2">
        <f>INDEX(Data!R:R,MATCH(G39,Data!A:A,0),1)</f>
        <v>1</v>
      </c>
      <c r="K39" s="2">
        <f>INDEX(Data!S:S,MATCH(G39,Data!A:A,0),1)</f>
        <v>0</v>
      </c>
      <c r="L39" t="str">
        <f t="shared" si="0"/>
        <v>Combustion installations with a rated thermal input exceeding 20 MW_Financial leasing</v>
      </c>
      <c r="M39">
        <f>INDEX(Data!AD:AD,MATCH($G39,Data!$A:$A,0),1)</f>
        <v>0.78200000000000003</v>
      </c>
      <c r="N39">
        <f>INDEX(Data!AE:AE,MATCH($G39,Data!$A:$A,0),1)</f>
        <v>0.63500000000000001</v>
      </c>
      <c r="O39">
        <f>INDEX(Data!AG:AG,MATCH($G39,Data!$A:$A,0),1)</f>
        <v>1.1486856676492798</v>
      </c>
      <c r="P39">
        <f>INDEX(Data!AH:AH,MATCH($G39,Data!$A:$A,0),1)</f>
        <v>1.7068864766411047</v>
      </c>
      <c r="Q39">
        <f>IFERROR(IF(MATCH(B39,#REF!,0)&gt;0,1),0)</f>
        <v>0</v>
      </c>
    </row>
    <row r="40" spans="1:17" x14ac:dyDescent="0.2">
      <c r="A40" t="s">
        <v>11</v>
      </c>
      <c r="B40" t="s">
        <v>61</v>
      </c>
      <c r="C40" t="s">
        <v>62</v>
      </c>
      <c r="D40" t="s">
        <v>403</v>
      </c>
      <c r="E40" t="s">
        <v>15</v>
      </c>
      <c r="F40">
        <v>6</v>
      </c>
      <c r="G40" t="s">
        <v>325</v>
      </c>
      <c r="H40" s="2">
        <f>INDEX(Data!G:G,MATCH(G40,Data!A:A,0),1)</f>
        <v>5.79E-2</v>
      </c>
      <c r="I40" s="2">
        <f>INDEX(Data!J:J,MATCH(G40,Data!A:A,0),1)</f>
        <v>4.2599999999999999E-2</v>
      </c>
      <c r="J40" s="2">
        <f>INDEX(Data!R:R,MATCH(G40,Data!A:A,0),1)</f>
        <v>1</v>
      </c>
      <c r="K40" s="2">
        <f>INDEX(Data!S:S,MATCH(G40,Data!A:A,0),1)</f>
        <v>0</v>
      </c>
      <c r="L40" t="str">
        <f t="shared" si="0"/>
        <v>Combustion installations with a rated thermal input exceeding 20 MW_Finishing of textiles</v>
      </c>
      <c r="M40">
        <f>INDEX(Data!AD:AD,MATCH($G40,Data!$A:$A,0),1)</f>
        <v>0.78200000000000003</v>
      </c>
      <c r="N40">
        <f>INDEX(Data!AE:AE,MATCH($G40,Data!$A:$A,0),1)</f>
        <v>0.63500000000000001</v>
      </c>
      <c r="O40">
        <f>INDEX(Data!AG:AG,MATCH($G40,Data!$A:$A,0),1)</f>
        <v>1.1486856676492798</v>
      </c>
      <c r="P40">
        <f>INDEX(Data!AH:AH,MATCH($G40,Data!$A:$A,0),1)</f>
        <v>1.7068864766411047</v>
      </c>
      <c r="Q40">
        <f>IFERROR(IF(MATCH(B40,#REF!,0)&gt;0,1),0)</f>
        <v>0</v>
      </c>
    </row>
    <row r="41" spans="1:17" x14ac:dyDescent="0.2">
      <c r="A41" t="s">
        <v>11</v>
      </c>
      <c r="B41" t="s">
        <v>63</v>
      </c>
      <c r="C41" t="s">
        <v>38</v>
      </c>
      <c r="D41" t="s">
        <v>403</v>
      </c>
      <c r="E41" t="s">
        <v>15</v>
      </c>
      <c r="F41">
        <v>1</v>
      </c>
      <c r="G41" t="s">
        <v>325</v>
      </c>
      <c r="H41" s="2">
        <f>INDEX(Data!G:G,MATCH(G41,Data!A:A,0),1)</f>
        <v>5.79E-2</v>
      </c>
      <c r="I41" s="2">
        <f>INDEX(Data!J:J,MATCH(G41,Data!A:A,0),1)</f>
        <v>4.2599999999999999E-2</v>
      </c>
      <c r="J41" s="2">
        <f>INDEX(Data!R:R,MATCH(G41,Data!A:A,0),1)</f>
        <v>1</v>
      </c>
      <c r="K41" s="2">
        <f>INDEX(Data!S:S,MATCH(G41,Data!A:A,0),1)</f>
        <v>0</v>
      </c>
      <c r="L41" t="str">
        <f t="shared" si="0"/>
        <v>Combustion installations with a rated thermal input exceeding 20 MW_Fire service activities</v>
      </c>
      <c r="M41">
        <f>INDEX(Data!AD:AD,MATCH($G41,Data!$A:$A,0),1)</f>
        <v>0.78200000000000003</v>
      </c>
      <c r="N41">
        <f>INDEX(Data!AE:AE,MATCH($G41,Data!$A:$A,0),1)</f>
        <v>0.63500000000000001</v>
      </c>
      <c r="O41">
        <f>INDEX(Data!AG:AG,MATCH($G41,Data!$A:$A,0),1)</f>
        <v>1.1486856676492798</v>
      </c>
      <c r="P41">
        <f>INDEX(Data!AH:AH,MATCH($G41,Data!$A:$A,0),1)</f>
        <v>1.7068864766411047</v>
      </c>
      <c r="Q41">
        <f>IFERROR(IF(MATCH(B41,#REF!,0)&gt;0,1),0)</f>
        <v>0</v>
      </c>
    </row>
    <row r="42" spans="1:17" x14ac:dyDescent="0.2">
      <c r="A42" t="s">
        <v>11</v>
      </c>
      <c r="B42" t="s">
        <v>69</v>
      </c>
      <c r="C42" t="s">
        <v>67</v>
      </c>
      <c r="D42" t="s">
        <v>403</v>
      </c>
      <c r="E42" t="s">
        <v>15</v>
      </c>
      <c r="F42">
        <v>1</v>
      </c>
      <c r="G42" t="s">
        <v>325</v>
      </c>
      <c r="H42" s="2">
        <f>INDEX(Data!G:G,MATCH(G42,Data!A:A,0),1)</f>
        <v>5.79E-2</v>
      </c>
      <c r="I42" s="2">
        <f>INDEX(Data!J:J,MATCH(G42,Data!A:A,0),1)</f>
        <v>4.2599999999999999E-2</v>
      </c>
      <c r="J42" s="2">
        <f>INDEX(Data!R:R,MATCH(G42,Data!A:A,0),1)</f>
        <v>1</v>
      </c>
      <c r="K42" s="2">
        <f>INDEX(Data!S:S,MATCH(G42,Data!A:A,0),1)</f>
        <v>0</v>
      </c>
      <c r="L42" t="str">
        <f t="shared" si="0"/>
        <v>Combustion installations with a rated thermal input exceeding 20 MW_Growing of tropical and subtropical fruits</v>
      </c>
      <c r="M42">
        <f>INDEX(Data!AD:AD,MATCH($G42,Data!$A:$A,0),1)</f>
        <v>0.78200000000000003</v>
      </c>
      <c r="N42">
        <f>INDEX(Data!AE:AE,MATCH($G42,Data!$A:$A,0),1)</f>
        <v>0.63500000000000001</v>
      </c>
      <c r="O42">
        <f>INDEX(Data!AG:AG,MATCH($G42,Data!$A:$A,0),1)</f>
        <v>1.1486856676492798</v>
      </c>
      <c r="P42">
        <f>INDEX(Data!AH:AH,MATCH($G42,Data!$A:$A,0),1)</f>
        <v>1.7068864766411047</v>
      </c>
      <c r="Q42">
        <f>IFERROR(IF(MATCH(B42,#REF!,0)&gt;0,1),0)</f>
        <v>0</v>
      </c>
    </row>
    <row r="43" spans="1:17" x14ac:dyDescent="0.2">
      <c r="A43" t="s">
        <v>11</v>
      </c>
      <c r="B43" t="s">
        <v>73</v>
      </c>
      <c r="C43" t="s">
        <v>74</v>
      </c>
      <c r="D43" t="s">
        <v>403</v>
      </c>
      <c r="E43" t="s">
        <v>15</v>
      </c>
      <c r="F43">
        <v>5</v>
      </c>
      <c r="G43" t="s">
        <v>325</v>
      </c>
      <c r="H43" s="2">
        <f>INDEX(Data!G:G,MATCH(G43,Data!A:A,0),1)</f>
        <v>5.79E-2</v>
      </c>
      <c r="I43" s="2">
        <f>INDEX(Data!J:J,MATCH(G43,Data!A:A,0),1)</f>
        <v>4.2599999999999999E-2</v>
      </c>
      <c r="J43" s="2">
        <f>INDEX(Data!R:R,MATCH(G43,Data!A:A,0),1)</f>
        <v>1</v>
      </c>
      <c r="K43" s="2">
        <f>INDEX(Data!S:S,MATCH(G43,Data!A:A,0),1)</f>
        <v>0</v>
      </c>
      <c r="L43" t="str">
        <f t="shared" si="0"/>
        <v>Combustion installations with a rated thermal input exceeding 20 MW_Hospital activities</v>
      </c>
      <c r="M43">
        <f>INDEX(Data!AD:AD,MATCH($G43,Data!$A:$A,0),1)</f>
        <v>0.78200000000000003</v>
      </c>
      <c r="N43">
        <f>INDEX(Data!AE:AE,MATCH($G43,Data!$A:$A,0),1)</f>
        <v>0.63500000000000001</v>
      </c>
      <c r="O43">
        <f>INDEX(Data!AG:AG,MATCH($G43,Data!$A:$A,0),1)</f>
        <v>1.1486856676492798</v>
      </c>
      <c r="P43">
        <f>INDEX(Data!AH:AH,MATCH($G43,Data!$A:$A,0),1)</f>
        <v>1.7068864766411047</v>
      </c>
      <c r="Q43">
        <f>IFERROR(IF(MATCH(B43,#REF!,0)&gt;0,1),0)</f>
        <v>0</v>
      </c>
    </row>
    <row r="44" spans="1:17" x14ac:dyDescent="0.2">
      <c r="A44" t="s">
        <v>11</v>
      </c>
      <c r="B44" t="s">
        <v>78</v>
      </c>
      <c r="C44" t="s">
        <v>65</v>
      </c>
      <c r="D44" t="s">
        <v>403</v>
      </c>
      <c r="E44" t="s">
        <v>15</v>
      </c>
      <c r="F44">
        <v>1</v>
      </c>
      <c r="G44" t="s">
        <v>325</v>
      </c>
      <c r="H44" s="2">
        <f>INDEX(Data!G:G,MATCH(G44,Data!A:A,0),1)</f>
        <v>5.79E-2</v>
      </c>
      <c r="I44" s="2">
        <f>INDEX(Data!J:J,MATCH(G44,Data!A:A,0),1)</f>
        <v>4.2599999999999999E-2</v>
      </c>
      <c r="J44" s="2">
        <f>INDEX(Data!R:R,MATCH(G44,Data!A:A,0),1)</f>
        <v>1</v>
      </c>
      <c r="K44" s="2">
        <f>INDEX(Data!S:S,MATCH(G44,Data!A:A,0),1)</f>
        <v>0</v>
      </c>
      <c r="L44" t="str">
        <f t="shared" si="0"/>
        <v>Combustion installations with a rated thermal input exceeding 20 MW_Machining</v>
      </c>
      <c r="M44">
        <f>INDEX(Data!AD:AD,MATCH($G44,Data!$A:$A,0),1)</f>
        <v>0.78200000000000003</v>
      </c>
      <c r="N44">
        <f>INDEX(Data!AE:AE,MATCH($G44,Data!$A:$A,0),1)</f>
        <v>0.63500000000000001</v>
      </c>
      <c r="O44">
        <f>INDEX(Data!AG:AG,MATCH($G44,Data!$A:$A,0),1)</f>
        <v>1.1486856676492798</v>
      </c>
      <c r="P44">
        <f>INDEX(Data!AH:AH,MATCH($G44,Data!$A:$A,0),1)</f>
        <v>1.7068864766411047</v>
      </c>
      <c r="Q44">
        <f>IFERROR(IF(MATCH(B44,#REF!,0)&gt;0,1),0)</f>
        <v>0</v>
      </c>
    </row>
    <row r="45" spans="1:17" x14ac:dyDescent="0.2">
      <c r="A45" t="s">
        <v>11</v>
      </c>
      <c r="B45" t="s">
        <v>85</v>
      </c>
      <c r="C45" t="s">
        <v>86</v>
      </c>
      <c r="D45" t="s">
        <v>403</v>
      </c>
      <c r="E45" t="s">
        <v>15</v>
      </c>
      <c r="F45">
        <v>1</v>
      </c>
      <c r="G45" t="s">
        <v>325</v>
      </c>
      <c r="H45" s="2">
        <f>INDEX(Data!G:G,MATCH(G45,Data!A:A,0),1)</f>
        <v>5.79E-2</v>
      </c>
      <c r="I45" s="2">
        <f>INDEX(Data!J:J,MATCH(G45,Data!A:A,0),1)</f>
        <v>4.2599999999999999E-2</v>
      </c>
      <c r="J45" s="2">
        <f>INDEX(Data!R:R,MATCH(G45,Data!A:A,0),1)</f>
        <v>1</v>
      </c>
      <c r="K45" s="2">
        <f>INDEX(Data!S:S,MATCH(G45,Data!A:A,0),1)</f>
        <v>0</v>
      </c>
      <c r="L45" t="str">
        <f t="shared" si="0"/>
        <v>Combustion installations with a rated thermal input exceeding 20 MW_Manufacture of agricultural and forestry machinery</v>
      </c>
      <c r="M45">
        <f>INDEX(Data!AD:AD,MATCH($G45,Data!$A:$A,0),1)</f>
        <v>0.78200000000000003</v>
      </c>
      <c r="N45">
        <f>INDEX(Data!AE:AE,MATCH($G45,Data!$A:$A,0),1)</f>
        <v>0.63500000000000001</v>
      </c>
      <c r="O45">
        <f>INDEX(Data!AG:AG,MATCH($G45,Data!$A:$A,0),1)</f>
        <v>1.1486856676492798</v>
      </c>
      <c r="P45">
        <f>INDEX(Data!AH:AH,MATCH($G45,Data!$A:$A,0),1)</f>
        <v>1.7068864766411047</v>
      </c>
      <c r="Q45">
        <f>IFERROR(IF(MATCH(B45,#REF!,0)&gt;0,1),0)</f>
        <v>0</v>
      </c>
    </row>
    <row r="46" spans="1:17" x14ac:dyDescent="0.2">
      <c r="A46" t="s">
        <v>11</v>
      </c>
      <c r="B46" t="s">
        <v>87</v>
      </c>
      <c r="C46" t="s">
        <v>14</v>
      </c>
      <c r="D46" t="s">
        <v>403</v>
      </c>
      <c r="E46" t="s">
        <v>15</v>
      </c>
      <c r="F46">
        <v>2</v>
      </c>
      <c r="G46" t="s">
        <v>325</v>
      </c>
      <c r="H46" s="2">
        <f>INDEX(Data!G:G,MATCH(G46,Data!A:A,0),1)</f>
        <v>5.79E-2</v>
      </c>
      <c r="I46" s="2">
        <f>INDEX(Data!J:J,MATCH(G46,Data!A:A,0),1)</f>
        <v>4.2599999999999999E-2</v>
      </c>
      <c r="J46" s="2">
        <f>INDEX(Data!R:R,MATCH(G46,Data!A:A,0),1)</f>
        <v>1</v>
      </c>
      <c r="K46" s="2">
        <f>INDEX(Data!S:S,MATCH(G46,Data!A:A,0),1)</f>
        <v>0</v>
      </c>
      <c r="L46" t="str">
        <f t="shared" si="0"/>
        <v>Combustion installations with a rated thermal input exceeding 20 MW_Manufacture of air and spacecraft and related machinery</v>
      </c>
      <c r="M46">
        <f>INDEX(Data!AD:AD,MATCH($G46,Data!$A:$A,0),1)</f>
        <v>0.78200000000000003</v>
      </c>
      <c r="N46">
        <f>INDEX(Data!AE:AE,MATCH($G46,Data!$A:$A,0),1)</f>
        <v>0.63500000000000001</v>
      </c>
      <c r="O46">
        <f>INDEX(Data!AG:AG,MATCH($G46,Data!$A:$A,0),1)</f>
        <v>1.1486856676492798</v>
      </c>
      <c r="P46">
        <f>INDEX(Data!AH:AH,MATCH($G46,Data!$A:$A,0),1)</f>
        <v>1.7068864766411047</v>
      </c>
      <c r="Q46">
        <f>IFERROR(IF(MATCH(B46,#REF!,0)&gt;0,1),0)</f>
        <v>0</v>
      </c>
    </row>
    <row r="47" spans="1:17" x14ac:dyDescent="0.2">
      <c r="A47" t="s">
        <v>11</v>
      </c>
      <c r="B47" t="s">
        <v>88</v>
      </c>
      <c r="C47" t="s">
        <v>89</v>
      </c>
      <c r="D47" t="s">
        <v>403</v>
      </c>
      <c r="E47" t="s">
        <v>15</v>
      </c>
      <c r="F47">
        <v>1</v>
      </c>
      <c r="G47" t="s">
        <v>325</v>
      </c>
      <c r="H47" s="2">
        <f>INDEX(Data!G:G,MATCH(G47,Data!A:A,0),1)</f>
        <v>5.79E-2</v>
      </c>
      <c r="I47" s="2">
        <f>INDEX(Data!J:J,MATCH(G47,Data!A:A,0),1)</f>
        <v>4.2599999999999999E-2</v>
      </c>
      <c r="J47" s="2">
        <f>INDEX(Data!R:R,MATCH(G47,Data!A:A,0),1)</f>
        <v>1</v>
      </c>
      <c r="K47" s="2">
        <f>INDEX(Data!S:S,MATCH(G47,Data!A:A,0),1)</f>
        <v>0</v>
      </c>
      <c r="L47" t="str">
        <f t="shared" si="0"/>
        <v>Combustion installations with a rated thermal input exceeding 20 MW_Manufacture of assembled parquet floors</v>
      </c>
      <c r="M47">
        <f>INDEX(Data!AD:AD,MATCH($G47,Data!$A:$A,0),1)</f>
        <v>0.78200000000000003</v>
      </c>
      <c r="N47">
        <f>INDEX(Data!AE:AE,MATCH($G47,Data!$A:$A,0),1)</f>
        <v>0.63500000000000001</v>
      </c>
      <c r="O47">
        <f>INDEX(Data!AG:AG,MATCH($G47,Data!$A:$A,0),1)</f>
        <v>1.1486856676492798</v>
      </c>
      <c r="P47">
        <f>INDEX(Data!AH:AH,MATCH($G47,Data!$A:$A,0),1)</f>
        <v>1.7068864766411047</v>
      </c>
      <c r="Q47">
        <f>IFERROR(IF(MATCH(B47,#REF!,0)&gt;0,1),0)</f>
        <v>0</v>
      </c>
    </row>
    <row r="48" spans="1:17" x14ac:dyDescent="0.2">
      <c r="A48" t="s">
        <v>11</v>
      </c>
      <c r="B48" t="s">
        <v>96</v>
      </c>
      <c r="C48" t="s">
        <v>86</v>
      </c>
      <c r="D48" t="s">
        <v>403</v>
      </c>
      <c r="E48" t="s">
        <v>15</v>
      </c>
      <c r="F48">
        <v>1</v>
      </c>
      <c r="G48" t="s">
        <v>325</v>
      </c>
      <c r="H48" s="2">
        <f>INDEX(Data!G:G,MATCH(G48,Data!A:A,0),1)</f>
        <v>5.79E-2</v>
      </c>
      <c r="I48" s="2">
        <f>INDEX(Data!J:J,MATCH(G48,Data!A:A,0),1)</f>
        <v>4.2599999999999999E-2</v>
      </c>
      <c r="J48" s="2">
        <f>INDEX(Data!R:R,MATCH(G48,Data!A:A,0),1)</f>
        <v>1</v>
      </c>
      <c r="K48" s="2">
        <f>INDEX(Data!S:S,MATCH(G48,Data!A:A,0),1)</f>
        <v>0</v>
      </c>
      <c r="L48" t="str">
        <f t="shared" si="0"/>
        <v>Combustion installations with a rated thermal input exceeding 20 MW_Manufacture of bearings, gears, gearing and driving elements</v>
      </c>
      <c r="M48">
        <f>INDEX(Data!AD:AD,MATCH($G48,Data!$A:$A,0),1)</f>
        <v>0.78200000000000003</v>
      </c>
      <c r="N48">
        <f>INDEX(Data!AE:AE,MATCH($G48,Data!$A:$A,0),1)</f>
        <v>0.63500000000000001</v>
      </c>
      <c r="O48">
        <f>INDEX(Data!AG:AG,MATCH($G48,Data!$A:$A,0),1)</f>
        <v>1.1486856676492798</v>
      </c>
      <c r="P48">
        <f>INDEX(Data!AH:AH,MATCH($G48,Data!$A:$A,0),1)</f>
        <v>1.7068864766411047</v>
      </c>
      <c r="Q48">
        <f>IFERROR(IF(MATCH(B48,#REF!,0)&gt;0,1),0)</f>
        <v>0</v>
      </c>
    </row>
    <row r="49" spans="1:17" x14ac:dyDescent="0.2">
      <c r="A49" t="s">
        <v>11</v>
      </c>
      <c r="B49" t="s">
        <v>97</v>
      </c>
      <c r="C49" t="s">
        <v>42</v>
      </c>
      <c r="D49" t="s">
        <v>403</v>
      </c>
      <c r="E49" t="s">
        <v>15</v>
      </c>
      <c r="F49">
        <v>10</v>
      </c>
      <c r="G49" t="s">
        <v>325</v>
      </c>
      <c r="H49" s="2">
        <f>INDEX(Data!G:G,MATCH(G49,Data!A:A,0),1)</f>
        <v>5.79E-2</v>
      </c>
      <c r="I49" s="2">
        <f>INDEX(Data!J:J,MATCH(G49,Data!A:A,0),1)</f>
        <v>4.2599999999999999E-2</v>
      </c>
      <c r="J49" s="2">
        <f>INDEX(Data!R:R,MATCH(G49,Data!A:A,0),1)</f>
        <v>1</v>
      </c>
      <c r="K49" s="2">
        <f>INDEX(Data!S:S,MATCH(G49,Data!A:A,0),1)</f>
        <v>0</v>
      </c>
      <c r="L49" t="str">
        <f t="shared" si="0"/>
        <v>Combustion installations with a rated thermal input exceeding 20 MW_Manufacture of beer</v>
      </c>
      <c r="M49">
        <f>INDEX(Data!AD:AD,MATCH($G49,Data!$A:$A,0),1)</f>
        <v>0.78200000000000003</v>
      </c>
      <c r="N49">
        <f>INDEX(Data!AE:AE,MATCH($G49,Data!$A:$A,0),1)</f>
        <v>0.63500000000000001</v>
      </c>
      <c r="O49">
        <f>INDEX(Data!AG:AG,MATCH($G49,Data!$A:$A,0),1)</f>
        <v>1.1486856676492798</v>
      </c>
      <c r="P49">
        <f>INDEX(Data!AH:AH,MATCH($G49,Data!$A:$A,0),1)</f>
        <v>1.7068864766411047</v>
      </c>
      <c r="Q49">
        <f>IFERROR(IF(MATCH(B49,#REF!,0)&gt;0,1),0)</f>
        <v>0</v>
      </c>
    </row>
    <row r="50" spans="1:17" x14ac:dyDescent="0.2">
      <c r="A50" t="s">
        <v>11</v>
      </c>
      <c r="B50" t="s">
        <v>98</v>
      </c>
      <c r="C50" t="s">
        <v>99</v>
      </c>
      <c r="D50" t="s">
        <v>403</v>
      </c>
      <c r="E50" t="s">
        <v>15</v>
      </c>
      <c r="F50">
        <v>1</v>
      </c>
      <c r="G50" t="s">
        <v>325</v>
      </c>
      <c r="H50" s="2">
        <f>INDEX(Data!G:G,MATCH(G50,Data!A:A,0),1)</f>
        <v>5.79E-2</v>
      </c>
      <c r="I50" s="2">
        <f>INDEX(Data!J:J,MATCH(G50,Data!A:A,0),1)</f>
        <v>4.2599999999999999E-2</v>
      </c>
      <c r="J50" s="2">
        <f>INDEX(Data!R:R,MATCH(G50,Data!A:A,0),1)</f>
        <v>1</v>
      </c>
      <c r="K50" s="2">
        <f>INDEX(Data!S:S,MATCH(G50,Data!A:A,0),1)</f>
        <v>0</v>
      </c>
      <c r="L50" t="str">
        <f t="shared" si="0"/>
        <v>Combustion installations with a rated thermal input exceeding 20 MW_Manufacture of bodies (coachwork) for motor vehicles</v>
      </c>
      <c r="M50">
        <f>INDEX(Data!AD:AD,MATCH($G50,Data!$A:$A,0),1)</f>
        <v>0.78200000000000003</v>
      </c>
      <c r="N50">
        <f>INDEX(Data!AE:AE,MATCH($G50,Data!$A:$A,0),1)</f>
        <v>0.63500000000000001</v>
      </c>
      <c r="O50">
        <f>INDEX(Data!AG:AG,MATCH($G50,Data!$A:$A,0),1)</f>
        <v>1.1486856676492798</v>
      </c>
      <c r="P50">
        <f>INDEX(Data!AH:AH,MATCH($G50,Data!$A:$A,0),1)</f>
        <v>1.7068864766411047</v>
      </c>
      <c r="Q50">
        <f>IFERROR(IF(MATCH(B50,#REF!,0)&gt;0,1),0)</f>
        <v>0</v>
      </c>
    </row>
    <row r="51" spans="1:17" x14ac:dyDescent="0.2">
      <c r="A51" t="s">
        <v>11</v>
      </c>
      <c r="B51" t="s">
        <v>103</v>
      </c>
      <c r="C51" t="s">
        <v>62</v>
      </c>
      <c r="D51" t="s">
        <v>403</v>
      </c>
      <c r="E51" t="s">
        <v>15</v>
      </c>
      <c r="F51">
        <v>3</v>
      </c>
      <c r="G51" t="s">
        <v>325</v>
      </c>
      <c r="H51" s="2">
        <f>INDEX(Data!G:G,MATCH(G51,Data!A:A,0),1)</f>
        <v>5.79E-2</v>
      </c>
      <c r="I51" s="2">
        <f>INDEX(Data!J:J,MATCH(G51,Data!A:A,0),1)</f>
        <v>4.2599999999999999E-2</v>
      </c>
      <c r="J51" s="2">
        <f>INDEX(Data!R:R,MATCH(G51,Data!A:A,0),1)</f>
        <v>1</v>
      </c>
      <c r="K51" s="2">
        <f>INDEX(Data!S:S,MATCH(G51,Data!A:A,0),1)</f>
        <v>0</v>
      </c>
      <c r="L51" t="str">
        <f t="shared" si="0"/>
        <v>Combustion installations with a rated thermal input exceeding 20 MW_Manufacture of carpets and rugs</v>
      </c>
      <c r="M51">
        <f>INDEX(Data!AD:AD,MATCH($G51,Data!$A:$A,0),1)</f>
        <v>0.78200000000000003</v>
      </c>
      <c r="N51">
        <f>INDEX(Data!AE:AE,MATCH($G51,Data!$A:$A,0),1)</f>
        <v>0.63500000000000001</v>
      </c>
      <c r="O51">
        <f>INDEX(Data!AG:AG,MATCH($G51,Data!$A:$A,0),1)</f>
        <v>1.1486856676492798</v>
      </c>
      <c r="P51">
        <f>INDEX(Data!AH:AH,MATCH($G51,Data!$A:$A,0),1)</f>
        <v>1.7068864766411047</v>
      </c>
      <c r="Q51">
        <f>IFERROR(IF(MATCH(B51,#REF!,0)&gt;0,1),0)</f>
        <v>0</v>
      </c>
    </row>
    <row r="52" spans="1:17" x14ac:dyDescent="0.2">
      <c r="A52" t="s">
        <v>11</v>
      </c>
      <c r="B52" t="s">
        <v>112</v>
      </c>
      <c r="C52" t="s">
        <v>113</v>
      </c>
      <c r="D52" t="s">
        <v>403</v>
      </c>
      <c r="E52" t="s">
        <v>15</v>
      </c>
      <c r="F52">
        <v>1</v>
      </c>
      <c r="G52" t="s">
        <v>325</v>
      </c>
      <c r="H52" s="2">
        <f>INDEX(Data!G:G,MATCH(G52,Data!A:A,0),1)</f>
        <v>5.79E-2</v>
      </c>
      <c r="I52" s="2">
        <f>INDEX(Data!J:J,MATCH(G52,Data!A:A,0),1)</f>
        <v>4.2599999999999999E-2</v>
      </c>
      <c r="J52" s="2">
        <f>INDEX(Data!R:R,MATCH(G52,Data!A:A,0),1)</f>
        <v>1</v>
      </c>
      <c r="K52" s="2">
        <f>INDEX(Data!S:S,MATCH(G52,Data!A:A,0),1)</f>
        <v>0</v>
      </c>
      <c r="L52" t="str">
        <f t="shared" si="0"/>
        <v>Combustion installations with a rated thermal input exceeding 20 MW_Manufacture of cocoa, chocolate and sugar confectionery</v>
      </c>
      <c r="M52">
        <f>INDEX(Data!AD:AD,MATCH($G52,Data!$A:$A,0),1)</f>
        <v>0.78200000000000003</v>
      </c>
      <c r="N52">
        <f>INDEX(Data!AE:AE,MATCH($G52,Data!$A:$A,0),1)</f>
        <v>0.63500000000000001</v>
      </c>
      <c r="O52">
        <f>INDEX(Data!AG:AG,MATCH($G52,Data!$A:$A,0),1)</f>
        <v>1.1486856676492798</v>
      </c>
      <c r="P52">
        <f>INDEX(Data!AH:AH,MATCH($G52,Data!$A:$A,0),1)</f>
        <v>1.7068864766411047</v>
      </c>
      <c r="Q52">
        <f>IFERROR(IF(MATCH(B52,#REF!,0)&gt;0,1),0)</f>
        <v>0</v>
      </c>
    </row>
    <row r="53" spans="1:17" x14ac:dyDescent="0.2">
      <c r="A53" t="s">
        <v>11</v>
      </c>
      <c r="B53" t="s">
        <v>117</v>
      </c>
      <c r="C53" t="s">
        <v>118</v>
      </c>
      <c r="D53" t="s">
        <v>403</v>
      </c>
      <c r="E53" t="s">
        <v>15</v>
      </c>
      <c r="F53">
        <v>1</v>
      </c>
      <c r="G53" t="s">
        <v>325</v>
      </c>
      <c r="H53" s="2">
        <f>INDEX(Data!G:G,MATCH(G53,Data!A:A,0),1)</f>
        <v>5.79E-2</v>
      </c>
      <c r="I53" s="2">
        <f>INDEX(Data!J:J,MATCH(G53,Data!A:A,0),1)</f>
        <v>4.2599999999999999E-2</v>
      </c>
      <c r="J53" s="2">
        <f>INDEX(Data!R:R,MATCH(G53,Data!A:A,0),1)</f>
        <v>1</v>
      </c>
      <c r="K53" s="2">
        <f>INDEX(Data!S:S,MATCH(G53,Data!A:A,0),1)</f>
        <v>0</v>
      </c>
      <c r="L53" t="str">
        <f t="shared" si="0"/>
        <v>Combustion installations with a rated thermal input exceeding 20 MW_Manufacture of computers and peripheral equipment</v>
      </c>
      <c r="M53">
        <f>INDEX(Data!AD:AD,MATCH($G53,Data!$A:$A,0),1)</f>
        <v>0.78200000000000003</v>
      </c>
      <c r="N53">
        <f>INDEX(Data!AE:AE,MATCH($G53,Data!$A:$A,0),1)</f>
        <v>0.63500000000000001</v>
      </c>
      <c r="O53">
        <f>INDEX(Data!AG:AG,MATCH($G53,Data!$A:$A,0),1)</f>
        <v>1.1486856676492798</v>
      </c>
      <c r="P53">
        <f>INDEX(Data!AH:AH,MATCH($G53,Data!$A:$A,0),1)</f>
        <v>1.7068864766411047</v>
      </c>
      <c r="Q53">
        <f>IFERROR(IF(MATCH(B53,#REF!,0)&gt;0,1),0)</f>
        <v>0</v>
      </c>
    </row>
    <row r="54" spans="1:17" x14ac:dyDescent="0.2">
      <c r="A54" t="s">
        <v>11</v>
      </c>
      <c r="B54" t="s">
        <v>131</v>
      </c>
      <c r="C54" t="s">
        <v>118</v>
      </c>
      <c r="D54" t="s">
        <v>403</v>
      </c>
      <c r="E54" t="s">
        <v>15</v>
      </c>
      <c r="F54">
        <v>2</v>
      </c>
      <c r="G54" t="s">
        <v>325</v>
      </c>
      <c r="H54" s="2">
        <f>INDEX(Data!G:G,MATCH(G54,Data!A:A,0),1)</f>
        <v>5.79E-2</v>
      </c>
      <c r="I54" s="2">
        <f>INDEX(Data!J:J,MATCH(G54,Data!A:A,0),1)</f>
        <v>4.2599999999999999E-2</v>
      </c>
      <c r="J54" s="2">
        <f>INDEX(Data!R:R,MATCH(G54,Data!A:A,0),1)</f>
        <v>1</v>
      </c>
      <c r="K54" s="2">
        <f>INDEX(Data!S:S,MATCH(G54,Data!A:A,0),1)</f>
        <v>0</v>
      </c>
      <c r="L54" t="str">
        <f t="shared" si="0"/>
        <v>Combustion installations with a rated thermal input exceeding 20 MW_Manufacture of electronic components</v>
      </c>
      <c r="M54">
        <f>INDEX(Data!AD:AD,MATCH($G54,Data!$A:$A,0),1)</f>
        <v>0.78200000000000003</v>
      </c>
      <c r="N54">
        <f>INDEX(Data!AE:AE,MATCH($G54,Data!$A:$A,0),1)</f>
        <v>0.63500000000000001</v>
      </c>
      <c r="O54">
        <f>INDEX(Data!AG:AG,MATCH($G54,Data!$A:$A,0),1)</f>
        <v>1.1486856676492798</v>
      </c>
      <c r="P54">
        <f>INDEX(Data!AH:AH,MATCH($G54,Data!$A:$A,0),1)</f>
        <v>1.7068864766411047</v>
      </c>
      <c r="Q54">
        <f>IFERROR(IF(MATCH(B54,#REF!,0)&gt;0,1),0)</f>
        <v>0</v>
      </c>
    </row>
    <row r="55" spans="1:17" x14ac:dyDescent="0.2">
      <c r="A55" t="s">
        <v>11</v>
      </c>
      <c r="B55" t="s">
        <v>139</v>
      </c>
      <c r="C55" t="s">
        <v>113</v>
      </c>
      <c r="D55" t="s">
        <v>403</v>
      </c>
      <c r="E55" t="s">
        <v>15</v>
      </c>
      <c r="F55">
        <v>2</v>
      </c>
      <c r="G55" t="s">
        <v>325</v>
      </c>
      <c r="H55" s="2">
        <f>INDEX(Data!G:G,MATCH(G55,Data!A:A,0),1)</f>
        <v>5.79E-2</v>
      </c>
      <c r="I55" s="2">
        <f>INDEX(Data!J:J,MATCH(G55,Data!A:A,0),1)</f>
        <v>4.2599999999999999E-2</v>
      </c>
      <c r="J55" s="2">
        <f>INDEX(Data!R:R,MATCH(G55,Data!A:A,0),1)</f>
        <v>1</v>
      </c>
      <c r="K55" s="2">
        <f>INDEX(Data!S:S,MATCH(G55,Data!A:A,0),1)</f>
        <v>0</v>
      </c>
      <c r="L55" t="str">
        <f t="shared" si="0"/>
        <v>Combustion installations with a rated thermal input exceeding 20 MW_Manufacture of fruit and vegetable juice</v>
      </c>
      <c r="M55">
        <f>INDEX(Data!AD:AD,MATCH($G55,Data!$A:$A,0),1)</f>
        <v>0.78200000000000003</v>
      </c>
      <c r="N55">
        <f>INDEX(Data!AE:AE,MATCH($G55,Data!$A:$A,0),1)</f>
        <v>0.63500000000000001</v>
      </c>
      <c r="O55">
        <f>INDEX(Data!AG:AG,MATCH($G55,Data!$A:$A,0),1)</f>
        <v>1.1486856676492798</v>
      </c>
      <c r="P55">
        <f>INDEX(Data!AH:AH,MATCH($G55,Data!$A:$A,0),1)</f>
        <v>1.7068864766411047</v>
      </c>
      <c r="Q55">
        <f>IFERROR(IF(MATCH(B55,#REF!,0)&gt;0,1),0)</f>
        <v>0</v>
      </c>
    </row>
    <row r="56" spans="1:17" x14ac:dyDescent="0.2">
      <c r="A56" t="s">
        <v>11</v>
      </c>
      <c r="B56" t="s">
        <v>147</v>
      </c>
      <c r="C56" t="s">
        <v>113</v>
      </c>
      <c r="D56" t="s">
        <v>403</v>
      </c>
      <c r="E56" t="s">
        <v>15</v>
      </c>
      <c r="F56">
        <v>1</v>
      </c>
      <c r="G56" t="s">
        <v>325</v>
      </c>
      <c r="H56" s="2">
        <f>INDEX(Data!G:G,MATCH(G56,Data!A:A,0),1)</f>
        <v>5.79E-2</v>
      </c>
      <c r="I56" s="2">
        <f>INDEX(Data!J:J,MATCH(G56,Data!A:A,0),1)</f>
        <v>4.2599999999999999E-2</v>
      </c>
      <c r="J56" s="2">
        <f>INDEX(Data!R:R,MATCH(G56,Data!A:A,0),1)</f>
        <v>1</v>
      </c>
      <c r="K56" s="2">
        <f>INDEX(Data!S:S,MATCH(G56,Data!A:A,0),1)</f>
        <v>0</v>
      </c>
      <c r="L56" t="str">
        <f t="shared" si="0"/>
        <v>Combustion installations with a rated thermal input exceeding 20 MW_Manufacture of homogenised food preparations and dietetic food</v>
      </c>
      <c r="M56">
        <f>INDEX(Data!AD:AD,MATCH($G56,Data!$A:$A,0),1)</f>
        <v>0.78200000000000003</v>
      </c>
      <c r="N56">
        <f>INDEX(Data!AE:AE,MATCH($G56,Data!$A:$A,0),1)</f>
        <v>0.63500000000000001</v>
      </c>
      <c r="O56">
        <f>INDEX(Data!AG:AG,MATCH($G56,Data!$A:$A,0),1)</f>
        <v>1.1486856676492798</v>
      </c>
      <c r="P56">
        <f>INDEX(Data!AH:AH,MATCH($G56,Data!$A:$A,0),1)</f>
        <v>1.7068864766411047</v>
      </c>
      <c r="Q56">
        <f>IFERROR(IF(MATCH(B56,#REF!,0)&gt;0,1),0)</f>
        <v>0</v>
      </c>
    </row>
    <row r="57" spans="1:17" x14ac:dyDescent="0.2">
      <c r="A57" t="s">
        <v>11</v>
      </c>
      <c r="B57" t="s">
        <v>156</v>
      </c>
      <c r="C57" t="s">
        <v>113</v>
      </c>
      <c r="D57" t="s">
        <v>403</v>
      </c>
      <c r="E57" t="s">
        <v>15</v>
      </c>
      <c r="F57">
        <v>1</v>
      </c>
      <c r="G57" t="s">
        <v>325</v>
      </c>
      <c r="H57" s="2">
        <f>INDEX(Data!G:G,MATCH(G57,Data!A:A,0),1)</f>
        <v>5.79E-2</v>
      </c>
      <c r="I57" s="2">
        <f>INDEX(Data!J:J,MATCH(G57,Data!A:A,0),1)</f>
        <v>4.2599999999999999E-2</v>
      </c>
      <c r="J57" s="2">
        <f>INDEX(Data!R:R,MATCH(G57,Data!A:A,0),1)</f>
        <v>1</v>
      </c>
      <c r="K57" s="2">
        <f>INDEX(Data!S:S,MATCH(G57,Data!A:A,0),1)</f>
        <v>0</v>
      </c>
      <c r="L57" t="str">
        <f t="shared" si="0"/>
        <v>Combustion installations with a rated thermal input exceeding 20 MW_Manufacture of macaroni, noodles, couscous and similar farinaceous products</v>
      </c>
      <c r="M57">
        <f>INDEX(Data!AD:AD,MATCH($G57,Data!$A:$A,0),1)</f>
        <v>0.78200000000000003</v>
      </c>
      <c r="N57">
        <f>INDEX(Data!AE:AE,MATCH($G57,Data!$A:$A,0),1)</f>
        <v>0.63500000000000001</v>
      </c>
      <c r="O57">
        <f>INDEX(Data!AG:AG,MATCH($G57,Data!$A:$A,0),1)</f>
        <v>1.1486856676492798</v>
      </c>
      <c r="P57">
        <f>INDEX(Data!AH:AH,MATCH($G57,Data!$A:$A,0),1)</f>
        <v>1.7068864766411047</v>
      </c>
      <c r="Q57">
        <f>IFERROR(IF(MATCH(B57,#REF!,0)&gt;0,1),0)</f>
        <v>0</v>
      </c>
    </row>
    <row r="58" spans="1:17" x14ac:dyDescent="0.2">
      <c r="A58" t="s">
        <v>11</v>
      </c>
      <c r="B58" t="s">
        <v>158</v>
      </c>
      <c r="C58" t="s">
        <v>86</v>
      </c>
      <c r="D58" t="s">
        <v>403</v>
      </c>
      <c r="E58" t="s">
        <v>15</v>
      </c>
      <c r="F58">
        <v>1</v>
      </c>
      <c r="G58" t="s">
        <v>325</v>
      </c>
      <c r="H58" s="2">
        <f>INDEX(Data!G:G,MATCH(G58,Data!A:A,0),1)</f>
        <v>5.79E-2</v>
      </c>
      <c r="I58" s="2">
        <f>INDEX(Data!J:J,MATCH(G58,Data!A:A,0),1)</f>
        <v>4.2599999999999999E-2</v>
      </c>
      <c r="J58" s="2">
        <f>INDEX(Data!R:R,MATCH(G58,Data!A:A,0),1)</f>
        <v>1</v>
      </c>
      <c r="K58" s="2">
        <f>INDEX(Data!S:S,MATCH(G58,Data!A:A,0),1)</f>
        <v>0</v>
      </c>
      <c r="L58" t="str">
        <f t="shared" si="0"/>
        <v>Combustion installations with a rated thermal input exceeding 20 MW_Manufacture of machinery for mining, quarrying and construction</v>
      </c>
      <c r="M58">
        <f>INDEX(Data!AD:AD,MATCH($G58,Data!$A:$A,0),1)</f>
        <v>0.78200000000000003</v>
      </c>
      <c r="N58">
        <f>INDEX(Data!AE:AE,MATCH($G58,Data!$A:$A,0),1)</f>
        <v>0.63500000000000001</v>
      </c>
      <c r="O58">
        <f>INDEX(Data!AG:AG,MATCH($G58,Data!$A:$A,0),1)</f>
        <v>1.1486856676492798</v>
      </c>
      <c r="P58">
        <f>INDEX(Data!AH:AH,MATCH($G58,Data!$A:$A,0),1)</f>
        <v>1.7068864766411047</v>
      </c>
      <c r="Q58">
        <f>IFERROR(IF(MATCH(B58,#REF!,0)&gt;0,1),0)</f>
        <v>0</v>
      </c>
    </row>
    <row r="59" spans="1:17" x14ac:dyDescent="0.2">
      <c r="A59" t="s">
        <v>11</v>
      </c>
      <c r="B59" t="s">
        <v>159</v>
      </c>
      <c r="C59" t="s">
        <v>86</v>
      </c>
      <c r="D59" t="s">
        <v>403</v>
      </c>
      <c r="E59" t="s">
        <v>15</v>
      </c>
      <c r="F59">
        <v>1</v>
      </c>
      <c r="G59" t="s">
        <v>325</v>
      </c>
      <c r="H59" s="2">
        <f>INDEX(Data!G:G,MATCH(G59,Data!A:A,0),1)</f>
        <v>5.79E-2</v>
      </c>
      <c r="I59" s="2">
        <f>INDEX(Data!J:J,MATCH(G59,Data!A:A,0),1)</f>
        <v>4.2599999999999999E-2</v>
      </c>
      <c r="J59" s="2">
        <f>INDEX(Data!R:R,MATCH(G59,Data!A:A,0),1)</f>
        <v>1</v>
      </c>
      <c r="K59" s="2">
        <f>INDEX(Data!S:S,MATCH(G59,Data!A:A,0),1)</f>
        <v>0</v>
      </c>
      <c r="L59" t="str">
        <f t="shared" si="0"/>
        <v>Combustion installations with a rated thermal input exceeding 20 MW_Manufacture of machinery for textile, apparel and leather production</v>
      </c>
      <c r="M59">
        <f>INDEX(Data!AD:AD,MATCH($G59,Data!$A:$A,0),1)</f>
        <v>0.78200000000000003</v>
      </c>
      <c r="N59">
        <f>INDEX(Data!AE:AE,MATCH($G59,Data!$A:$A,0),1)</f>
        <v>0.63500000000000001</v>
      </c>
      <c r="O59">
        <f>INDEX(Data!AG:AG,MATCH($G59,Data!$A:$A,0),1)</f>
        <v>1.1486856676492798</v>
      </c>
      <c r="P59">
        <f>INDEX(Data!AH:AH,MATCH($G59,Data!$A:$A,0),1)</f>
        <v>1.7068864766411047</v>
      </c>
      <c r="Q59">
        <f>IFERROR(IF(MATCH(B59,#REF!,0)&gt;0,1),0)</f>
        <v>0</v>
      </c>
    </row>
    <row r="60" spans="1:17" x14ac:dyDescent="0.2">
      <c r="A60" t="s">
        <v>11</v>
      </c>
      <c r="B60" t="s">
        <v>160</v>
      </c>
      <c r="C60" t="s">
        <v>62</v>
      </c>
      <c r="D60" t="s">
        <v>403</v>
      </c>
      <c r="E60" t="s">
        <v>15</v>
      </c>
      <c r="F60">
        <v>1</v>
      </c>
      <c r="G60" t="s">
        <v>325</v>
      </c>
      <c r="H60" s="2">
        <f>INDEX(Data!G:G,MATCH(G60,Data!A:A,0),1)</f>
        <v>5.79E-2</v>
      </c>
      <c r="I60" s="2">
        <f>INDEX(Data!J:J,MATCH(G60,Data!A:A,0),1)</f>
        <v>4.2599999999999999E-2</v>
      </c>
      <c r="J60" s="2">
        <f>INDEX(Data!R:R,MATCH(G60,Data!A:A,0),1)</f>
        <v>1</v>
      </c>
      <c r="K60" s="2">
        <f>INDEX(Data!S:S,MATCH(G60,Data!A:A,0),1)</f>
        <v>0</v>
      </c>
      <c r="L60" t="str">
        <f t="shared" si="0"/>
        <v>Combustion installations with a rated thermal input exceeding 20 MW_Manufacture of made-up textile articles, except apparel</v>
      </c>
      <c r="M60">
        <f>INDEX(Data!AD:AD,MATCH($G60,Data!$A:$A,0),1)</f>
        <v>0.78200000000000003</v>
      </c>
      <c r="N60">
        <f>INDEX(Data!AE:AE,MATCH($G60,Data!$A:$A,0),1)</f>
        <v>0.63500000000000001</v>
      </c>
      <c r="O60">
        <f>INDEX(Data!AG:AG,MATCH($G60,Data!$A:$A,0),1)</f>
        <v>1.1486856676492798</v>
      </c>
      <c r="P60">
        <f>INDEX(Data!AH:AH,MATCH($G60,Data!$A:$A,0),1)</f>
        <v>1.7068864766411047</v>
      </c>
      <c r="Q60">
        <f>IFERROR(IF(MATCH(B60,#REF!,0)&gt;0,1),0)</f>
        <v>0</v>
      </c>
    </row>
    <row r="61" spans="1:17" x14ac:dyDescent="0.2">
      <c r="A61" t="s">
        <v>11</v>
      </c>
      <c r="B61" t="s">
        <v>165</v>
      </c>
      <c r="C61" t="s">
        <v>65</v>
      </c>
      <c r="D61" t="s">
        <v>403</v>
      </c>
      <c r="E61" t="s">
        <v>15</v>
      </c>
      <c r="F61">
        <v>1</v>
      </c>
      <c r="G61" t="s">
        <v>325</v>
      </c>
      <c r="H61" s="2">
        <f>INDEX(Data!G:G,MATCH(G61,Data!A:A,0),1)</f>
        <v>5.79E-2</v>
      </c>
      <c r="I61" s="2">
        <f>INDEX(Data!J:J,MATCH(G61,Data!A:A,0),1)</f>
        <v>4.2599999999999999E-2</v>
      </c>
      <c r="J61" s="2">
        <f>INDEX(Data!R:R,MATCH(G61,Data!A:A,0),1)</f>
        <v>1</v>
      </c>
      <c r="K61" s="2">
        <f>INDEX(Data!S:S,MATCH(G61,Data!A:A,0),1)</f>
        <v>0</v>
      </c>
      <c r="L61" t="str">
        <f t="shared" si="0"/>
        <v>Combustion installations with a rated thermal input exceeding 20 MW_Manufacture of metal structures and parts of structures</v>
      </c>
      <c r="M61">
        <f>INDEX(Data!AD:AD,MATCH($G61,Data!$A:$A,0),1)</f>
        <v>0.78200000000000003</v>
      </c>
      <c r="N61">
        <f>INDEX(Data!AE:AE,MATCH($G61,Data!$A:$A,0),1)</f>
        <v>0.63500000000000001</v>
      </c>
      <c r="O61">
        <f>INDEX(Data!AG:AG,MATCH($G61,Data!$A:$A,0),1)</f>
        <v>1.1486856676492798</v>
      </c>
      <c r="P61">
        <f>INDEX(Data!AH:AH,MATCH($G61,Data!$A:$A,0),1)</f>
        <v>1.7068864766411047</v>
      </c>
      <c r="Q61">
        <f>IFERROR(IF(MATCH(B61,#REF!,0)&gt;0,1),0)</f>
        <v>0</v>
      </c>
    </row>
    <row r="62" spans="1:17" x14ac:dyDescent="0.2">
      <c r="A62" t="s">
        <v>11</v>
      </c>
      <c r="B62" t="s">
        <v>167</v>
      </c>
      <c r="C62" t="s">
        <v>99</v>
      </c>
      <c r="D62" t="s">
        <v>403</v>
      </c>
      <c r="E62" t="s">
        <v>15</v>
      </c>
      <c r="F62">
        <v>3</v>
      </c>
      <c r="G62" t="s">
        <v>325</v>
      </c>
      <c r="H62" s="2">
        <f>INDEX(Data!G:G,MATCH(G62,Data!A:A,0),1)</f>
        <v>5.79E-2</v>
      </c>
      <c r="I62" s="2">
        <f>INDEX(Data!J:J,MATCH(G62,Data!A:A,0),1)</f>
        <v>4.2599999999999999E-2</v>
      </c>
      <c r="J62" s="2">
        <f>INDEX(Data!R:R,MATCH(G62,Data!A:A,0),1)</f>
        <v>1</v>
      </c>
      <c r="K62" s="2">
        <f>INDEX(Data!S:S,MATCH(G62,Data!A:A,0),1)</f>
        <v>0</v>
      </c>
      <c r="L62" t="str">
        <f t="shared" si="0"/>
        <v>Combustion installations with a rated thermal input exceeding 20 MW_Manufacture of motor vehicles</v>
      </c>
      <c r="M62">
        <f>INDEX(Data!AD:AD,MATCH($G62,Data!$A:$A,0),1)</f>
        <v>0.78200000000000003</v>
      </c>
      <c r="N62">
        <f>INDEX(Data!AE:AE,MATCH($G62,Data!$A:$A,0),1)</f>
        <v>0.63500000000000001</v>
      </c>
      <c r="O62">
        <f>INDEX(Data!AG:AG,MATCH($G62,Data!$A:$A,0),1)</f>
        <v>1.1486856676492798</v>
      </c>
      <c r="P62">
        <f>INDEX(Data!AH:AH,MATCH($G62,Data!$A:$A,0),1)</f>
        <v>1.7068864766411047</v>
      </c>
      <c r="Q62">
        <f>IFERROR(IF(MATCH(B62,#REF!,0)&gt;0,1),0)</f>
        <v>0</v>
      </c>
    </row>
    <row r="63" spans="1:17" x14ac:dyDescent="0.2">
      <c r="A63" t="s">
        <v>11</v>
      </c>
      <c r="B63" t="s">
        <v>169</v>
      </c>
      <c r="C63" t="s">
        <v>86</v>
      </c>
      <c r="D63" t="s">
        <v>403</v>
      </c>
      <c r="E63" t="s">
        <v>15</v>
      </c>
      <c r="F63">
        <v>1</v>
      </c>
      <c r="G63" t="s">
        <v>325</v>
      </c>
      <c r="H63" s="2">
        <f>INDEX(Data!G:G,MATCH(G63,Data!A:A,0),1)</f>
        <v>5.79E-2</v>
      </c>
      <c r="I63" s="2">
        <f>INDEX(Data!J:J,MATCH(G63,Data!A:A,0),1)</f>
        <v>4.2599999999999999E-2</v>
      </c>
      <c r="J63" s="2">
        <f>INDEX(Data!R:R,MATCH(G63,Data!A:A,0),1)</f>
        <v>1</v>
      </c>
      <c r="K63" s="2">
        <f>INDEX(Data!S:S,MATCH(G63,Data!A:A,0),1)</f>
        <v>0</v>
      </c>
      <c r="L63" t="str">
        <f t="shared" si="0"/>
        <v>Combustion installations with a rated thermal input exceeding 20 MW_Manufacture of non-domestic cooling and ventilation equipment</v>
      </c>
      <c r="M63">
        <f>INDEX(Data!AD:AD,MATCH($G63,Data!$A:$A,0),1)</f>
        <v>0.78200000000000003</v>
      </c>
      <c r="N63">
        <f>INDEX(Data!AE:AE,MATCH($G63,Data!$A:$A,0),1)</f>
        <v>0.63500000000000001</v>
      </c>
      <c r="O63">
        <f>INDEX(Data!AG:AG,MATCH($G63,Data!$A:$A,0),1)</f>
        <v>1.1486856676492798</v>
      </c>
      <c r="P63">
        <f>INDEX(Data!AH:AH,MATCH($G63,Data!$A:$A,0),1)</f>
        <v>1.7068864766411047</v>
      </c>
      <c r="Q63">
        <f>IFERROR(IF(MATCH(B63,#REF!,0)&gt;0,1),0)</f>
        <v>0</v>
      </c>
    </row>
    <row r="64" spans="1:17" x14ac:dyDescent="0.2">
      <c r="A64" t="s">
        <v>11</v>
      </c>
      <c r="B64" t="s">
        <v>171</v>
      </c>
      <c r="C64" t="s">
        <v>113</v>
      </c>
      <c r="D64" t="s">
        <v>403</v>
      </c>
      <c r="E64" t="s">
        <v>15</v>
      </c>
      <c r="F64">
        <v>3</v>
      </c>
      <c r="G64" t="s">
        <v>325</v>
      </c>
      <c r="H64" s="2">
        <f>INDEX(Data!G:G,MATCH(G64,Data!A:A,0),1)</f>
        <v>5.79E-2</v>
      </c>
      <c r="I64" s="2">
        <f>INDEX(Data!J:J,MATCH(G64,Data!A:A,0),1)</f>
        <v>4.2599999999999999E-2</v>
      </c>
      <c r="J64" s="2">
        <f>INDEX(Data!R:R,MATCH(G64,Data!A:A,0),1)</f>
        <v>1</v>
      </c>
      <c r="K64" s="2">
        <f>INDEX(Data!S:S,MATCH(G64,Data!A:A,0),1)</f>
        <v>0</v>
      </c>
      <c r="L64" t="str">
        <f t="shared" si="0"/>
        <v>Combustion installations with a rated thermal input exceeding 20 MW_Manufacture of oils and fats</v>
      </c>
      <c r="M64">
        <f>INDEX(Data!AD:AD,MATCH($G64,Data!$A:$A,0),1)</f>
        <v>0.78200000000000003</v>
      </c>
      <c r="N64">
        <f>INDEX(Data!AE:AE,MATCH($G64,Data!$A:$A,0),1)</f>
        <v>0.63500000000000001</v>
      </c>
      <c r="O64">
        <f>INDEX(Data!AG:AG,MATCH($G64,Data!$A:$A,0),1)</f>
        <v>1.1486856676492798</v>
      </c>
      <c r="P64">
        <f>INDEX(Data!AH:AH,MATCH($G64,Data!$A:$A,0),1)</f>
        <v>1.7068864766411047</v>
      </c>
      <c r="Q64">
        <f>IFERROR(IF(MATCH(B64,#REF!,0)&gt;0,1),0)</f>
        <v>0</v>
      </c>
    </row>
    <row r="65" spans="1:17" x14ac:dyDescent="0.2">
      <c r="A65" t="s">
        <v>11</v>
      </c>
      <c r="B65" t="s">
        <v>178</v>
      </c>
      <c r="C65" t="s">
        <v>127</v>
      </c>
      <c r="D65" t="s">
        <v>403</v>
      </c>
      <c r="E65" t="s">
        <v>15</v>
      </c>
      <c r="F65">
        <v>1</v>
      </c>
      <c r="G65" t="s">
        <v>325</v>
      </c>
      <c r="H65" s="2">
        <f>INDEX(Data!G:G,MATCH(G65,Data!A:A,0),1)</f>
        <v>5.79E-2</v>
      </c>
      <c r="I65" s="2">
        <f>INDEX(Data!J:J,MATCH(G65,Data!A:A,0),1)</f>
        <v>4.2599999999999999E-2</v>
      </c>
      <c r="J65" s="2">
        <f>INDEX(Data!R:R,MATCH(G65,Data!A:A,0),1)</f>
        <v>1</v>
      </c>
      <c r="K65" s="2">
        <f>INDEX(Data!S:S,MATCH(G65,Data!A:A,0),1)</f>
        <v>0</v>
      </c>
      <c r="L65" t="str">
        <f t="shared" si="0"/>
        <v>Combustion installations with a rated thermal input exceeding 20 MW_Manufacture of other electrical equipment</v>
      </c>
      <c r="M65">
        <f>INDEX(Data!AD:AD,MATCH($G65,Data!$A:$A,0),1)</f>
        <v>0.78200000000000003</v>
      </c>
      <c r="N65">
        <f>INDEX(Data!AE:AE,MATCH($G65,Data!$A:$A,0),1)</f>
        <v>0.63500000000000001</v>
      </c>
      <c r="O65">
        <f>INDEX(Data!AG:AG,MATCH($G65,Data!$A:$A,0),1)</f>
        <v>1.1486856676492798</v>
      </c>
      <c r="P65">
        <f>INDEX(Data!AH:AH,MATCH($G65,Data!$A:$A,0),1)</f>
        <v>1.7068864766411047</v>
      </c>
      <c r="Q65">
        <f>IFERROR(IF(MATCH(B65,#REF!,0)&gt;0,1),0)</f>
        <v>0</v>
      </c>
    </row>
    <row r="66" spans="1:17" x14ac:dyDescent="0.2">
      <c r="A66" t="s">
        <v>11</v>
      </c>
      <c r="B66" t="s">
        <v>179</v>
      </c>
      <c r="C66" t="s">
        <v>127</v>
      </c>
      <c r="D66" t="s">
        <v>403</v>
      </c>
      <c r="E66" t="s">
        <v>15</v>
      </c>
      <c r="F66">
        <v>1</v>
      </c>
      <c r="G66" t="s">
        <v>325</v>
      </c>
      <c r="H66" s="2">
        <f>INDEX(Data!G:G,MATCH(G66,Data!A:A,0),1)</f>
        <v>5.79E-2</v>
      </c>
      <c r="I66" s="2">
        <f>INDEX(Data!J:J,MATCH(G66,Data!A:A,0),1)</f>
        <v>4.2599999999999999E-2</v>
      </c>
      <c r="J66" s="2">
        <f>INDEX(Data!R:R,MATCH(G66,Data!A:A,0),1)</f>
        <v>1</v>
      </c>
      <c r="K66" s="2">
        <f>INDEX(Data!S:S,MATCH(G66,Data!A:A,0),1)</f>
        <v>0</v>
      </c>
      <c r="L66" t="str">
        <f t="shared" ref="L66:L129" si="1">IF(B66="",A66,A66&amp;"_"&amp;B66)</f>
        <v>Combustion installations with a rated thermal input exceeding 20 MW_Manufacture of other electronic and electric wires and cables</v>
      </c>
      <c r="M66">
        <f>INDEX(Data!AD:AD,MATCH($G66,Data!$A:$A,0),1)</f>
        <v>0.78200000000000003</v>
      </c>
      <c r="N66">
        <f>INDEX(Data!AE:AE,MATCH($G66,Data!$A:$A,0),1)</f>
        <v>0.63500000000000001</v>
      </c>
      <c r="O66">
        <f>INDEX(Data!AG:AG,MATCH($G66,Data!$A:$A,0),1)</f>
        <v>1.1486856676492798</v>
      </c>
      <c r="P66">
        <f>INDEX(Data!AH:AH,MATCH($G66,Data!$A:$A,0),1)</f>
        <v>1.7068864766411047</v>
      </c>
      <c r="Q66">
        <f>IFERROR(IF(MATCH(B66,#REF!,0)&gt;0,1),0)</f>
        <v>0</v>
      </c>
    </row>
    <row r="67" spans="1:17" x14ac:dyDescent="0.2">
      <c r="A67" t="s">
        <v>11</v>
      </c>
      <c r="B67" t="s">
        <v>182</v>
      </c>
      <c r="C67" t="s">
        <v>113</v>
      </c>
      <c r="D67" t="s">
        <v>403</v>
      </c>
      <c r="E67" t="s">
        <v>15</v>
      </c>
      <c r="F67">
        <v>2</v>
      </c>
      <c r="G67" t="s">
        <v>325</v>
      </c>
      <c r="H67" s="2">
        <f>INDEX(Data!G:G,MATCH(G67,Data!A:A,0),1)</f>
        <v>5.79E-2</v>
      </c>
      <c r="I67" s="2">
        <f>INDEX(Data!J:J,MATCH(G67,Data!A:A,0),1)</f>
        <v>4.2599999999999999E-2</v>
      </c>
      <c r="J67" s="2">
        <f>INDEX(Data!R:R,MATCH(G67,Data!A:A,0),1)</f>
        <v>1</v>
      </c>
      <c r="K67" s="2">
        <f>INDEX(Data!S:S,MATCH(G67,Data!A:A,0),1)</f>
        <v>0</v>
      </c>
      <c r="L67" t="str">
        <f t="shared" si="1"/>
        <v>Combustion installations with a rated thermal input exceeding 20 MW_Manufacture of other food products n.e.c.</v>
      </c>
      <c r="M67">
        <f>INDEX(Data!AD:AD,MATCH($G67,Data!$A:$A,0),1)</f>
        <v>0.78200000000000003</v>
      </c>
      <c r="N67">
        <f>INDEX(Data!AE:AE,MATCH($G67,Data!$A:$A,0),1)</f>
        <v>0.63500000000000001</v>
      </c>
      <c r="O67">
        <f>INDEX(Data!AG:AG,MATCH($G67,Data!$A:$A,0),1)</f>
        <v>1.1486856676492798</v>
      </c>
      <c r="P67">
        <f>INDEX(Data!AH:AH,MATCH($G67,Data!$A:$A,0),1)</f>
        <v>1.7068864766411047</v>
      </c>
      <c r="Q67">
        <f>IFERROR(IF(MATCH(B67,#REF!,0)&gt;0,1),0)</f>
        <v>0</v>
      </c>
    </row>
    <row r="68" spans="1:17" x14ac:dyDescent="0.2">
      <c r="A68" t="s">
        <v>11</v>
      </c>
      <c r="B68" t="s">
        <v>183</v>
      </c>
      <c r="C68" t="s">
        <v>184</v>
      </c>
      <c r="D68" t="s">
        <v>403</v>
      </c>
      <c r="E68" t="s">
        <v>15</v>
      </c>
      <c r="F68">
        <v>1</v>
      </c>
      <c r="G68" t="s">
        <v>325</v>
      </c>
      <c r="H68" s="2">
        <f>INDEX(Data!G:G,MATCH(G68,Data!A:A,0),1)</f>
        <v>5.79E-2</v>
      </c>
      <c r="I68" s="2">
        <f>INDEX(Data!J:J,MATCH(G68,Data!A:A,0),1)</f>
        <v>4.2599999999999999E-2</v>
      </c>
      <c r="J68" s="2">
        <f>INDEX(Data!R:R,MATCH(G68,Data!A:A,0),1)</f>
        <v>1</v>
      </c>
      <c r="K68" s="2">
        <f>INDEX(Data!S:S,MATCH(G68,Data!A:A,0),1)</f>
        <v>0</v>
      </c>
      <c r="L68" t="str">
        <f t="shared" si="1"/>
        <v>Combustion installations with a rated thermal input exceeding 20 MW_Manufacture of other furniture</v>
      </c>
      <c r="M68">
        <f>INDEX(Data!AD:AD,MATCH($G68,Data!$A:$A,0),1)</f>
        <v>0.78200000000000003</v>
      </c>
      <c r="N68">
        <f>INDEX(Data!AE:AE,MATCH($G68,Data!$A:$A,0),1)</f>
        <v>0.63500000000000001</v>
      </c>
      <c r="O68">
        <f>INDEX(Data!AG:AG,MATCH($G68,Data!$A:$A,0),1)</f>
        <v>1.1486856676492798</v>
      </c>
      <c r="P68">
        <f>INDEX(Data!AH:AH,MATCH($G68,Data!$A:$A,0),1)</f>
        <v>1.7068864766411047</v>
      </c>
      <c r="Q68">
        <f>IFERROR(IF(MATCH(B68,#REF!,0)&gt;0,1),0)</f>
        <v>0</v>
      </c>
    </row>
    <row r="69" spans="1:17" x14ac:dyDescent="0.2">
      <c r="A69" t="s">
        <v>11</v>
      </c>
      <c r="B69" t="s">
        <v>194</v>
      </c>
      <c r="C69" t="s">
        <v>195</v>
      </c>
      <c r="D69" t="s">
        <v>403</v>
      </c>
      <c r="E69" t="s">
        <v>15</v>
      </c>
      <c r="F69">
        <v>1</v>
      </c>
      <c r="G69" t="s">
        <v>325</v>
      </c>
      <c r="H69" s="2">
        <f>INDEX(Data!G:G,MATCH(G69,Data!A:A,0),1)</f>
        <v>5.79E-2</v>
      </c>
      <c r="I69" s="2">
        <f>INDEX(Data!J:J,MATCH(G69,Data!A:A,0),1)</f>
        <v>4.2599999999999999E-2</v>
      </c>
      <c r="J69" s="2">
        <f>INDEX(Data!R:R,MATCH(G69,Data!A:A,0),1)</f>
        <v>1</v>
      </c>
      <c r="K69" s="2">
        <f>INDEX(Data!S:S,MATCH(G69,Data!A:A,0),1)</f>
        <v>0</v>
      </c>
      <c r="L69" t="str">
        <f t="shared" si="1"/>
        <v>Combustion installations with a rated thermal input exceeding 20 MW_Manufacture of other outerwear</v>
      </c>
      <c r="M69">
        <f>INDEX(Data!AD:AD,MATCH($G69,Data!$A:$A,0),1)</f>
        <v>0.78200000000000003</v>
      </c>
      <c r="N69">
        <f>INDEX(Data!AE:AE,MATCH($G69,Data!$A:$A,0),1)</f>
        <v>0.63500000000000001</v>
      </c>
      <c r="O69">
        <f>INDEX(Data!AG:AG,MATCH($G69,Data!$A:$A,0),1)</f>
        <v>1.1486856676492798</v>
      </c>
      <c r="P69">
        <f>INDEX(Data!AH:AH,MATCH($G69,Data!$A:$A,0),1)</f>
        <v>1.7068864766411047</v>
      </c>
      <c r="Q69">
        <f>IFERROR(IF(MATCH(B69,#REF!,0)&gt;0,1),0)</f>
        <v>0</v>
      </c>
    </row>
    <row r="70" spans="1:17" x14ac:dyDescent="0.2">
      <c r="A70" t="s">
        <v>11</v>
      </c>
      <c r="B70" t="s">
        <v>196</v>
      </c>
      <c r="C70" t="s">
        <v>99</v>
      </c>
      <c r="D70" t="s">
        <v>403</v>
      </c>
      <c r="E70" t="s">
        <v>15</v>
      </c>
      <c r="F70">
        <v>4</v>
      </c>
      <c r="G70" t="s">
        <v>325</v>
      </c>
      <c r="H70" s="2">
        <f>INDEX(Data!G:G,MATCH(G70,Data!A:A,0),1)</f>
        <v>5.79E-2</v>
      </c>
      <c r="I70" s="2">
        <f>INDEX(Data!J:J,MATCH(G70,Data!A:A,0),1)</f>
        <v>4.2599999999999999E-2</v>
      </c>
      <c r="J70" s="2">
        <f>INDEX(Data!R:R,MATCH(G70,Data!A:A,0),1)</f>
        <v>1</v>
      </c>
      <c r="K70" s="2">
        <f>INDEX(Data!S:S,MATCH(G70,Data!A:A,0),1)</f>
        <v>0</v>
      </c>
      <c r="L70" t="str">
        <f t="shared" si="1"/>
        <v>Combustion installations with a rated thermal input exceeding 20 MW_Manufacture of other parts and accessories for motor vehicles</v>
      </c>
      <c r="M70">
        <f>INDEX(Data!AD:AD,MATCH($G70,Data!$A:$A,0),1)</f>
        <v>0.78200000000000003</v>
      </c>
      <c r="N70">
        <f>INDEX(Data!AE:AE,MATCH($G70,Data!$A:$A,0),1)</f>
        <v>0.63500000000000001</v>
      </c>
      <c r="O70">
        <f>INDEX(Data!AG:AG,MATCH($G70,Data!$A:$A,0),1)</f>
        <v>1.1486856676492798</v>
      </c>
      <c r="P70">
        <f>INDEX(Data!AH:AH,MATCH($G70,Data!$A:$A,0),1)</f>
        <v>1.7068864766411047</v>
      </c>
      <c r="Q70">
        <f>IFERROR(IF(MATCH(B70,#REF!,0)&gt;0,1),0)</f>
        <v>0</v>
      </c>
    </row>
    <row r="71" spans="1:17" x14ac:dyDescent="0.2">
      <c r="A71" t="s">
        <v>11</v>
      </c>
      <c r="B71" t="s">
        <v>201</v>
      </c>
      <c r="C71" t="s">
        <v>86</v>
      </c>
      <c r="D71" t="s">
        <v>403</v>
      </c>
      <c r="E71" t="s">
        <v>15</v>
      </c>
      <c r="F71">
        <v>3</v>
      </c>
      <c r="G71" t="s">
        <v>325</v>
      </c>
      <c r="H71" s="2">
        <f>INDEX(Data!G:G,MATCH(G71,Data!A:A,0),1)</f>
        <v>5.79E-2</v>
      </c>
      <c r="I71" s="2">
        <f>INDEX(Data!J:J,MATCH(G71,Data!A:A,0),1)</f>
        <v>4.2599999999999999E-2</v>
      </c>
      <c r="J71" s="2">
        <f>INDEX(Data!R:R,MATCH(G71,Data!A:A,0),1)</f>
        <v>1</v>
      </c>
      <c r="K71" s="2">
        <f>INDEX(Data!S:S,MATCH(G71,Data!A:A,0),1)</f>
        <v>0</v>
      </c>
      <c r="L71" t="str">
        <f t="shared" si="1"/>
        <v>Combustion installations with a rated thermal input exceeding 20 MW_Manufacture of other pumps and compressors</v>
      </c>
      <c r="M71">
        <f>INDEX(Data!AD:AD,MATCH($G71,Data!$A:$A,0),1)</f>
        <v>0.78200000000000003</v>
      </c>
      <c r="N71">
        <f>INDEX(Data!AE:AE,MATCH($G71,Data!$A:$A,0),1)</f>
        <v>0.63500000000000001</v>
      </c>
      <c r="O71">
        <f>INDEX(Data!AG:AG,MATCH($G71,Data!$A:$A,0),1)</f>
        <v>1.1486856676492798</v>
      </c>
      <c r="P71">
        <f>INDEX(Data!AH:AH,MATCH($G71,Data!$A:$A,0),1)</f>
        <v>1.7068864766411047</v>
      </c>
      <c r="Q71">
        <f>IFERROR(IF(MATCH(B71,#REF!,0)&gt;0,1),0)</f>
        <v>0</v>
      </c>
    </row>
    <row r="72" spans="1:17" x14ac:dyDescent="0.2">
      <c r="A72" t="s">
        <v>11</v>
      </c>
      <c r="B72" t="s">
        <v>203</v>
      </c>
      <c r="C72" t="s">
        <v>86</v>
      </c>
      <c r="D72" t="s">
        <v>403</v>
      </c>
      <c r="E72" t="s">
        <v>15</v>
      </c>
      <c r="F72">
        <v>2</v>
      </c>
      <c r="G72" t="s">
        <v>325</v>
      </c>
      <c r="H72" s="2">
        <f>INDEX(Data!G:G,MATCH(G72,Data!A:A,0),1)</f>
        <v>5.79E-2</v>
      </c>
      <c r="I72" s="2">
        <f>INDEX(Data!J:J,MATCH(G72,Data!A:A,0),1)</f>
        <v>4.2599999999999999E-2</v>
      </c>
      <c r="J72" s="2">
        <f>INDEX(Data!R:R,MATCH(G72,Data!A:A,0),1)</f>
        <v>1</v>
      </c>
      <c r="K72" s="2">
        <f>INDEX(Data!S:S,MATCH(G72,Data!A:A,0),1)</f>
        <v>0</v>
      </c>
      <c r="L72" t="str">
        <f t="shared" si="1"/>
        <v>Combustion installations with a rated thermal input exceeding 20 MW_Manufacture of other special-purpose machinery n.e.c.</v>
      </c>
      <c r="M72">
        <f>INDEX(Data!AD:AD,MATCH($G72,Data!$A:$A,0),1)</f>
        <v>0.78200000000000003</v>
      </c>
      <c r="N72">
        <f>INDEX(Data!AE:AE,MATCH($G72,Data!$A:$A,0),1)</f>
        <v>0.63500000000000001</v>
      </c>
      <c r="O72">
        <f>INDEX(Data!AG:AG,MATCH($G72,Data!$A:$A,0),1)</f>
        <v>1.1486856676492798</v>
      </c>
      <c r="P72">
        <f>INDEX(Data!AH:AH,MATCH($G72,Data!$A:$A,0),1)</f>
        <v>1.7068864766411047</v>
      </c>
      <c r="Q72">
        <f>IFERROR(IF(MATCH(B72,#REF!,0)&gt;0,1),0)</f>
        <v>0</v>
      </c>
    </row>
    <row r="73" spans="1:17" x14ac:dyDescent="0.2">
      <c r="A73" t="s">
        <v>11</v>
      </c>
      <c r="B73" t="s">
        <v>217</v>
      </c>
      <c r="C73" t="s">
        <v>113</v>
      </c>
      <c r="D73" t="s">
        <v>403</v>
      </c>
      <c r="E73" t="s">
        <v>15</v>
      </c>
      <c r="F73">
        <v>3</v>
      </c>
      <c r="G73" t="s">
        <v>325</v>
      </c>
      <c r="H73" s="2">
        <f>INDEX(Data!G:G,MATCH(G73,Data!A:A,0),1)</f>
        <v>5.79E-2</v>
      </c>
      <c r="I73" s="2">
        <f>INDEX(Data!J:J,MATCH(G73,Data!A:A,0),1)</f>
        <v>4.2599999999999999E-2</v>
      </c>
      <c r="J73" s="2">
        <f>INDEX(Data!R:R,MATCH(G73,Data!A:A,0),1)</f>
        <v>1</v>
      </c>
      <c r="K73" s="2">
        <f>INDEX(Data!S:S,MATCH(G73,Data!A:A,0),1)</f>
        <v>0</v>
      </c>
      <c r="L73" t="str">
        <f t="shared" si="1"/>
        <v>Combustion installations with a rated thermal input exceeding 20 MW_Manufacture of prepared feeds for farm animals</v>
      </c>
      <c r="M73">
        <f>INDEX(Data!AD:AD,MATCH($G73,Data!$A:$A,0),1)</f>
        <v>0.78200000000000003</v>
      </c>
      <c r="N73">
        <f>INDEX(Data!AE:AE,MATCH($G73,Data!$A:$A,0),1)</f>
        <v>0.63500000000000001</v>
      </c>
      <c r="O73">
        <f>INDEX(Data!AG:AG,MATCH($G73,Data!$A:$A,0),1)</f>
        <v>1.1486856676492798</v>
      </c>
      <c r="P73">
        <f>INDEX(Data!AH:AH,MATCH($G73,Data!$A:$A,0),1)</f>
        <v>1.7068864766411047</v>
      </c>
      <c r="Q73">
        <f>IFERROR(IF(MATCH(B73,#REF!,0)&gt;0,1),0)</f>
        <v>0</v>
      </c>
    </row>
    <row r="74" spans="1:17" x14ac:dyDescent="0.2">
      <c r="A74" t="s">
        <v>11</v>
      </c>
      <c r="B74" t="s">
        <v>218</v>
      </c>
      <c r="C74" t="s">
        <v>113</v>
      </c>
      <c r="D74" t="s">
        <v>403</v>
      </c>
      <c r="E74" t="s">
        <v>15</v>
      </c>
      <c r="F74">
        <v>1</v>
      </c>
      <c r="G74" t="s">
        <v>325</v>
      </c>
      <c r="H74" s="2">
        <f>INDEX(Data!G:G,MATCH(G74,Data!A:A,0),1)</f>
        <v>5.79E-2</v>
      </c>
      <c r="I74" s="2">
        <f>INDEX(Data!J:J,MATCH(G74,Data!A:A,0),1)</f>
        <v>4.2599999999999999E-2</v>
      </c>
      <c r="J74" s="2">
        <f>INDEX(Data!R:R,MATCH(G74,Data!A:A,0),1)</f>
        <v>1</v>
      </c>
      <c r="K74" s="2">
        <f>INDEX(Data!S:S,MATCH(G74,Data!A:A,0),1)</f>
        <v>0</v>
      </c>
      <c r="L74" t="str">
        <f t="shared" si="1"/>
        <v>Combustion installations with a rated thermal input exceeding 20 MW_Manufacture of prepared meals and dishes</v>
      </c>
      <c r="M74">
        <f>INDEX(Data!AD:AD,MATCH($G74,Data!$A:$A,0),1)</f>
        <v>0.78200000000000003</v>
      </c>
      <c r="N74">
        <f>INDEX(Data!AE:AE,MATCH($G74,Data!$A:$A,0),1)</f>
        <v>0.63500000000000001</v>
      </c>
      <c r="O74">
        <f>INDEX(Data!AG:AG,MATCH($G74,Data!$A:$A,0),1)</f>
        <v>1.1486856676492798</v>
      </c>
      <c r="P74">
        <f>INDEX(Data!AH:AH,MATCH($G74,Data!$A:$A,0),1)</f>
        <v>1.7068864766411047</v>
      </c>
      <c r="Q74">
        <f>IFERROR(IF(MATCH(B74,#REF!,0)&gt;0,1),0)</f>
        <v>0</v>
      </c>
    </row>
    <row r="75" spans="1:17" x14ac:dyDescent="0.2">
      <c r="A75" t="s">
        <v>11</v>
      </c>
      <c r="B75" t="s">
        <v>219</v>
      </c>
      <c r="C75" t="s">
        <v>113</v>
      </c>
      <c r="D75" t="s">
        <v>403</v>
      </c>
      <c r="E75" t="s">
        <v>15</v>
      </c>
      <c r="F75">
        <v>1</v>
      </c>
      <c r="G75" t="s">
        <v>325</v>
      </c>
      <c r="H75" s="2">
        <f>INDEX(Data!G:G,MATCH(G75,Data!A:A,0),1)</f>
        <v>5.79E-2</v>
      </c>
      <c r="I75" s="2">
        <f>INDEX(Data!J:J,MATCH(G75,Data!A:A,0),1)</f>
        <v>4.2599999999999999E-2</v>
      </c>
      <c r="J75" s="2">
        <f>INDEX(Data!R:R,MATCH(G75,Data!A:A,0),1)</f>
        <v>1</v>
      </c>
      <c r="K75" s="2">
        <f>INDEX(Data!S:S,MATCH(G75,Data!A:A,0),1)</f>
        <v>0</v>
      </c>
      <c r="L75" t="str">
        <f t="shared" si="1"/>
        <v>Combustion installations with a rated thermal input exceeding 20 MW_Manufacture of prepared pet foods</v>
      </c>
      <c r="M75">
        <f>INDEX(Data!AD:AD,MATCH($G75,Data!$A:$A,0),1)</f>
        <v>0.78200000000000003</v>
      </c>
      <c r="N75">
        <f>INDEX(Data!AE:AE,MATCH($G75,Data!$A:$A,0),1)</f>
        <v>0.63500000000000001</v>
      </c>
      <c r="O75">
        <f>INDEX(Data!AG:AG,MATCH($G75,Data!$A:$A,0),1)</f>
        <v>1.1486856676492798</v>
      </c>
      <c r="P75">
        <f>INDEX(Data!AH:AH,MATCH($G75,Data!$A:$A,0),1)</f>
        <v>1.7068864766411047</v>
      </c>
      <c r="Q75">
        <f>IFERROR(IF(MATCH(B75,#REF!,0)&gt;0,1),0)</f>
        <v>0</v>
      </c>
    </row>
    <row r="76" spans="1:17" x14ac:dyDescent="0.2">
      <c r="A76" t="s">
        <v>11</v>
      </c>
      <c r="B76" t="s">
        <v>222</v>
      </c>
      <c r="C76" t="s">
        <v>14</v>
      </c>
      <c r="D76" t="s">
        <v>403</v>
      </c>
      <c r="E76" t="s">
        <v>15</v>
      </c>
      <c r="F76">
        <v>3</v>
      </c>
      <c r="G76" t="s">
        <v>325</v>
      </c>
      <c r="H76" s="2">
        <f>INDEX(Data!G:G,MATCH(G76,Data!A:A,0),1)</f>
        <v>5.79E-2</v>
      </c>
      <c r="I76" s="2">
        <f>INDEX(Data!J:J,MATCH(G76,Data!A:A,0),1)</f>
        <v>4.2599999999999999E-2</v>
      </c>
      <c r="J76" s="2">
        <f>INDEX(Data!R:R,MATCH(G76,Data!A:A,0),1)</f>
        <v>1</v>
      </c>
      <c r="K76" s="2">
        <f>INDEX(Data!S:S,MATCH(G76,Data!A:A,0),1)</f>
        <v>0</v>
      </c>
      <c r="L76" t="str">
        <f t="shared" si="1"/>
        <v>Combustion installations with a rated thermal input exceeding 20 MW_Manufacture of railway locomotives and rolling stock</v>
      </c>
      <c r="M76">
        <f>INDEX(Data!AD:AD,MATCH($G76,Data!$A:$A,0),1)</f>
        <v>0.78200000000000003</v>
      </c>
      <c r="N76">
        <f>INDEX(Data!AE:AE,MATCH($G76,Data!$A:$A,0),1)</f>
        <v>0.63500000000000001</v>
      </c>
      <c r="O76">
        <f>INDEX(Data!AG:AG,MATCH($G76,Data!$A:$A,0),1)</f>
        <v>1.1486856676492798</v>
      </c>
      <c r="P76">
        <f>INDEX(Data!AH:AH,MATCH($G76,Data!$A:$A,0),1)</f>
        <v>1.7068864766411047</v>
      </c>
      <c r="Q76">
        <f>IFERROR(IF(MATCH(B76,#REF!,0)&gt;0,1),0)</f>
        <v>0</v>
      </c>
    </row>
    <row r="77" spans="1:17" x14ac:dyDescent="0.2">
      <c r="A77" t="s">
        <v>11</v>
      </c>
      <c r="B77" t="s">
        <v>229</v>
      </c>
      <c r="C77" t="s">
        <v>113</v>
      </c>
      <c r="D77" t="s">
        <v>403</v>
      </c>
      <c r="E77" t="s">
        <v>15</v>
      </c>
      <c r="F77">
        <v>4</v>
      </c>
      <c r="G77" t="s">
        <v>325</v>
      </c>
      <c r="H77" s="2">
        <f>INDEX(Data!G:G,MATCH(G77,Data!A:A,0),1)</f>
        <v>5.79E-2</v>
      </c>
      <c r="I77" s="2">
        <f>INDEX(Data!J:J,MATCH(G77,Data!A:A,0),1)</f>
        <v>4.2599999999999999E-2</v>
      </c>
      <c r="J77" s="2">
        <f>INDEX(Data!R:R,MATCH(G77,Data!A:A,0),1)</f>
        <v>1</v>
      </c>
      <c r="K77" s="2">
        <f>INDEX(Data!S:S,MATCH(G77,Data!A:A,0),1)</f>
        <v>0</v>
      </c>
      <c r="L77" t="str">
        <f t="shared" si="1"/>
        <v>Combustion installations with a rated thermal input exceeding 20 MW_Manufacture of starches and starch products</v>
      </c>
      <c r="M77">
        <f>INDEX(Data!AD:AD,MATCH($G77,Data!$A:$A,0),1)</f>
        <v>0.78200000000000003</v>
      </c>
      <c r="N77">
        <f>INDEX(Data!AE:AE,MATCH($G77,Data!$A:$A,0),1)</f>
        <v>0.63500000000000001</v>
      </c>
      <c r="O77">
        <f>INDEX(Data!AG:AG,MATCH($G77,Data!$A:$A,0),1)</f>
        <v>1.1486856676492798</v>
      </c>
      <c r="P77">
        <f>INDEX(Data!AH:AH,MATCH($G77,Data!$A:$A,0),1)</f>
        <v>1.7068864766411047</v>
      </c>
      <c r="Q77">
        <f>IFERROR(IF(MATCH(B77,#REF!,0)&gt;0,1),0)</f>
        <v>0</v>
      </c>
    </row>
    <row r="78" spans="1:17" x14ac:dyDescent="0.2">
      <c r="A78" t="s">
        <v>11</v>
      </c>
      <c r="B78" t="s">
        <v>230</v>
      </c>
      <c r="C78" t="s">
        <v>113</v>
      </c>
      <c r="D78" t="s">
        <v>403</v>
      </c>
      <c r="E78" t="s">
        <v>15</v>
      </c>
      <c r="F78">
        <v>37</v>
      </c>
      <c r="G78" t="s">
        <v>325</v>
      </c>
      <c r="H78" s="2">
        <f>INDEX(Data!G:G,MATCH(G78,Data!A:A,0),1)</f>
        <v>5.79E-2</v>
      </c>
      <c r="I78" s="2">
        <f>INDEX(Data!J:J,MATCH(G78,Data!A:A,0),1)</f>
        <v>4.2599999999999999E-2</v>
      </c>
      <c r="J78" s="2">
        <f>INDEX(Data!R:R,MATCH(G78,Data!A:A,0),1)</f>
        <v>1</v>
      </c>
      <c r="K78" s="2">
        <f>INDEX(Data!S:S,MATCH(G78,Data!A:A,0),1)</f>
        <v>0</v>
      </c>
      <c r="L78" t="str">
        <f t="shared" si="1"/>
        <v>Combustion installations with a rated thermal input exceeding 20 MW_Manufacture of sugar</v>
      </c>
      <c r="M78">
        <f>INDEX(Data!AD:AD,MATCH($G78,Data!$A:$A,0),1)</f>
        <v>0.78200000000000003</v>
      </c>
      <c r="N78">
        <f>INDEX(Data!AE:AE,MATCH($G78,Data!$A:$A,0),1)</f>
        <v>0.63500000000000001</v>
      </c>
      <c r="O78">
        <f>INDEX(Data!AG:AG,MATCH($G78,Data!$A:$A,0),1)</f>
        <v>1.1486856676492798</v>
      </c>
      <c r="P78">
        <f>INDEX(Data!AH:AH,MATCH($G78,Data!$A:$A,0),1)</f>
        <v>1.7068864766411047</v>
      </c>
      <c r="Q78">
        <f>IFERROR(IF(MATCH(B78,#REF!,0)&gt;0,1),0)</f>
        <v>0</v>
      </c>
    </row>
    <row r="79" spans="1:17" x14ac:dyDescent="0.2">
      <c r="A79" t="s">
        <v>11</v>
      </c>
      <c r="B79" t="s">
        <v>235</v>
      </c>
      <c r="C79" t="s">
        <v>65</v>
      </c>
      <c r="D79" t="s">
        <v>403</v>
      </c>
      <c r="E79" t="s">
        <v>15</v>
      </c>
      <c r="F79">
        <v>1</v>
      </c>
      <c r="G79" t="s">
        <v>325</v>
      </c>
      <c r="H79" s="2">
        <f>INDEX(Data!G:G,MATCH(G79,Data!A:A,0),1)</f>
        <v>5.79E-2</v>
      </c>
      <c r="I79" s="2">
        <f>INDEX(Data!J:J,MATCH(G79,Data!A:A,0),1)</f>
        <v>4.2599999999999999E-2</v>
      </c>
      <c r="J79" s="2">
        <f>INDEX(Data!R:R,MATCH(G79,Data!A:A,0),1)</f>
        <v>1</v>
      </c>
      <c r="K79" s="2">
        <f>INDEX(Data!S:S,MATCH(G79,Data!A:A,0),1)</f>
        <v>0</v>
      </c>
      <c r="L79" t="str">
        <f t="shared" si="1"/>
        <v>Combustion installations with a rated thermal input exceeding 20 MW_Manufacture of tools</v>
      </c>
      <c r="M79">
        <f>INDEX(Data!AD:AD,MATCH($G79,Data!$A:$A,0),1)</f>
        <v>0.78200000000000003</v>
      </c>
      <c r="N79">
        <f>INDEX(Data!AE:AE,MATCH($G79,Data!$A:$A,0),1)</f>
        <v>0.63500000000000001</v>
      </c>
      <c r="O79">
        <f>INDEX(Data!AG:AG,MATCH($G79,Data!$A:$A,0),1)</f>
        <v>1.1486856676492798</v>
      </c>
      <c r="P79">
        <f>INDEX(Data!AH:AH,MATCH($G79,Data!$A:$A,0),1)</f>
        <v>1.7068864766411047</v>
      </c>
      <c r="Q79">
        <f>IFERROR(IF(MATCH(B79,#REF!,0)&gt;0,1),0)</f>
        <v>0</v>
      </c>
    </row>
    <row r="80" spans="1:17" x14ac:dyDescent="0.2">
      <c r="A80" t="s">
        <v>11</v>
      </c>
      <c r="B80" t="s">
        <v>238</v>
      </c>
      <c r="C80" t="s">
        <v>89</v>
      </c>
      <c r="D80" t="s">
        <v>403</v>
      </c>
      <c r="E80" t="s">
        <v>15</v>
      </c>
      <c r="F80">
        <v>7</v>
      </c>
      <c r="G80" t="s">
        <v>325</v>
      </c>
      <c r="H80" s="2">
        <f>INDEX(Data!G:G,MATCH(G80,Data!A:A,0),1)</f>
        <v>5.79E-2</v>
      </c>
      <c r="I80" s="2">
        <f>INDEX(Data!J:J,MATCH(G80,Data!A:A,0),1)</f>
        <v>4.2599999999999999E-2</v>
      </c>
      <c r="J80" s="2">
        <f>INDEX(Data!R:R,MATCH(G80,Data!A:A,0),1)</f>
        <v>1</v>
      </c>
      <c r="K80" s="2">
        <f>INDEX(Data!S:S,MATCH(G80,Data!A:A,0),1)</f>
        <v>0</v>
      </c>
      <c r="L80" t="str">
        <f t="shared" si="1"/>
        <v>Combustion installations with a rated thermal input exceeding 20 MW_Manufacture of veneer sheets and wood-based panels</v>
      </c>
      <c r="M80">
        <f>INDEX(Data!AD:AD,MATCH($G80,Data!$A:$A,0),1)</f>
        <v>0.78200000000000003</v>
      </c>
      <c r="N80">
        <f>INDEX(Data!AE:AE,MATCH($G80,Data!$A:$A,0),1)</f>
        <v>0.63500000000000001</v>
      </c>
      <c r="O80">
        <f>INDEX(Data!AG:AG,MATCH($G80,Data!$A:$A,0),1)</f>
        <v>1.1486856676492798</v>
      </c>
      <c r="P80">
        <f>INDEX(Data!AH:AH,MATCH($G80,Data!$A:$A,0),1)</f>
        <v>1.7068864766411047</v>
      </c>
      <c r="Q80">
        <f>IFERROR(IF(MATCH(B80,#REF!,0)&gt;0,1),0)</f>
        <v>0</v>
      </c>
    </row>
    <row r="81" spans="1:17" x14ac:dyDescent="0.2">
      <c r="A81" t="s">
        <v>11</v>
      </c>
      <c r="B81" t="s">
        <v>249</v>
      </c>
      <c r="C81" t="s">
        <v>113</v>
      </c>
      <c r="D81" t="s">
        <v>403</v>
      </c>
      <c r="E81" t="s">
        <v>15</v>
      </c>
      <c r="F81">
        <v>20</v>
      </c>
      <c r="G81" t="s">
        <v>325</v>
      </c>
      <c r="H81" s="2">
        <f>INDEX(Data!G:G,MATCH(G81,Data!A:A,0),1)</f>
        <v>5.79E-2</v>
      </c>
      <c r="I81" s="2">
        <f>INDEX(Data!J:J,MATCH(G81,Data!A:A,0),1)</f>
        <v>4.2599999999999999E-2</v>
      </c>
      <c r="J81" s="2">
        <f>INDEX(Data!R:R,MATCH(G81,Data!A:A,0),1)</f>
        <v>1</v>
      </c>
      <c r="K81" s="2">
        <f>INDEX(Data!S:S,MATCH(G81,Data!A:A,0),1)</f>
        <v>0</v>
      </c>
      <c r="L81" t="str">
        <f t="shared" si="1"/>
        <v>Combustion installations with a rated thermal input exceeding 20 MW_Operation of dairies and cheese making</v>
      </c>
      <c r="M81">
        <f>INDEX(Data!AD:AD,MATCH($G81,Data!$A:$A,0),1)</f>
        <v>0.78200000000000003</v>
      </c>
      <c r="N81">
        <f>INDEX(Data!AE:AE,MATCH($G81,Data!$A:$A,0),1)</f>
        <v>0.63500000000000001</v>
      </c>
      <c r="O81">
        <f>INDEX(Data!AG:AG,MATCH($G81,Data!$A:$A,0),1)</f>
        <v>1.1486856676492798</v>
      </c>
      <c r="P81">
        <f>INDEX(Data!AH:AH,MATCH($G81,Data!$A:$A,0),1)</f>
        <v>1.7068864766411047</v>
      </c>
      <c r="Q81">
        <f>IFERROR(IF(MATCH(B81,#REF!,0)&gt;0,1),0)</f>
        <v>0</v>
      </c>
    </row>
    <row r="82" spans="1:17" x14ac:dyDescent="0.2">
      <c r="A82" t="s">
        <v>11</v>
      </c>
      <c r="B82" t="s">
        <v>253</v>
      </c>
      <c r="C82" t="s">
        <v>74</v>
      </c>
      <c r="D82" t="s">
        <v>403</v>
      </c>
      <c r="E82" t="s">
        <v>15</v>
      </c>
      <c r="F82">
        <v>1</v>
      </c>
      <c r="G82" t="s">
        <v>325</v>
      </c>
      <c r="H82" s="2">
        <f>INDEX(Data!G:G,MATCH(G82,Data!A:A,0),1)</f>
        <v>5.79E-2</v>
      </c>
      <c r="I82" s="2">
        <f>INDEX(Data!J:J,MATCH(G82,Data!A:A,0),1)</f>
        <v>4.2599999999999999E-2</v>
      </c>
      <c r="J82" s="2">
        <f>INDEX(Data!R:R,MATCH(G82,Data!A:A,0),1)</f>
        <v>1</v>
      </c>
      <c r="K82" s="2">
        <f>INDEX(Data!S:S,MATCH(G82,Data!A:A,0),1)</f>
        <v>0</v>
      </c>
      <c r="L82" t="str">
        <f t="shared" si="1"/>
        <v>Combustion installations with a rated thermal input exceeding 20 MW_Other human health activities</v>
      </c>
      <c r="M82">
        <f>INDEX(Data!AD:AD,MATCH($G82,Data!$A:$A,0),1)</f>
        <v>0.78200000000000003</v>
      </c>
      <c r="N82">
        <f>INDEX(Data!AE:AE,MATCH($G82,Data!$A:$A,0),1)</f>
        <v>0.63500000000000001</v>
      </c>
      <c r="O82">
        <f>INDEX(Data!AG:AG,MATCH($G82,Data!$A:$A,0),1)</f>
        <v>1.1486856676492798</v>
      </c>
      <c r="P82">
        <f>INDEX(Data!AH:AH,MATCH($G82,Data!$A:$A,0),1)</f>
        <v>1.7068864766411047</v>
      </c>
      <c r="Q82">
        <f>IFERROR(IF(MATCH(B82,#REF!,0)&gt;0,1),0)</f>
        <v>0</v>
      </c>
    </row>
    <row r="83" spans="1:17" x14ac:dyDescent="0.2">
      <c r="A83" t="s">
        <v>11</v>
      </c>
      <c r="B83" t="s">
        <v>259</v>
      </c>
      <c r="C83" t="s">
        <v>113</v>
      </c>
      <c r="D83" t="s">
        <v>403</v>
      </c>
      <c r="E83" t="s">
        <v>15</v>
      </c>
      <c r="F83">
        <v>17</v>
      </c>
      <c r="G83" t="s">
        <v>325</v>
      </c>
      <c r="H83" s="2">
        <f>INDEX(Data!G:G,MATCH(G83,Data!A:A,0),1)</f>
        <v>5.79E-2</v>
      </c>
      <c r="I83" s="2">
        <f>INDEX(Data!J:J,MATCH(G83,Data!A:A,0),1)</f>
        <v>4.2599999999999999E-2</v>
      </c>
      <c r="J83" s="2">
        <f>INDEX(Data!R:R,MATCH(G83,Data!A:A,0),1)</f>
        <v>1</v>
      </c>
      <c r="K83" s="2">
        <f>INDEX(Data!S:S,MATCH(G83,Data!A:A,0),1)</f>
        <v>0</v>
      </c>
      <c r="L83" t="str">
        <f t="shared" si="1"/>
        <v>Combustion installations with a rated thermal input exceeding 20 MW_Other processing and preserving of fruit and vegetables</v>
      </c>
      <c r="M83">
        <f>INDEX(Data!AD:AD,MATCH($G83,Data!$A:$A,0),1)</f>
        <v>0.78200000000000003</v>
      </c>
      <c r="N83">
        <f>INDEX(Data!AE:AE,MATCH($G83,Data!$A:$A,0),1)</f>
        <v>0.63500000000000001</v>
      </c>
      <c r="O83">
        <f>INDEX(Data!AG:AG,MATCH($G83,Data!$A:$A,0),1)</f>
        <v>1.1486856676492798</v>
      </c>
      <c r="P83">
        <f>INDEX(Data!AH:AH,MATCH($G83,Data!$A:$A,0),1)</f>
        <v>1.7068864766411047</v>
      </c>
      <c r="Q83">
        <f>IFERROR(IF(MATCH(B83,#REF!,0)&gt;0,1),0)</f>
        <v>0</v>
      </c>
    </row>
    <row r="84" spans="1:17" x14ac:dyDescent="0.2">
      <c r="A84" t="s">
        <v>11</v>
      </c>
      <c r="B84" t="s">
        <v>268</v>
      </c>
      <c r="C84" t="s">
        <v>269</v>
      </c>
      <c r="D84" t="s">
        <v>403</v>
      </c>
      <c r="E84" t="s">
        <v>15</v>
      </c>
      <c r="F84">
        <v>1</v>
      </c>
      <c r="G84" t="s">
        <v>325</v>
      </c>
      <c r="H84" s="2">
        <f>INDEX(Data!G:G,MATCH(G84,Data!A:A,0),1)</f>
        <v>5.79E-2</v>
      </c>
      <c r="I84" s="2">
        <f>INDEX(Data!J:J,MATCH(G84,Data!A:A,0),1)</f>
        <v>4.2599999999999999E-2</v>
      </c>
      <c r="J84" s="2">
        <f>INDEX(Data!R:R,MATCH(G84,Data!A:A,0),1)</f>
        <v>1</v>
      </c>
      <c r="K84" s="2">
        <f>INDEX(Data!S:S,MATCH(G84,Data!A:A,0),1)</f>
        <v>0</v>
      </c>
      <c r="L84" t="str">
        <f t="shared" si="1"/>
        <v>Combustion installations with a rated thermal input exceeding 20 MW_Passenger rail transport, interurban</v>
      </c>
      <c r="M84">
        <f>INDEX(Data!AD:AD,MATCH($G84,Data!$A:$A,0),1)</f>
        <v>0.78200000000000003</v>
      </c>
      <c r="N84">
        <f>INDEX(Data!AE:AE,MATCH($G84,Data!$A:$A,0),1)</f>
        <v>0.63500000000000001</v>
      </c>
      <c r="O84">
        <f>INDEX(Data!AG:AG,MATCH($G84,Data!$A:$A,0),1)</f>
        <v>1.1486856676492798</v>
      </c>
      <c r="P84">
        <f>INDEX(Data!AH:AH,MATCH($G84,Data!$A:$A,0),1)</f>
        <v>1.7068864766411047</v>
      </c>
      <c r="Q84">
        <f>IFERROR(IF(MATCH(B84,#REF!,0)&gt;0,1),0)</f>
        <v>0</v>
      </c>
    </row>
    <row r="85" spans="1:17" x14ac:dyDescent="0.2">
      <c r="A85" t="s">
        <v>11</v>
      </c>
      <c r="B85" t="s">
        <v>271</v>
      </c>
      <c r="C85" t="s">
        <v>67</v>
      </c>
      <c r="D85" t="s">
        <v>403</v>
      </c>
      <c r="E85" t="s">
        <v>15</v>
      </c>
      <c r="F85">
        <v>1</v>
      </c>
      <c r="G85" t="s">
        <v>325</v>
      </c>
      <c r="H85" s="2">
        <f>INDEX(Data!G:G,MATCH(G85,Data!A:A,0),1)</f>
        <v>5.79E-2</v>
      </c>
      <c r="I85" s="2">
        <f>INDEX(Data!J:J,MATCH(G85,Data!A:A,0),1)</f>
        <v>4.2599999999999999E-2</v>
      </c>
      <c r="J85" s="2">
        <f>INDEX(Data!R:R,MATCH(G85,Data!A:A,0),1)</f>
        <v>1</v>
      </c>
      <c r="K85" s="2">
        <f>INDEX(Data!S:S,MATCH(G85,Data!A:A,0),1)</f>
        <v>0</v>
      </c>
      <c r="L85" t="str">
        <f t="shared" si="1"/>
        <v>Combustion installations with a rated thermal input exceeding 20 MW_Post-harvest crop activities</v>
      </c>
      <c r="M85">
        <f>INDEX(Data!AD:AD,MATCH($G85,Data!$A:$A,0),1)</f>
        <v>0.78200000000000003</v>
      </c>
      <c r="N85">
        <f>INDEX(Data!AE:AE,MATCH($G85,Data!$A:$A,0),1)</f>
        <v>0.63500000000000001</v>
      </c>
      <c r="O85">
        <f>INDEX(Data!AG:AG,MATCH($G85,Data!$A:$A,0),1)</f>
        <v>1.1486856676492798</v>
      </c>
      <c r="P85">
        <f>INDEX(Data!AH:AH,MATCH($G85,Data!$A:$A,0),1)</f>
        <v>1.7068864766411047</v>
      </c>
      <c r="Q85">
        <f>IFERROR(IF(MATCH(B85,#REF!,0)&gt;0,1),0)</f>
        <v>0</v>
      </c>
    </row>
    <row r="86" spans="1:17" x14ac:dyDescent="0.2">
      <c r="A86" t="s">
        <v>11</v>
      </c>
      <c r="B86" t="s">
        <v>272</v>
      </c>
      <c r="C86" t="s">
        <v>72</v>
      </c>
      <c r="D86" t="s">
        <v>403</v>
      </c>
      <c r="E86" t="s">
        <v>15</v>
      </c>
      <c r="F86">
        <v>1</v>
      </c>
      <c r="G86" t="s">
        <v>325</v>
      </c>
      <c r="H86" s="2">
        <f>INDEX(Data!G:G,MATCH(G86,Data!A:A,0),1)</f>
        <v>5.79E-2</v>
      </c>
      <c r="I86" s="2">
        <f>INDEX(Data!J:J,MATCH(G86,Data!A:A,0),1)</f>
        <v>4.2599999999999999E-2</v>
      </c>
      <c r="J86" s="2">
        <f>INDEX(Data!R:R,MATCH(G86,Data!A:A,0),1)</f>
        <v>1</v>
      </c>
      <c r="K86" s="2">
        <f>INDEX(Data!S:S,MATCH(G86,Data!A:A,0),1)</f>
        <v>0</v>
      </c>
      <c r="L86" t="str">
        <f t="shared" si="1"/>
        <v>Combustion installations with a rated thermal input exceeding 20 MW_Post-secondary non-tertiary education</v>
      </c>
      <c r="M86">
        <f>INDEX(Data!AD:AD,MATCH($G86,Data!$A:$A,0),1)</f>
        <v>0.78200000000000003</v>
      </c>
      <c r="N86">
        <f>INDEX(Data!AE:AE,MATCH($G86,Data!$A:$A,0),1)</f>
        <v>0.63500000000000001</v>
      </c>
      <c r="O86">
        <f>INDEX(Data!AG:AG,MATCH($G86,Data!$A:$A,0),1)</f>
        <v>1.1486856676492798</v>
      </c>
      <c r="P86">
        <f>INDEX(Data!AH:AH,MATCH($G86,Data!$A:$A,0),1)</f>
        <v>1.7068864766411047</v>
      </c>
      <c r="Q86">
        <f>IFERROR(IF(MATCH(B86,#REF!,0)&gt;0,1),0)</f>
        <v>0</v>
      </c>
    </row>
    <row r="87" spans="1:17" x14ac:dyDescent="0.2">
      <c r="A87" t="s">
        <v>11</v>
      </c>
      <c r="B87" t="s">
        <v>273</v>
      </c>
      <c r="C87" t="s">
        <v>62</v>
      </c>
      <c r="D87" t="s">
        <v>403</v>
      </c>
      <c r="E87" t="s">
        <v>15</v>
      </c>
      <c r="F87">
        <v>1</v>
      </c>
      <c r="G87" t="s">
        <v>325</v>
      </c>
      <c r="H87" s="2">
        <f>INDEX(Data!G:G,MATCH(G87,Data!A:A,0),1)</f>
        <v>5.79E-2</v>
      </c>
      <c r="I87" s="2">
        <f>INDEX(Data!J:J,MATCH(G87,Data!A:A,0),1)</f>
        <v>4.2599999999999999E-2</v>
      </c>
      <c r="J87" s="2">
        <f>INDEX(Data!R:R,MATCH(G87,Data!A:A,0),1)</f>
        <v>1</v>
      </c>
      <c r="K87" s="2">
        <f>INDEX(Data!S:S,MATCH(G87,Data!A:A,0),1)</f>
        <v>0</v>
      </c>
      <c r="L87" t="str">
        <f t="shared" si="1"/>
        <v>Combustion installations with a rated thermal input exceeding 20 MW_Preparation and spinning of textile fibres</v>
      </c>
      <c r="M87">
        <f>INDEX(Data!AD:AD,MATCH($G87,Data!$A:$A,0),1)</f>
        <v>0.78200000000000003</v>
      </c>
      <c r="N87">
        <f>INDEX(Data!AE:AE,MATCH($G87,Data!$A:$A,0),1)</f>
        <v>0.63500000000000001</v>
      </c>
      <c r="O87">
        <f>INDEX(Data!AG:AG,MATCH($G87,Data!$A:$A,0),1)</f>
        <v>1.1486856676492798</v>
      </c>
      <c r="P87">
        <f>INDEX(Data!AH:AH,MATCH($G87,Data!$A:$A,0),1)</f>
        <v>1.7068864766411047</v>
      </c>
      <c r="Q87">
        <f>IFERROR(IF(MATCH(B87,#REF!,0)&gt;0,1),0)</f>
        <v>0</v>
      </c>
    </row>
    <row r="88" spans="1:17" x14ac:dyDescent="0.2">
      <c r="A88" t="s">
        <v>11</v>
      </c>
      <c r="B88" t="s">
        <v>274</v>
      </c>
      <c r="C88" t="s">
        <v>113</v>
      </c>
      <c r="D88" t="s">
        <v>403</v>
      </c>
      <c r="E88" t="s">
        <v>15</v>
      </c>
      <c r="F88">
        <v>1</v>
      </c>
      <c r="G88" t="s">
        <v>325</v>
      </c>
      <c r="H88" s="2">
        <f>INDEX(Data!G:G,MATCH(G88,Data!A:A,0),1)</f>
        <v>5.79E-2</v>
      </c>
      <c r="I88" s="2">
        <f>INDEX(Data!J:J,MATCH(G88,Data!A:A,0),1)</f>
        <v>4.2599999999999999E-2</v>
      </c>
      <c r="J88" s="2">
        <f>INDEX(Data!R:R,MATCH(G88,Data!A:A,0),1)</f>
        <v>1</v>
      </c>
      <c r="K88" s="2">
        <f>INDEX(Data!S:S,MATCH(G88,Data!A:A,0),1)</f>
        <v>0</v>
      </c>
      <c r="L88" t="str">
        <f t="shared" si="1"/>
        <v>Combustion installations with a rated thermal input exceeding 20 MW_Processing and preserving of fish, crustaceans and molluscs</v>
      </c>
      <c r="M88">
        <f>INDEX(Data!AD:AD,MATCH($G88,Data!$A:$A,0),1)</f>
        <v>0.78200000000000003</v>
      </c>
      <c r="N88">
        <f>INDEX(Data!AE:AE,MATCH($G88,Data!$A:$A,0),1)</f>
        <v>0.63500000000000001</v>
      </c>
      <c r="O88">
        <f>INDEX(Data!AG:AG,MATCH($G88,Data!$A:$A,0),1)</f>
        <v>1.1486856676492798</v>
      </c>
      <c r="P88">
        <f>INDEX(Data!AH:AH,MATCH($G88,Data!$A:$A,0),1)</f>
        <v>1.7068864766411047</v>
      </c>
      <c r="Q88">
        <f>IFERROR(IF(MATCH(B88,#REF!,0)&gt;0,1),0)</f>
        <v>0</v>
      </c>
    </row>
    <row r="89" spans="1:17" x14ac:dyDescent="0.2">
      <c r="A89" t="s">
        <v>11</v>
      </c>
      <c r="B89" t="s">
        <v>276</v>
      </c>
      <c r="C89" t="s">
        <v>113</v>
      </c>
      <c r="D89" t="s">
        <v>403</v>
      </c>
      <c r="E89" t="s">
        <v>15</v>
      </c>
      <c r="F89">
        <v>2</v>
      </c>
      <c r="G89" t="s">
        <v>325</v>
      </c>
      <c r="H89" s="2">
        <f>INDEX(Data!G:G,MATCH(G89,Data!A:A,0),1)</f>
        <v>5.79E-2</v>
      </c>
      <c r="I89" s="2">
        <f>INDEX(Data!J:J,MATCH(G89,Data!A:A,0),1)</f>
        <v>4.2599999999999999E-2</v>
      </c>
      <c r="J89" s="2">
        <f>INDEX(Data!R:R,MATCH(G89,Data!A:A,0),1)</f>
        <v>1</v>
      </c>
      <c r="K89" s="2">
        <f>INDEX(Data!S:S,MATCH(G89,Data!A:A,0),1)</f>
        <v>0</v>
      </c>
      <c r="L89" t="str">
        <f t="shared" si="1"/>
        <v>Combustion installations with a rated thermal input exceeding 20 MW_Processing and preserving of meat</v>
      </c>
      <c r="M89">
        <f>INDEX(Data!AD:AD,MATCH($G89,Data!$A:$A,0),1)</f>
        <v>0.78200000000000003</v>
      </c>
      <c r="N89">
        <f>INDEX(Data!AE:AE,MATCH($G89,Data!$A:$A,0),1)</f>
        <v>0.63500000000000001</v>
      </c>
      <c r="O89">
        <f>INDEX(Data!AG:AG,MATCH($G89,Data!$A:$A,0),1)</f>
        <v>1.1486856676492798</v>
      </c>
      <c r="P89">
        <f>INDEX(Data!AH:AH,MATCH($G89,Data!$A:$A,0),1)</f>
        <v>1.7068864766411047</v>
      </c>
      <c r="Q89">
        <f>IFERROR(IF(MATCH(B89,#REF!,0)&gt;0,1),0)</f>
        <v>0</v>
      </c>
    </row>
    <row r="90" spans="1:17" x14ac:dyDescent="0.2">
      <c r="A90" t="s">
        <v>11</v>
      </c>
      <c r="B90" t="s">
        <v>277</v>
      </c>
      <c r="C90" t="s">
        <v>113</v>
      </c>
      <c r="D90" t="s">
        <v>403</v>
      </c>
      <c r="E90" t="s">
        <v>15</v>
      </c>
      <c r="F90">
        <v>3</v>
      </c>
      <c r="G90" t="s">
        <v>325</v>
      </c>
      <c r="H90" s="2">
        <f>INDEX(Data!G:G,MATCH(G90,Data!A:A,0),1)</f>
        <v>5.79E-2</v>
      </c>
      <c r="I90" s="2">
        <f>INDEX(Data!J:J,MATCH(G90,Data!A:A,0),1)</f>
        <v>4.2599999999999999E-2</v>
      </c>
      <c r="J90" s="2">
        <f>INDEX(Data!R:R,MATCH(G90,Data!A:A,0),1)</f>
        <v>1</v>
      </c>
      <c r="K90" s="2">
        <f>INDEX(Data!S:S,MATCH(G90,Data!A:A,0),1)</f>
        <v>0</v>
      </c>
      <c r="L90" t="str">
        <f t="shared" si="1"/>
        <v>Combustion installations with a rated thermal input exceeding 20 MW_Processing and preserving of potatoes</v>
      </c>
      <c r="M90">
        <f>INDEX(Data!AD:AD,MATCH($G90,Data!$A:$A,0),1)</f>
        <v>0.78200000000000003</v>
      </c>
      <c r="N90">
        <f>INDEX(Data!AE:AE,MATCH($G90,Data!$A:$A,0),1)</f>
        <v>0.63500000000000001</v>
      </c>
      <c r="O90">
        <f>INDEX(Data!AG:AG,MATCH($G90,Data!$A:$A,0),1)</f>
        <v>1.1486856676492798</v>
      </c>
      <c r="P90">
        <f>INDEX(Data!AH:AH,MATCH($G90,Data!$A:$A,0),1)</f>
        <v>1.7068864766411047</v>
      </c>
      <c r="Q90">
        <f>IFERROR(IF(MATCH(B90,#REF!,0)&gt;0,1),0)</f>
        <v>0</v>
      </c>
    </row>
    <row r="91" spans="1:17" x14ac:dyDescent="0.2">
      <c r="A91" t="s">
        <v>11</v>
      </c>
      <c r="B91" t="s">
        <v>280</v>
      </c>
      <c r="C91" t="s">
        <v>113</v>
      </c>
      <c r="D91" t="s">
        <v>403</v>
      </c>
      <c r="E91" t="s">
        <v>15</v>
      </c>
      <c r="F91">
        <v>1</v>
      </c>
      <c r="G91" t="s">
        <v>325</v>
      </c>
      <c r="H91" s="2">
        <f>INDEX(Data!G:G,MATCH(G91,Data!A:A,0),1)</f>
        <v>5.79E-2</v>
      </c>
      <c r="I91" s="2">
        <f>INDEX(Data!J:J,MATCH(G91,Data!A:A,0),1)</f>
        <v>4.2599999999999999E-2</v>
      </c>
      <c r="J91" s="2">
        <f>INDEX(Data!R:R,MATCH(G91,Data!A:A,0),1)</f>
        <v>1</v>
      </c>
      <c r="K91" s="2">
        <f>INDEX(Data!S:S,MATCH(G91,Data!A:A,0),1)</f>
        <v>0</v>
      </c>
      <c r="L91" t="str">
        <f t="shared" si="1"/>
        <v>Combustion installations with a rated thermal input exceeding 20 MW_Processing of tea and coffee</v>
      </c>
      <c r="M91">
        <f>INDEX(Data!AD:AD,MATCH($G91,Data!$A:$A,0),1)</f>
        <v>0.78200000000000003</v>
      </c>
      <c r="N91">
        <f>INDEX(Data!AE:AE,MATCH($G91,Data!$A:$A,0),1)</f>
        <v>0.63500000000000001</v>
      </c>
      <c r="O91">
        <f>INDEX(Data!AG:AG,MATCH($G91,Data!$A:$A,0),1)</f>
        <v>1.1486856676492798</v>
      </c>
      <c r="P91">
        <f>INDEX(Data!AH:AH,MATCH($G91,Data!$A:$A,0),1)</f>
        <v>1.7068864766411047</v>
      </c>
      <c r="Q91">
        <f>IFERROR(IF(MATCH(B91,#REF!,0)&gt;0,1),0)</f>
        <v>0</v>
      </c>
    </row>
    <row r="92" spans="1:17" x14ac:dyDescent="0.2">
      <c r="A92" t="s">
        <v>11</v>
      </c>
      <c r="B92" t="s">
        <v>297</v>
      </c>
      <c r="C92" t="s">
        <v>17</v>
      </c>
      <c r="D92" t="s">
        <v>403</v>
      </c>
      <c r="E92" t="s">
        <v>15</v>
      </c>
      <c r="F92">
        <v>2</v>
      </c>
      <c r="G92" t="s">
        <v>325</v>
      </c>
      <c r="H92" s="2">
        <f>INDEX(Data!G:G,MATCH(G92,Data!A:A,0),1)</f>
        <v>5.79E-2</v>
      </c>
      <c r="I92" s="2">
        <f>INDEX(Data!J:J,MATCH(G92,Data!A:A,0),1)</f>
        <v>4.2599999999999999E-2</v>
      </c>
      <c r="J92" s="2">
        <f>INDEX(Data!R:R,MATCH(G92,Data!A:A,0),1)</f>
        <v>1</v>
      </c>
      <c r="K92" s="2">
        <f>INDEX(Data!S:S,MATCH(G92,Data!A:A,0),1)</f>
        <v>0</v>
      </c>
      <c r="L92" t="str">
        <f t="shared" si="1"/>
        <v>Combustion installations with a rated thermal input exceeding 20 MW_Service activities incidental to air transportation</v>
      </c>
      <c r="M92">
        <f>INDEX(Data!AD:AD,MATCH($G92,Data!$A:$A,0),1)</f>
        <v>0.78200000000000003</v>
      </c>
      <c r="N92">
        <f>INDEX(Data!AE:AE,MATCH($G92,Data!$A:$A,0),1)</f>
        <v>0.63500000000000001</v>
      </c>
      <c r="O92">
        <f>INDEX(Data!AG:AG,MATCH($G92,Data!$A:$A,0),1)</f>
        <v>1.1486856676492798</v>
      </c>
      <c r="P92">
        <f>INDEX(Data!AH:AH,MATCH($G92,Data!$A:$A,0),1)</f>
        <v>1.7068864766411047</v>
      </c>
      <c r="Q92">
        <f>IFERROR(IF(MATCH(B92,#REF!,0)&gt;0,1),0)</f>
        <v>0</v>
      </c>
    </row>
    <row r="93" spans="1:17" x14ac:dyDescent="0.2">
      <c r="A93" t="s">
        <v>11</v>
      </c>
      <c r="B93" t="s">
        <v>309</v>
      </c>
      <c r="C93" t="s">
        <v>72</v>
      </c>
      <c r="D93" t="s">
        <v>403</v>
      </c>
      <c r="E93" t="s">
        <v>15</v>
      </c>
      <c r="F93">
        <v>4</v>
      </c>
      <c r="G93" t="s">
        <v>325</v>
      </c>
      <c r="H93" s="2">
        <f>INDEX(Data!G:G,MATCH(G93,Data!A:A,0),1)</f>
        <v>5.79E-2</v>
      </c>
      <c r="I93" s="2">
        <f>INDEX(Data!J:J,MATCH(G93,Data!A:A,0),1)</f>
        <v>4.2599999999999999E-2</v>
      </c>
      <c r="J93" s="2">
        <f>INDEX(Data!R:R,MATCH(G93,Data!A:A,0),1)</f>
        <v>1</v>
      </c>
      <c r="K93" s="2">
        <f>INDEX(Data!S:S,MATCH(G93,Data!A:A,0),1)</f>
        <v>0</v>
      </c>
      <c r="L93" t="str">
        <f t="shared" si="1"/>
        <v>Combustion installations with a rated thermal input exceeding 20 MW_Tertiary education</v>
      </c>
      <c r="M93">
        <f>INDEX(Data!AD:AD,MATCH($G93,Data!$A:$A,0),1)</f>
        <v>0.78200000000000003</v>
      </c>
      <c r="N93">
        <f>INDEX(Data!AE:AE,MATCH($G93,Data!$A:$A,0),1)</f>
        <v>0.63500000000000001</v>
      </c>
      <c r="O93">
        <f>INDEX(Data!AG:AG,MATCH($G93,Data!$A:$A,0),1)</f>
        <v>1.1486856676492798</v>
      </c>
      <c r="P93">
        <f>INDEX(Data!AH:AH,MATCH($G93,Data!$A:$A,0),1)</f>
        <v>1.7068864766411047</v>
      </c>
      <c r="Q93">
        <f>IFERROR(IF(MATCH(B93,#REF!,0)&gt;0,1),0)</f>
        <v>0</v>
      </c>
    </row>
    <row r="94" spans="1:17" x14ac:dyDescent="0.2">
      <c r="A94" t="s">
        <v>11</v>
      </c>
      <c r="B94" t="s">
        <v>316</v>
      </c>
      <c r="C94" t="s">
        <v>62</v>
      </c>
      <c r="D94" t="s">
        <v>403</v>
      </c>
      <c r="E94" t="s">
        <v>15</v>
      </c>
      <c r="F94">
        <v>3</v>
      </c>
      <c r="G94" t="s">
        <v>325</v>
      </c>
      <c r="H94" s="2">
        <f>INDEX(Data!G:G,MATCH(G94,Data!A:A,0),1)</f>
        <v>5.79E-2</v>
      </c>
      <c r="I94" s="2">
        <f>INDEX(Data!J:J,MATCH(G94,Data!A:A,0),1)</f>
        <v>4.2599999999999999E-2</v>
      </c>
      <c r="J94" s="2">
        <f>INDEX(Data!R:R,MATCH(G94,Data!A:A,0),1)</f>
        <v>1</v>
      </c>
      <c r="K94" s="2">
        <f>INDEX(Data!S:S,MATCH(G94,Data!A:A,0),1)</f>
        <v>0</v>
      </c>
      <c r="L94" t="str">
        <f t="shared" si="1"/>
        <v>Combustion installations with a rated thermal input exceeding 20 MW_Weaving of textiles</v>
      </c>
      <c r="M94">
        <f>INDEX(Data!AD:AD,MATCH($G94,Data!$A:$A,0),1)</f>
        <v>0.78200000000000003</v>
      </c>
      <c r="N94">
        <f>INDEX(Data!AE:AE,MATCH($G94,Data!$A:$A,0),1)</f>
        <v>0.63500000000000001</v>
      </c>
      <c r="O94">
        <f>INDEX(Data!AG:AG,MATCH($G94,Data!$A:$A,0),1)</f>
        <v>1.1486856676492798</v>
      </c>
      <c r="P94">
        <f>INDEX(Data!AH:AH,MATCH($G94,Data!$A:$A,0),1)</f>
        <v>1.7068864766411047</v>
      </c>
      <c r="Q94">
        <f>IFERROR(IF(MATCH(B94,#REF!,0)&gt;0,1),0)</f>
        <v>0</v>
      </c>
    </row>
    <row r="95" spans="1:17" x14ac:dyDescent="0.2">
      <c r="A95" t="s">
        <v>11</v>
      </c>
      <c r="B95" t="s">
        <v>208</v>
      </c>
      <c r="C95" t="s">
        <v>122</v>
      </c>
      <c r="D95" t="s">
        <v>410</v>
      </c>
      <c r="E95" t="s">
        <v>173</v>
      </c>
      <c r="F95">
        <v>10</v>
      </c>
      <c r="G95" t="s">
        <v>356</v>
      </c>
      <c r="H95" s="2">
        <f>INDEX(Data!G:G,MATCH(G95,Data!A:A,0),1)</f>
        <v>0.2201185822484337</v>
      </c>
      <c r="I95" s="2">
        <f>INDEX(Data!J:J,MATCH(G95,Data!A:A,0),1)</f>
        <v>0.22144473697589778</v>
      </c>
      <c r="J95" s="2">
        <f>INDEX(Data!R:R,MATCH(G95,Data!A:A,0),1)</f>
        <v>6.1071928683366004</v>
      </c>
      <c r="K95" s="2">
        <f>INDEX(Data!S:S,MATCH(G95,Data!A:A,0),1)</f>
        <v>0</v>
      </c>
      <c r="L95" t="str">
        <f t="shared" si="1"/>
        <v>Combustion installations with a rated thermal input exceeding 20 MW_Manufacture of paper and paperboard</v>
      </c>
      <c r="M95">
        <f>INDEX(Data!AD:AD,MATCH($G95,Data!$A:$A,0),1)</f>
        <v>0.79800000000000015</v>
      </c>
      <c r="N95">
        <f>INDEX(Data!AE:AE,MATCH($G95,Data!$A:$A,0),1)</f>
        <v>0.92100000000000015</v>
      </c>
      <c r="O95">
        <f>INDEX(Data!AG:AG,MATCH($G95,Data!$A:$A,0),1)</f>
        <v>1.2809090316655365</v>
      </c>
      <c r="P95">
        <f>INDEX(Data!AH:AH,MATCH($G95,Data!$A:$A,0),1)</f>
        <v>4.1862577628706559</v>
      </c>
      <c r="Q95">
        <f>IFERROR(IF(MATCH(B95,#REF!,0)&gt;0,1),0)</f>
        <v>0</v>
      </c>
    </row>
    <row r="96" spans="1:17" x14ac:dyDescent="0.2">
      <c r="A96" t="s">
        <v>11</v>
      </c>
      <c r="B96" t="s">
        <v>211</v>
      </c>
      <c r="C96" t="s">
        <v>94</v>
      </c>
      <c r="D96" t="s">
        <v>95</v>
      </c>
      <c r="E96" t="s">
        <v>94</v>
      </c>
      <c r="F96">
        <v>3</v>
      </c>
      <c r="G96" t="s">
        <v>342</v>
      </c>
      <c r="H96" s="2">
        <f>INDEX(Data!G:G,MATCH(G96,Data!A:A,0),1)</f>
        <v>0.38529467763961761</v>
      </c>
      <c r="I96" s="2">
        <f>INDEX(Data!J:J,MATCH(G96,Data!A:A,0),1)</f>
        <v>0.65015695160798492</v>
      </c>
      <c r="J96" s="2">
        <f>INDEX(Data!R:R,MATCH(G96,Data!A:A,0),1)</f>
        <v>0.99664158109543011</v>
      </c>
      <c r="K96" s="2">
        <f>INDEX(Data!S:S,MATCH(G96,Data!A:A,0),1)</f>
        <v>5.2249389559964285</v>
      </c>
      <c r="L96" t="str">
        <f t="shared" si="1"/>
        <v>Combustion installations with a rated thermal input exceeding 20 MW_Manufacture of pharmaceutical preparations</v>
      </c>
      <c r="M96">
        <f>INDEX(Data!AD:AD,MATCH($G96,Data!$A:$A,0),1)</f>
        <v>0.81200000000000006</v>
      </c>
      <c r="N96">
        <f>INDEX(Data!AE:AE,MATCH($G96,Data!$A:$A,0),1)</f>
        <v>0.73899999999999999</v>
      </c>
      <c r="O96">
        <f>INDEX(Data!AG:AG,MATCH($G96,Data!$A:$A,0),1)</f>
        <v>1.2983191848894986</v>
      </c>
      <c r="P96">
        <f>INDEX(Data!AH:AH,MATCH($G96,Data!$A:$A,0),1)</f>
        <v>4.8395672422172096</v>
      </c>
      <c r="Q96">
        <f>IFERROR(IF(MATCH(B96,#REF!,0)&gt;0,1),0)</f>
        <v>0</v>
      </c>
    </row>
    <row r="97" spans="1:17" x14ac:dyDescent="0.2">
      <c r="A97" t="s">
        <v>11</v>
      </c>
      <c r="B97" t="s">
        <v>47</v>
      </c>
      <c r="C97" t="s">
        <v>44</v>
      </c>
      <c r="D97" t="s">
        <v>45</v>
      </c>
      <c r="E97" t="s">
        <v>45</v>
      </c>
      <c r="F97">
        <v>32</v>
      </c>
      <c r="G97" t="s">
        <v>325</v>
      </c>
      <c r="H97" s="2">
        <f>INDEX(Data!G:G,MATCH(G97,Data!A:A,0),1)</f>
        <v>5.79E-2</v>
      </c>
      <c r="I97" s="2">
        <f>INDEX(Data!J:J,MATCH(G97,Data!A:A,0),1)</f>
        <v>4.2599999999999999E-2</v>
      </c>
      <c r="J97" s="2">
        <f>INDEX(Data!R:R,MATCH(G97,Data!A:A,0),1)</f>
        <v>1</v>
      </c>
      <c r="K97" s="2">
        <f>INDEX(Data!S:S,MATCH(G97,Data!A:A,0),1)</f>
        <v>0</v>
      </c>
      <c r="L97" t="str">
        <f t="shared" si="1"/>
        <v>Combustion installations with a rated thermal input exceeding 20 MW_Electric power generation, transmission and distribution</v>
      </c>
      <c r="M97">
        <f>INDEX(Data!AD:AD,MATCH($G97,Data!$A:$A,0),1)</f>
        <v>0.78200000000000003</v>
      </c>
      <c r="N97">
        <f>INDEX(Data!AE:AE,MATCH($G97,Data!$A:$A,0),1)</f>
        <v>0.63500000000000001</v>
      </c>
      <c r="O97">
        <f>INDEX(Data!AG:AG,MATCH($G97,Data!$A:$A,0),1)</f>
        <v>1.1486856676492798</v>
      </c>
      <c r="P97">
        <f>INDEX(Data!AH:AH,MATCH($G97,Data!$A:$A,0),1)</f>
        <v>1.7068864766411047</v>
      </c>
      <c r="Q97">
        <f>IFERROR(IF(MATCH(B97,#REF!,0)&gt;0,1),0)</f>
        <v>0</v>
      </c>
    </row>
    <row r="98" spans="1:17" x14ac:dyDescent="0.2">
      <c r="A98" t="s">
        <v>11</v>
      </c>
      <c r="B98" t="s">
        <v>44</v>
      </c>
      <c r="C98" t="s">
        <v>44</v>
      </c>
      <c r="D98" t="s">
        <v>45</v>
      </c>
      <c r="E98" t="s">
        <v>45</v>
      </c>
      <c r="F98">
        <v>26</v>
      </c>
      <c r="G98" t="s">
        <v>329</v>
      </c>
      <c r="H98" s="2">
        <f>INDEX(Data!G:G,MATCH(G98,Data!A:A,0),1)</f>
        <v>7.6799999999999993E-2</v>
      </c>
      <c r="I98" s="2">
        <f>INDEX(Data!J:J,MATCH(G98,Data!A:A,0),1)</f>
        <v>4.7300000000000002E-2</v>
      </c>
      <c r="J98" s="2">
        <f>INDEX(Data!R:R,MATCH(G98,Data!A:A,0),1)</f>
        <v>1</v>
      </c>
      <c r="K98" s="2">
        <f>INDEX(Data!S:S,MATCH(G98,Data!A:A,0),1)</f>
        <v>0</v>
      </c>
      <c r="L98" t="str">
        <f t="shared" si="1"/>
        <v>Combustion installations with a rated thermal input exceeding 20 MW_Electricity, gas, steam and air conditioning supply</v>
      </c>
      <c r="M98">
        <f>INDEX(Data!AD:AD,MATCH($G98,Data!$A:$A,0),1)</f>
        <v>0.78200000000000003</v>
      </c>
      <c r="N98">
        <f>INDEX(Data!AE:AE,MATCH($G98,Data!$A:$A,0),1)</f>
        <v>0.63500000000000001</v>
      </c>
      <c r="O98">
        <f>INDEX(Data!AG:AG,MATCH($G98,Data!$A:$A,0),1)</f>
        <v>1.1486856676492798</v>
      </c>
      <c r="P98">
        <f>INDEX(Data!AH:AH,MATCH($G98,Data!$A:$A,0),1)</f>
        <v>1.7068864766411047</v>
      </c>
      <c r="Q98">
        <f>IFERROR(IF(MATCH(B98,#REF!,0)&gt;0,1),0)</f>
        <v>0</v>
      </c>
    </row>
    <row r="99" spans="1:17" x14ac:dyDescent="0.2">
      <c r="A99" t="s">
        <v>11</v>
      </c>
      <c r="B99" t="s">
        <v>282</v>
      </c>
      <c r="C99" t="s">
        <v>44</v>
      </c>
      <c r="D99" t="s">
        <v>45</v>
      </c>
      <c r="E99" t="s">
        <v>45</v>
      </c>
      <c r="F99">
        <v>177</v>
      </c>
      <c r="G99" t="s">
        <v>325</v>
      </c>
      <c r="H99" s="2">
        <f>INDEX(Data!G:G,MATCH(G99,Data!A:A,0),1)</f>
        <v>5.79E-2</v>
      </c>
      <c r="I99" s="2">
        <f>INDEX(Data!J:J,MATCH(G99,Data!A:A,0),1)</f>
        <v>4.2599999999999999E-2</v>
      </c>
      <c r="J99" s="2">
        <f>INDEX(Data!R:R,MATCH(G99,Data!A:A,0),1)</f>
        <v>1</v>
      </c>
      <c r="K99" s="2">
        <f>INDEX(Data!S:S,MATCH(G99,Data!A:A,0),1)</f>
        <v>0</v>
      </c>
      <c r="L99" t="str">
        <f t="shared" si="1"/>
        <v>Combustion installations with a rated thermal input exceeding 20 MW_Production of electricity</v>
      </c>
      <c r="M99">
        <f>INDEX(Data!AD:AD,MATCH($G99,Data!$A:$A,0),1)</f>
        <v>0.78200000000000003</v>
      </c>
      <c r="N99">
        <f>INDEX(Data!AE:AE,MATCH($G99,Data!$A:$A,0),1)</f>
        <v>0.63500000000000001</v>
      </c>
      <c r="O99">
        <f>INDEX(Data!AG:AG,MATCH($G99,Data!$A:$A,0),1)</f>
        <v>1.1486856676492798</v>
      </c>
      <c r="P99">
        <f>INDEX(Data!AH:AH,MATCH($G99,Data!$A:$A,0),1)</f>
        <v>1.7068864766411047</v>
      </c>
      <c r="Q99">
        <f>IFERROR(IF(MATCH(B99,#REF!,0)&gt;0,1),0)</f>
        <v>0</v>
      </c>
    </row>
    <row r="100" spans="1:17" x14ac:dyDescent="0.2">
      <c r="A100" t="s">
        <v>11</v>
      </c>
      <c r="B100" t="s">
        <v>301</v>
      </c>
      <c r="C100" t="s">
        <v>44</v>
      </c>
      <c r="D100" t="s">
        <v>45</v>
      </c>
      <c r="E100" t="s">
        <v>45</v>
      </c>
      <c r="F100">
        <v>179</v>
      </c>
      <c r="G100" t="s">
        <v>329</v>
      </c>
      <c r="H100" s="2">
        <f>INDEX(Data!G:G,MATCH(G100,Data!A:A,0),1)</f>
        <v>7.6799999999999993E-2</v>
      </c>
      <c r="I100" s="2">
        <f>INDEX(Data!J:J,MATCH(G100,Data!A:A,0),1)</f>
        <v>4.7300000000000002E-2</v>
      </c>
      <c r="J100" s="2">
        <f>INDEX(Data!R:R,MATCH(G100,Data!A:A,0),1)</f>
        <v>1</v>
      </c>
      <c r="K100" s="2">
        <f>INDEX(Data!S:S,MATCH(G100,Data!A:A,0),1)</f>
        <v>0</v>
      </c>
      <c r="L100" t="str">
        <f t="shared" si="1"/>
        <v>Combustion installations with a rated thermal input exceeding 20 MW_Steam and air conditioning supply</v>
      </c>
      <c r="M100">
        <f>INDEX(Data!AD:AD,MATCH($G100,Data!$A:$A,0),1)</f>
        <v>0.78200000000000003</v>
      </c>
      <c r="N100">
        <f>INDEX(Data!AE:AE,MATCH($G100,Data!$A:$A,0),1)</f>
        <v>0.63500000000000001</v>
      </c>
      <c r="O100">
        <f>INDEX(Data!AG:AG,MATCH($G100,Data!$A:$A,0),1)</f>
        <v>1.1486856676492798</v>
      </c>
      <c r="P100">
        <f>INDEX(Data!AH:AH,MATCH($G100,Data!$A:$A,0),1)</f>
        <v>1.7068864766411047</v>
      </c>
      <c r="Q100">
        <f>IFERROR(IF(MATCH(B100,#REF!,0)&gt;0,1),0)</f>
        <v>0</v>
      </c>
    </row>
    <row r="101" spans="1:17" x14ac:dyDescent="0.2">
      <c r="A101" t="s">
        <v>11</v>
      </c>
      <c r="B101" t="s">
        <v>312</v>
      </c>
      <c r="C101" t="s">
        <v>269</v>
      </c>
      <c r="D101" t="s">
        <v>45</v>
      </c>
      <c r="E101" t="s">
        <v>45</v>
      </c>
      <c r="F101">
        <v>4</v>
      </c>
      <c r="G101" t="s">
        <v>325</v>
      </c>
      <c r="H101" s="2">
        <f>INDEX(Data!G:G,MATCH(G101,Data!A:A,0),1)</f>
        <v>5.79E-2</v>
      </c>
      <c r="I101" s="2">
        <f>INDEX(Data!J:J,MATCH(G101,Data!A:A,0),1)</f>
        <v>4.2599999999999999E-2</v>
      </c>
      <c r="J101" s="2">
        <f>INDEX(Data!R:R,MATCH(G101,Data!A:A,0),1)</f>
        <v>1</v>
      </c>
      <c r="K101" s="2">
        <f>INDEX(Data!S:S,MATCH(G101,Data!A:A,0),1)</f>
        <v>0</v>
      </c>
      <c r="L101" t="str">
        <f t="shared" si="1"/>
        <v>Combustion installations with a rated thermal input exceeding 20 MW_Transport via pipeline</v>
      </c>
      <c r="M101">
        <f>INDEX(Data!AD:AD,MATCH($G101,Data!$A:$A,0),1)</f>
        <v>0.78200000000000003</v>
      </c>
      <c r="N101">
        <f>INDEX(Data!AE:AE,MATCH($G101,Data!$A:$A,0),1)</f>
        <v>0.63500000000000001</v>
      </c>
      <c r="O101">
        <f>INDEX(Data!AG:AG,MATCH($G101,Data!$A:$A,0),1)</f>
        <v>1.1486856676492798</v>
      </c>
      <c r="P101">
        <f>INDEX(Data!AH:AH,MATCH($G101,Data!$A:$A,0),1)</f>
        <v>1.7068864766411047</v>
      </c>
      <c r="Q101">
        <f>IFERROR(IF(MATCH(B101,#REF!,0)&gt;0,1),0)</f>
        <v>0</v>
      </c>
    </row>
    <row r="102" spans="1:17" x14ac:dyDescent="0.2">
      <c r="A102" t="s">
        <v>11</v>
      </c>
      <c r="B102" t="s">
        <v>225</v>
      </c>
      <c r="C102" t="s">
        <v>81</v>
      </c>
      <c r="D102" t="s">
        <v>409</v>
      </c>
      <c r="E102" t="s">
        <v>331</v>
      </c>
      <c r="F102">
        <v>1</v>
      </c>
      <c r="G102" t="s">
        <v>332</v>
      </c>
      <c r="H102" s="2">
        <f>INDEX(Data!G:G,MATCH(G102,Data!A:A,0),1)</f>
        <v>1.8</v>
      </c>
      <c r="I102" s="2">
        <f>INDEX(Data!J:J,MATCH(G102,Data!A:A,0),1)</f>
        <v>1.8</v>
      </c>
      <c r="J102" s="2">
        <f>INDEX(Data!R:R,MATCH(G102,Data!A:A,0),1)</f>
        <v>5.378400000000001</v>
      </c>
      <c r="K102" s="2">
        <f>INDEX(Data!S:S,MATCH(G102,Data!A:A,0),1)</f>
        <v>0</v>
      </c>
      <c r="L102" t="str">
        <f t="shared" si="1"/>
        <v>Combustion installations with a rated thermal input exceeding 20 MW_Manufacture of refractory products</v>
      </c>
      <c r="M102">
        <f>INDEX(Data!AD:AD,MATCH($G102,Data!$A:$A,0),1)</f>
        <v>0.6</v>
      </c>
      <c r="N102">
        <f>INDEX(Data!AE:AE,MATCH($G102,Data!$A:$A,0),1)</f>
        <v>0.59799999999999998</v>
      </c>
      <c r="O102">
        <f>INDEX(Data!AG:AG,MATCH($G102,Data!$A:$A,0),1)</f>
        <v>1.2551691331611463</v>
      </c>
      <c r="P102">
        <f>INDEX(Data!AH:AH,MATCH($G102,Data!$A:$A,0),1)</f>
        <v>2.4027505261813573</v>
      </c>
      <c r="Q102">
        <f>IFERROR(IF(MATCH(B102,#REF!,0)&gt;0,1),0)</f>
        <v>0</v>
      </c>
    </row>
    <row r="103" spans="1:17" x14ac:dyDescent="0.2">
      <c r="A103" t="s">
        <v>11</v>
      </c>
      <c r="B103" t="s">
        <v>197</v>
      </c>
      <c r="C103" t="s">
        <v>198</v>
      </c>
      <c r="D103" t="s">
        <v>95</v>
      </c>
      <c r="E103" t="s">
        <v>95</v>
      </c>
      <c r="F103">
        <v>2</v>
      </c>
      <c r="G103" t="s">
        <v>335</v>
      </c>
      <c r="H103" s="2">
        <f>INDEX(Data!G:G,MATCH(G103,Data!A:A,0),1)</f>
        <v>0.49494039340491602</v>
      </c>
      <c r="I103" s="2">
        <f>INDEX(Data!J:J,MATCH(G103,Data!A:A,0),1)</f>
        <v>0.76276347235126118</v>
      </c>
      <c r="J103" s="2">
        <f>INDEX(Data!R:R,MATCH(G103,Data!A:A,0),1)</f>
        <v>6.0728236366858992</v>
      </c>
      <c r="K103" s="2">
        <f>INDEX(Data!S:S,MATCH(G103,Data!A:A,0),1)</f>
        <v>0</v>
      </c>
      <c r="L103" t="str">
        <f t="shared" si="1"/>
        <v>Combustion installations with a rated thermal input exceeding 20 MW_Manufacture of other plastic products</v>
      </c>
      <c r="M103">
        <f>INDEX(Data!AD:AD,MATCH($G103,Data!$A:$A,0),1)</f>
        <v>0.81200000000000017</v>
      </c>
      <c r="N103">
        <f>INDEX(Data!AE:AE,MATCH($G103,Data!$A:$A,0),1)</f>
        <v>0.73900000000000021</v>
      </c>
      <c r="O103">
        <f>INDEX(Data!AG:AG,MATCH($G103,Data!$A:$A,0),1)</f>
        <v>1.298319184889499</v>
      </c>
      <c r="P103">
        <f>INDEX(Data!AH:AH,MATCH($G103,Data!$A:$A,0),1)</f>
        <v>4.8395672422172114</v>
      </c>
      <c r="Q103">
        <f>IFERROR(IF(MATCH(B103,#REF!,0)&gt;0,1),0)</f>
        <v>0</v>
      </c>
    </row>
    <row r="104" spans="1:17" x14ac:dyDescent="0.2">
      <c r="A104" t="s">
        <v>11</v>
      </c>
      <c r="B104" t="s">
        <v>202</v>
      </c>
      <c r="C104" t="s">
        <v>198</v>
      </c>
      <c r="D104" t="s">
        <v>95</v>
      </c>
      <c r="E104" t="s">
        <v>95</v>
      </c>
      <c r="F104">
        <v>1</v>
      </c>
      <c r="G104" t="s">
        <v>335</v>
      </c>
      <c r="H104" s="2">
        <f>INDEX(Data!G:G,MATCH(G104,Data!A:A,0),1)</f>
        <v>0.49494039340491602</v>
      </c>
      <c r="I104" s="2">
        <f>INDEX(Data!J:J,MATCH(G104,Data!A:A,0),1)</f>
        <v>0.76276347235126118</v>
      </c>
      <c r="J104" s="2">
        <f>INDEX(Data!R:R,MATCH(G104,Data!A:A,0),1)</f>
        <v>6.0728236366858992</v>
      </c>
      <c r="K104" s="2">
        <f>INDEX(Data!S:S,MATCH(G104,Data!A:A,0),1)</f>
        <v>0</v>
      </c>
      <c r="L104" t="str">
        <f t="shared" si="1"/>
        <v>Combustion installations with a rated thermal input exceeding 20 MW_Manufacture of other rubber products</v>
      </c>
      <c r="M104">
        <f>INDEX(Data!AD:AD,MATCH($G104,Data!$A:$A,0),1)</f>
        <v>0.81200000000000017</v>
      </c>
      <c r="N104">
        <f>INDEX(Data!AE:AE,MATCH($G104,Data!$A:$A,0),1)</f>
        <v>0.73900000000000021</v>
      </c>
      <c r="O104">
        <f>INDEX(Data!AG:AG,MATCH($G104,Data!$A:$A,0),1)</f>
        <v>1.298319184889499</v>
      </c>
      <c r="P104">
        <f>INDEX(Data!AH:AH,MATCH($G104,Data!$A:$A,0),1)</f>
        <v>4.8395672422172114</v>
      </c>
      <c r="Q104">
        <f>IFERROR(IF(MATCH(B104,#REF!,0)&gt;0,1),0)</f>
        <v>0</v>
      </c>
    </row>
    <row r="105" spans="1:17" x14ac:dyDescent="0.2">
      <c r="A105" t="s">
        <v>11</v>
      </c>
      <c r="B105" t="s">
        <v>214</v>
      </c>
      <c r="C105" t="s">
        <v>198</v>
      </c>
      <c r="D105" t="s">
        <v>95</v>
      </c>
      <c r="E105" t="s">
        <v>95</v>
      </c>
      <c r="F105">
        <v>1</v>
      </c>
      <c r="G105" t="s">
        <v>335</v>
      </c>
      <c r="H105" s="2">
        <f>INDEX(Data!G:G,MATCH(G105,Data!A:A,0),1)</f>
        <v>0.49494039340491602</v>
      </c>
      <c r="I105" s="2">
        <f>INDEX(Data!J:J,MATCH(G105,Data!A:A,0),1)</f>
        <v>0.76276347235126118</v>
      </c>
      <c r="J105" s="2">
        <f>INDEX(Data!R:R,MATCH(G105,Data!A:A,0),1)</f>
        <v>6.0728236366858992</v>
      </c>
      <c r="K105" s="2">
        <f>INDEX(Data!S:S,MATCH(G105,Data!A:A,0),1)</f>
        <v>0</v>
      </c>
      <c r="L105" t="str">
        <f t="shared" si="1"/>
        <v>Combustion installations with a rated thermal input exceeding 20 MW_Manufacture of plastic packing goods</v>
      </c>
      <c r="M105">
        <f>INDEX(Data!AD:AD,MATCH($G105,Data!$A:$A,0),1)</f>
        <v>0.81200000000000017</v>
      </c>
      <c r="N105">
        <f>INDEX(Data!AE:AE,MATCH($G105,Data!$A:$A,0),1)</f>
        <v>0.73900000000000021</v>
      </c>
      <c r="O105">
        <f>INDEX(Data!AG:AG,MATCH($G105,Data!$A:$A,0),1)</f>
        <v>1.298319184889499</v>
      </c>
      <c r="P105">
        <f>INDEX(Data!AH:AH,MATCH($G105,Data!$A:$A,0),1)</f>
        <v>4.8395672422172114</v>
      </c>
      <c r="Q105">
        <f>IFERROR(IF(MATCH(B105,#REF!,0)&gt;0,1),0)</f>
        <v>0</v>
      </c>
    </row>
    <row r="106" spans="1:17" x14ac:dyDescent="0.2">
      <c r="A106" t="s">
        <v>11</v>
      </c>
      <c r="B106" t="s">
        <v>215</v>
      </c>
      <c r="C106" t="s">
        <v>198</v>
      </c>
      <c r="D106" t="s">
        <v>95</v>
      </c>
      <c r="E106" t="s">
        <v>95</v>
      </c>
      <c r="F106">
        <v>4</v>
      </c>
      <c r="G106" t="s">
        <v>335</v>
      </c>
      <c r="H106" s="2">
        <f>INDEX(Data!G:G,MATCH(G106,Data!A:A,0),1)</f>
        <v>0.49494039340491602</v>
      </c>
      <c r="I106" s="2">
        <f>INDEX(Data!J:J,MATCH(G106,Data!A:A,0),1)</f>
        <v>0.76276347235126118</v>
      </c>
      <c r="J106" s="2">
        <f>INDEX(Data!R:R,MATCH(G106,Data!A:A,0),1)</f>
        <v>6.0728236366858992</v>
      </c>
      <c r="K106" s="2">
        <f>INDEX(Data!S:S,MATCH(G106,Data!A:A,0),1)</f>
        <v>0</v>
      </c>
      <c r="L106" t="str">
        <f t="shared" si="1"/>
        <v>Combustion installations with a rated thermal input exceeding 20 MW_Manufacture of plastic plates, sheets, tubes and profiles</v>
      </c>
      <c r="M106">
        <f>INDEX(Data!AD:AD,MATCH($G106,Data!$A:$A,0),1)</f>
        <v>0.81200000000000017</v>
      </c>
      <c r="N106">
        <f>INDEX(Data!AE:AE,MATCH($G106,Data!$A:$A,0),1)</f>
        <v>0.73900000000000021</v>
      </c>
      <c r="O106">
        <f>INDEX(Data!AG:AG,MATCH($G106,Data!$A:$A,0),1)</f>
        <v>1.298319184889499</v>
      </c>
      <c r="P106">
        <f>INDEX(Data!AH:AH,MATCH($G106,Data!$A:$A,0),1)</f>
        <v>4.8395672422172114</v>
      </c>
      <c r="Q106">
        <f>IFERROR(IF(MATCH(B106,#REF!,0)&gt;0,1),0)</f>
        <v>0</v>
      </c>
    </row>
    <row r="107" spans="1:17" x14ac:dyDescent="0.2">
      <c r="A107" s="2" t="s">
        <v>11</v>
      </c>
      <c r="D107" t="s">
        <v>403</v>
      </c>
      <c r="E107" t="s">
        <v>15</v>
      </c>
      <c r="G107" t="s">
        <v>325</v>
      </c>
      <c r="H107" s="2">
        <f>INDEX(Data!G:G,MATCH(G107,Data!A:A,0),1)</f>
        <v>5.79E-2</v>
      </c>
      <c r="I107" s="2">
        <f>INDEX(Data!J:J,MATCH(G107,Data!A:A,0),1)</f>
        <v>4.2599999999999999E-2</v>
      </c>
      <c r="J107" s="2">
        <f>INDEX(Data!R:R,MATCH(G107,Data!A:A,0),1)</f>
        <v>1</v>
      </c>
      <c r="K107" s="2">
        <f>INDEX(Data!S:S,MATCH(G107,Data!A:A,0),1)</f>
        <v>0</v>
      </c>
      <c r="L107" t="str">
        <f t="shared" si="1"/>
        <v>Combustion installations with a rated thermal input exceeding 20 MW</v>
      </c>
      <c r="M107">
        <f>INDEX(Data!AD:AD,MATCH($G107,Data!$A:$A,0),1)</f>
        <v>0.78200000000000003</v>
      </c>
      <c r="N107">
        <f>INDEX(Data!AE:AE,MATCH($G107,Data!$A:$A,0),1)</f>
        <v>0.63500000000000001</v>
      </c>
      <c r="O107">
        <f>INDEX(Data!AG:AG,MATCH($G107,Data!$A:$A,0),1)</f>
        <v>1.1486856676492798</v>
      </c>
      <c r="P107">
        <f>INDEX(Data!AH:AH,MATCH($G107,Data!$A:$A,0),1)</f>
        <v>1.7068864766411047</v>
      </c>
      <c r="Q107">
        <f>IFERROR(IF(MATCH(B107,#REF!,0)&gt;0,1),0)</f>
        <v>0</v>
      </c>
    </row>
    <row r="108" spans="1:17" x14ac:dyDescent="0.2">
      <c r="A108" t="s">
        <v>10</v>
      </c>
      <c r="B108" t="s">
        <v>5</v>
      </c>
      <c r="C108" t="s">
        <v>6</v>
      </c>
      <c r="D108" t="s">
        <v>256</v>
      </c>
      <c r="E108" t="s">
        <v>7</v>
      </c>
      <c r="F108">
        <v>8</v>
      </c>
      <c r="G108" t="s">
        <v>324</v>
      </c>
      <c r="H108" s="2">
        <f>INDEX(Data!G:G,MATCH(G108,Data!A:A,0),1)</f>
        <v>1.641</v>
      </c>
      <c r="I108" s="2">
        <f>INDEX(Data!J:J,MATCH(G108,Data!A:A,0),1)</f>
        <v>1.464</v>
      </c>
      <c r="J108" s="2">
        <f>INDEX(Data!R:R,MATCH(G108,Data!A:A,0),1)</f>
        <v>12.024000000000001</v>
      </c>
      <c r="K108" s="2">
        <f>INDEX(Data!S:S,MATCH(G108,Data!A:A,0),1)</f>
        <v>0</v>
      </c>
      <c r="L108" t="str">
        <f t="shared" si="1"/>
        <v>Combustion of fuels_Aluminium production</v>
      </c>
      <c r="M108">
        <f>INDEX(Data!AD:AD,MATCH($G108,Data!$A:$A,0),1)</f>
        <v>0.80400000000000005</v>
      </c>
      <c r="N108">
        <f>INDEX(Data!AE:AE,MATCH($G108,Data!$A:$A,0),1)</f>
        <v>0.85799999999999998</v>
      </c>
      <c r="O108">
        <f>INDEX(Data!AG:AG,MATCH($G108,Data!$A:$A,0),1)</f>
        <v>1.3517721377141791</v>
      </c>
      <c r="P108">
        <f>INDEX(Data!AH:AH,MATCH($G108,Data!$A:$A,0),1)</f>
        <v>3.1982577724511621</v>
      </c>
      <c r="Q108">
        <f>IFERROR(IF(MATCH(B108,#REF!,0)&gt;0,1),0)</f>
        <v>0</v>
      </c>
    </row>
    <row r="109" spans="1:17" x14ac:dyDescent="0.2">
      <c r="A109" t="s">
        <v>10</v>
      </c>
      <c r="B109" t="s">
        <v>105</v>
      </c>
      <c r="C109" t="s">
        <v>81</v>
      </c>
      <c r="D109" t="s">
        <v>409</v>
      </c>
      <c r="E109" t="s">
        <v>106</v>
      </c>
      <c r="F109">
        <v>1</v>
      </c>
      <c r="G109" t="s">
        <v>327</v>
      </c>
      <c r="H109" s="2">
        <f>INDEX(Data!G:G,MATCH(G109,Data!A:A,0),1)</f>
        <v>0.81745070728588098</v>
      </c>
      <c r="I109" s="2">
        <f>INDEX(Data!J:J,MATCH(G109,Data!A:A,0),1)</f>
        <v>0.6991394038416423</v>
      </c>
      <c r="J109" s="2">
        <f>INDEX(Data!R:R,MATCH(G109,Data!A:A,0),1)</f>
        <v>4.3200000000000021</v>
      </c>
      <c r="K109" s="2">
        <f>INDEX(Data!S:S,MATCH(G109,Data!A:A,0),1)</f>
        <v>0</v>
      </c>
      <c r="L109" t="str">
        <f t="shared" si="1"/>
        <v>Combustion of fuels_Manufacture of cement</v>
      </c>
      <c r="M109">
        <f>INDEX(Data!AD:AD,MATCH($G109,Data!$A:$A,0),1)</f>
        <v>0.6</v>
      </c>
      <c r="N109">
        <f>INDEX(Data!AE:AE,MATCH($G109,Data!$A:$A,0),1)</f>
        <v>0.59799999999999998</v>
      </c>
      <c r="O109">
        <f>INDEX(Data!AG:AG,MATCH($G109,Data!$A:$A,0),1)</f>
        <v>1.7474276218071669</v>
      </c>
      <c r="P109">
        <f>INDEX(Data!AH:AH,MATCH($G109,Data!$A:$A,0),1)</f>
        <v>11.543912994239886</v>
      </c>
      <c r="Q109">
        <f>IFERROR(IF(MATCH(B109,#REF!,0)&gt;0,1),0)</f>
        <v>0</v>
      </c>
    </row>
    <row r="110" spans="1:17" x14ac:dyDescent="0.2">
      <c r="A110" t="s">
        <v>10</v>
      </c>
      <c r="B110" t="s">
        <v>119</v>
      </c>
      <c r="C110" t="s">
        <v>81</v>
      </c>
      <c r="D110" t="s">
        <v>409</v>
      </c>
      <c r="E110" t="s">
        <v>106</v>
      </c>
      <c r="F110">
        <v>2</v>
      </c>
      <c r="G110" t="s">
        <v>327</v>
      </c>
      <c r="H110" s="2">
        <f>INDEX(Data!G:G,MATCH(G110,Data!A:A,0),1)</f>
        <v>0.81745070728588098</v>
      </c>
      <c r="I110" s="2">
        <f>INDEX(Data!J:J,MATCH(G110,Data!A:A,0),1)</f>
        <v>0.6991394038416423</v>
      </c>
      <c r="J110" s="2">
        <f>INDEX(Data!R:R,MATCH(G110,Data!A:A,0),1)</f>
        <v>4.3200000000000021</v>
      </c>
      <c r="K110" s="2">
        <f>INDEX(Data!S:S,MATCH(G110,Data!A:A,0),1)</f>
        <v>0</v>
      </c>
      <c r="L110" t="str">
        <f t="shared" si="1"/>
        <v>Combustion of fuels_Manufacture of concrete products for construction purposes</v>
      </c>
      <c r="M110">
        <f>INDEX(Data!AD:AD,MATCH($G110,Data!$A:$A,0),1)</f>
        <v>0.6</v>
      </c>
      <c r="N110">
        <f>INDEX(Data!AE:AE,MATCH($G110,Data!$A:$A,0),1)</f>
        <v>0.59799999999999998</v>
      </c>
      <c r="O110">
        <f>INDEX(Data!AG:AG,MATCH($G110,Data!$A:$A,0),1)</f>
        <v>1.7474276218071669</v>
      </c>
      <c r="P110">
        <f>INDEX(Data!AH:AH,MATCH($G110,Data!$A:$A,0),1)</f>
        <v>11.543912994239886</v>
      </c>
      <c r="Q110">
        <f>IFERROR(IF(MATCH(B110,#REF!,0)&gt;0,1),0)</f>
        <v>0</v>
      </c>
    </row>
    <row r="111" spans="1:17" x14ac:dyDescent="0.2">
      <c r="A111" t="s">
        <v>10</v>
      </c>
      <c r="B111" t="s">
        <v>137</v>
      </c>
      <c r="C111" t="s">
        <v>81</v>
      </c>
      <c r="D111" t="s">
        <v>409</v>
      </c>
      <c r="E111" t="s">
        <v>106</v>
      </c>
      <c r="F111">
        <v>2</v>
      </c>
      <c r="G111" t="s">
        <v>327</v>
      </c>
      <c r="H111" s="2">
        <f>INDEX(Data!G:G,MATCH(G111,Data!A:A,0),1)</f>
        <v>0.81745070728588098</v>
      </c>
      <c r="I111" s="2">
        <f>INDEX(Data!J:J,MATCH(G111,Data!A:A,0),1)</f>
        <v>0.6991394038416423</v>
      </c>
      <c r="J111" s="2">
        <f>INDEX(Data!R:R,MATCH(G111,Data!A:A,0),1)</f>
        <v>4.3200000000000021</v>
      </c>
      <c r="K111" s="2">
        <f>INDEX(Data!S:S,MATCH(G111,Data!A:A,0),1)</f>
        <v>0</v>
      </c>
      <c r="L111" t="str">
        <f t="shared" si="1"/>
        <v>Combustion of fuels_Manufacture of fibre cement</v>
      </c>
      <c r="M111">
        <f>INDEX(Data!AD:AD,MATCH($G111,Data!$A:$A,0),1)</f>
        <v>0.6</v>
      </c>
      <c r="N111">
        <f>INDEX(Data!AE:AE,MATCH($G111,Data!$A:$A,0),1)</f>
        <v>0.59799999999999998</v>
      </c>
      <c r="O111">
        <f>INDEX(Data!AG:AG,MATCH($G111,Data!$A:$A,0),1)</f>
        <v>1.7474276218071669</v>
      </c>
      <c r="P111">
        <f>INDEX(Data!AH:AH,MATCH($G111,Data!$A:$A,0),1)</f>
        <v>11.543912994239886</v>
      </c>
      <c r="Q111">
        <f>IFERROR(IF(MATCH(B111,#REF!,0)&gt;0,1),0)</f>
        <v>0</v>
      </c>
    </row>
    <row r="112" spans="1:17" x14ac:dyDescent="0.2">
      <c r="A112" t="s">
        <v>10</v>
      </c>
      <c r="B112" t="s">
        <v>100</v>
      </c>
      <c r="C112" t="s">
        <v>81</v>
      </c>
      <c r="D112" t="s">
        <v>409</v>
      </c>
      <c r="E112" t="s">
        <v>101</v>
      </c>
      <c r="F112">
        <v>2</v>
      </c>
      <c r="G112" t="s">
        <v>326</v>
      </c>
      <c r="H112" s="2">
        <f>INDEX(Data!G:G,MATCH(G112,Data!A:A,0),1)</f>
        <v>0.12876363322314929</v>
      </c>
      <c r="I112" s="2">
        <f>INDEX(Data!J:J,MATCH(G112,Data!A:A,0),1)</f>
        <v>9.509036148184509E-2</v>
      </c>
      <c r="J112" s="2">
        <f>INDEX(Data!R:R,MATCH(G112,Data!A:A,0),1)</f>
        <v>3.0746807959647584</v>
      </c>
      <c r="K112" s="2">
        <f>INDEX(Data!S:S,MATCH(G112,Data!A:A,0),1)</f>
        <v>0</v>
      </c>
      <c r="L112" t="str">
        <f t="shared" si="1"/>
        <v>Combustion of fuels_Manufacture of bricks, tiles and construction products, in baked clay</v>
      </c>
      <c r="M112">
        <f>INDEX(Data!AD:AD,MATCH($G112,Data!$A:$A,0),1)</f>
        <v>0.6</v>
      </c>
      <c r="N112">
        <f>INDEX(Data!AE:AE,MATCH($G112,Data!$A:$A,0),1)</f>
        <v>0.59799999999999998</v>
      </c>
      <c r="O112">
        <f>INDEX(Data!AG:AG,MATCH($G112,Data!$A:$A,0),1)</f>
        <v>1.1022133959071165</v>
      </c>
      <c r="P112">
        <f>INDEX(Data!AH:AH,MATCH($G112,Data!$A:$A,0),1)</f>
        <v>1.455542145135519</v>
      </c>
      <c r="Q112">
        <f>IFERROR(IF(MATCH(B112,#REF!,0)&gt;0,1),0)</f>
        <v>0</v>
      </c>
    </row>
    <row r="113" spans="1:17" x14ac:dyDescent="0.2">
      <c r="A113" t="s">
        <v>10</v>
      </c>
      <c r="B113" t="s">
        <v>109</v>
      </c>
      <c r="C113" t="s">
        <v>81</v>
      </c>
      <c r="D113" t="s">
        <v>409</v>
      </c>
      <c r="E113" t="s">
        <v>101</v>
      </c>
      <c r="F113">
        <v>1</v>
      </c>
      <c r="G113" t="s">
        <v>326</v>
      </c>
      <c r="H113" s="2">
        <f>INDEX(Data!G:G,MATCH(G113,Data!A:A,0),1)</f>
        <v>0.12876363322314929</v>
      </c>
      <c r="I113" s="2">
        <f>INDEX(Data!J:J,MATCH(G113,Data!A:A,0),1)</f>
        <v>9.509036148184509E-2</v>
      </c>
      <c r="J113" s="2">
        <f>INDEX(Data!R:R,MATCH(G113,Data!A:A,0),1)</f>
        <v>3.0746807959647584</v>
      </c>
      <c r="K113" s="2">
        <f>INDEX(Data!S:S,MATCH(G113,Data!A:A,0),1)</f>
        <v>0</v>
      </c>
      <c r="L113" t="str">
        <f t="shared" si="1"/>
        <v>Combustion of fuels_Manufacture of ceramic insulators and insulating fittings</v>
      </c>
      <c r="M113">
        <f>INDEX(Data!AD:AD,MATCH($G113,Data!$A:$A,0),1)</f>
        <v>0.6</v>
      </c>
      <c r="N113">
        <f>INDEX(Data!AE:AE,MATCH($G113,Data!$A:$A,0),1)</f>
        <v>0.59799999999999998</v>
      </c>
      <c r="O113">
        <f>INDEX(Data!AG:AG,MATCH($G113,Data!$A:$A,0),1)</f>
        <v>1.1022133959071165</v>
      </c>
      <c r="P113">
        <f>INDEX(Data!AH:AH,MATCH($G113,Data!$A:$A,0),1)</f>
        <v>1.455542145135519</v>
      </c>
      <c r="Q113">
        <f>IFERROR(IF(MATCH(B113,#REF!,0)&gt;0,1),0)</f>
        <v>0</v>
      </c>
    </row>
    <row r="114" spans="1:17" x14ac:dyDescent="0.2">
      <c r="A114" t="s">
        <v>10</v>
      </c>
      <c r="B114" t="s">
        <v>110</v>
      </c>
      <c r="C114" t="s">
        <v>81</v>
      </c>
      <c r="D114" t="s">
        <v>409</v>
      </c>
      <c r="E114" t="s">
        <v>101</v>
      </c>
      <c r="F114">
        <v>1</v>
      </c>
      <c r="G114" t="s">
        <v>326</v>
      </c>
      <c r="H114" s="2">
        <f>INDEX(Data!G:G,MATCH(G114,Data!A:A,0),1)</f>
        <v>0.12876363322314929</v>
      </c>
      <c r="I114" s="2">
        <f>INDEX(Data!J:J,MATCH(G114,Data!A:A,0),1)</f>
        <v>9.509036148184509E-2</v>
      </c>
      <c r="J114" s="2">
        <f>INDEX(Data!R:R,MATCH(G114,Data!A:A,0),1)</f>
        <v>3.0746807959647584</v>
      </c>
      <c r="K114" s="2">
        <f>INDEX(Data!S:S,MATCH(G114,Data!A:A,0),1)</f>
        <v>0</v>
      </c>
      <c r="L114" t="str">
        <f t="shared" si="1"/>
        <v>Combustion of fuels_Manufacture of ceramic sanitary fixtures</v>
      </c>
      <c r="M114">
        <f>INDEX(Data!AD:AD,MATCH($G114,Data!$A:$A,0),1)</f>
        <v>0.6</v>
      </c>
      <c r="N114">
        <f>INDEX(Data!AE:AE,MATCH($G114,Data!$A:$A,0),1)</f>
        <v>0.59799999999999998</v>
      </c>
      <c r="O114">
        <f>INDEX(Data!AG:AG,MATCH($G114,Data!$A:$A,0),1)</f>
        <v>1.1022133959071165</v>
      </c>
      <c r="P114">
        <f>INDEX(Data!AH:AH,MATCH($G114,Data!$A:$A,0),1)</f>
        <v>1.455542145135519</v>
      </c>
      <c r="Q114">
        <f>IFERROR(IF(MATCH(B114,#REF!,0)&gt;0,1),0)</f>
        <v>0</v>
      </c>
    </row>
    <row r="115" spans="1:17" x14ac:dyDescent="0.2">
      <c r="A115" t="s">
        <v>10</v>
      </c>
      <c r="B115" t="s">
        <v>111</v>
      </c>
      <c r="C115" t="s">
        <v>81</v>
      </c>
      <c r="D115" t="s">
        <v>409</v>
      </c>
      <c r="E115" t="s">
        <v>101</v>
      </c>
      <c r="F115">
        <v>2</v>
      </c>
      <c r="G115" t="s">
        <v>326</v>
      </c>
      <c r="H115" s="2">
        <f>INDEX(Data!G:G,MATCH(G115,Data!A:A,0),1)</f>
        <v>0.12876363322314929</v>
      </c>
      <c r="I115" s="2">
        <f>INDEX(Data!J:J,MATCH(G115,Data!A:A,0),1)</f>
        <v>9.509036148184509E-2</v>
      </c>
      <c r="J115" s="2">
        <f>INDEX(Data!R:R,MATCH(G115,Data!A:A,0),1)</f>
        <v>3.0746807959647584</v>
      </c>
      <c r="K115" s="2">
        <f>INDEX(Data!S:S,MATCH(G115,Data!A:A,0),1)</f>
        <v>0</v>
      </c>
      <c r="L115" t="str">
        <f t="shared" si="1"/>
        <v>Combustion of fuels_Manufacture of ceramic tiles and flags</v>
      </c>
      <c r="M115">
        <f>INDEX(Data!AD:AD,MATCH($G115,Data!$A:$A,0),1)</f>
        <v>0.6</v>
      </c>
      <c r="N115">
        <f>INDEX(Data!AE:AE,MATCH($G115,Data!$A:$A,0),1)</f>
        <v>0.59799999999999998</v>
      </c>
      <c r="O115">
        <f>INDEX(Data!AG:AG,MATCH($G115,Data!$A:$A,0),1)</f>
        <v>1.1022133959071165</v>
      </c>
      <c r="P115">
        <f>INDEX(Data!AH:AH,MATCH($G115,Data!$A:$A,0),1)</f>
        <v>1.455542145135519</v>
      </c>
      <c r="Q115">
        <f>IFERROR(IF(MATCH(B115,#REF!,0)&gt;0,1),0)</f>
        <v>0</v>
      </c>
    </row>
    <row r="116" spans="1:17" x14ac:dyDescent="0.2">
      <c r="A116" t="s">
        <v>10</v>
      </c>
      <c r="B116" t="s">
        <v>93</v>
      </c>
      <c r="C116" t="s">
        <v>94</v>
      </c>
      <c r="D116" t="s">
        <v>95</v>
      </c>
      <c r="E116" t="s">
        <v>94</v>
      </c>
      <c r="F116">
        <v>23</v>
      </c>
      <c r="G116" t="s">
        <v>338</v>
      </c>
      <c r="H116" s="2">
        <f>INDEX(Data!G:G,MATCH(G116,Data!A:A,0),1)</f>
        <v>1.1838611017829463</v>
      </c>
      <c r="I116" s="2">
        <f>INDEX(Data!J:J,MATCH(G116,Data!A:A,0),1)</f>
        <v>1.0013516184567537</v>
      </c>
      <c r="J116" s="2">
        <f>INDEX(Data!R:R,MATCH(G116,Data!A:A,0),1)</f>
        <v>2.6802340811720051</v>
      </c>
      <c r="K116" s="2">
        <f>INDEX(Data!S:S,MATCH(G116,Data!A:A,0),1)</f>
        <v>27.108503329226927</v>
      </c>
      <c r="L116" t="str">
        <f t="shared" si="1"/>
        <v>Combustion of fuels_Manufacture of basic pharmaceutical products</v>
      </c>
      <c r="M116">
        <f>INDEX(Data!AD:AD,MATCH($G116,Data!$A:$A,0),1)</f>
        <v>0.81199999999999994</v>
      </c>
      <c r="N116">
        <f>INDEX(Data!AE:AE,MATCH($G116,Data!$A:$A,0),1)</f>
        <v>0.73899999999999999</v>
      </c>
      <c r="O116">
        <f>INDEX(Data!AG:AG,MATCH($G116,Data!$A:$A,0),1)</f>
        <v>1.3265650001686902</v>
      </c>
      <c r="P116">
        <f>INDEX(Data!AH:AH,MATCH($G116,Data!$A:$A,0),1)</f>
        <v>6.8406134516345016</v>
      </c>
      <c r="Q116">
        <f>IFERROR(IF(MATCH(B116,#REF!,0)&gt;0,1),0)</f>
        <v>0</v>
      </c>
    </row>
    <row r="117" spans="1:17" x14ac:dyDescent="0.2">
      <c r="A117" t="s">
        <v>10</v>
      </c>
      <c r="B117" t="s">
        <v>125</v>
      </c>
      <c r="C117" t="s">
        <v>95</v>
      </c>
      <c r="D117" t="s">
        <v>95</v>
      </c>
      <c r="E117" t="s">
        <v>95</v>
      </c>
      <c r="F117">
        <v>10</v>
      </c>
      <c r="G117" t="s">
        <v>338</v>
      </c>
      <c r="H117" s="2">
        <f>INDEX(Data!G:G,MATCH(G117,Data!A:A,0),1)</f>
        <v>1.1838611017829463</v>
      </c>
      <c r="I117" s="2">
        <f>INDEX(Data!J:J,MATCH(G117,Data!A:A,0),1)</f>
        <v>1.0013516184567537</v>
      </c>
      <c r="J117" s="2">
        <f>INDEX(Data!R:R,MATCH(G117,Data!A:A,0),1)</f>
        <v>2.6802340811720051</v>
      </c>
      <c r="K117" s="2">
        <f>INDEX(Data!S:S,MATCH(G117,Data!A:A,0),1)</f>
        <v>27.108503329226927</v>
      </c>
      <c r="L117" t="str">
        <f t="shared" si="1"/>
        <v>Combustion of fuels_Manufacture of dyes and pigments</v>
      </c>
      <c r="M117">
        <f>INDEX(Data!AD:AD,MATCH($G117,Data!$A:$A,0),1)</f>
        <v>0.81199999999999994</v>
      </c>
      <c r="N117">
        <f>INDEX(Data!AE:AE,MATCH($G117,Data!$A:$A,0),1)</f>
        <v>0.73899999999999999</v>
      </c>
      <c r="O117">
        <f>INDEX(Data!AG:AG,MATCH($G117,Data!$A:$A,0),1)</f>
        <v>1.3265650001686902</v>
      </c>
      <c r="P117">
        <f>INDEX(Data!AH:AH,MATCH($G117,Data!$A:$A,0),1)</f>
        <v>6.8406134516345016</v>
      </c>
      <c r="Q117">
        <f>IFERROR(IF(MATCH(B117,#REF!,0)&gt;0,1),0)</f>
        <v>0</v>
      </c>
    </row>
    <row r="118" spans="1:17" x14ac:dyDescent="0.2">
      <c r="A118" t="s">
        <v>10</v>
      </c>
      <c r="B118" t="s">
        <v>133</v>
      </c>
      <c r="C118" t="s">
        <v>95</v>
      </c>
      <c r="D118" t="s">
        <v>95</v>
      </c>
      <c r="E118" t="s">
        <v>95</v>
      </c>
      <c r="F118">
        <v>1</v>
      </c>
      <c r="G118" t="s">
        <v>338</v>
      </c>
      <c r="H118" s="2">
        <f>INDEX(Data!G:G,MATCH(G118,Data!A:A,0),1)</f>
        <v>1.1838611017829463</v>
      </c>
      <c r="I118" s="2">
        <f>INDEX(Data!J:J,MATCH(G118,Data!A:A,0),1)</f>
        <v>1.0013516184567537</v>
      </c>
      <c r="J118" s="2">
        <f>INDEX(Data!R:R,MATCH(G118,Data!A:A,0),1)</f>
        <v>2.6802340811720051</v>
      </c>
      <c r="K118" s="2">
        <f>INDEX(Data!S:S,MATCH(G118,Data!A:A,0),1)</f>
        <v>27.108503329226927</v>
      </c>
      <c r="L118" t="str">
        <f t="shared" si="1"/>
        <v>Combustion of fuels_Manufacture of explosives</v>
      </c>
      <c r="M118">
        <f>INDEX(Data!AD:AD,MATCH($G118,Data!$A:$A,0),1)</f>
        <v>0.81199999999999994</v>
      </c>
      <c r="N118">
        <f>INDEX(Data!AE:AE,MATCH($G118,Data!$A:$A,0),1)</f>
        <v>0.73899999999999999</v>
      </c>
      <c r="O118">
        <f>INDEX(Data!AG:AG,MATCH($G118,Data!$A:$A,0),1)</f>
        <v>1.3265650001686902</v>
      </c>
      <c r="P118">
        <f>INDEX(Data!AH:AH,MATCH($G118,Data!$A:$A,0),1)</f>
        <v>6.8406134516345016</v>
      </c>
      <c r="Q118">
        <f>IFERROR(IF(MATCH(B118,#REF!,0)&gt;0,1),0)</f>
        <v>0</v>
      </c>
    </row>
    <row r="119" spans="1:17" x14ac:dyDescent="0.2">
      <c r="A119" t="s">
        <v>10</v>
      </c>
      <c r="B119" t="s">
        <v>134</v>
      </c>
      <c r="C119" t="s">
        <v>95</v>
      </c>
      <c r="D119" t="s">
        <v>95</v>
      </c>
      <c r="E119" t="s">
        <v>95</v>
      </c>
      <c r="F119">
        <v>29</v>
      </c>
      <c r="G119" t="s">
        <v>343</v>
      </c>
      <c r="H119" s="2">
        <f>INDEX(Data!G:G,MATCH(G119,Data!A:A,0),1)</f>
        <v>1.7186343172225256</v>
      </c>
      <c r="I119" s="2">
        <f>INDEX(Data!J:J,MATCH(G119,Data!A:A,0),1)</f>
        <v>1.3535743777501814</v>
      </c>
      <c r="J119" s="2">
        <f>INDEX(Data!R:R,MATCH(G119,Data!A:A,0),1)</f>
        <v>0</v>
      </c>
      <c r="K119" s="2">
        <f>INDEX(Data!S:S,MATCH(G119,Data!A:A,0),1)</f>
        <v>12.596122450268965</v>
      </c>
      <c r="L119" t="str">
        <f t="shared" si="1"/>
        <v>Combustion of fuels_Manufacture of fertilisers and nitrogen compounds</v>
      </c>
      <c r="M119">
        <f>INDEX(Data!AD:AD,MATCH($G119,Data!$A:$A,0),1)</f>
        <v>0.81200000000000017</v>
      </c>
      <c r="N119">
        <f>INDEX(Data!AE:AE,MATCH($G119,Data!$A:$A,0),1)</f>
        <v>0.7390000000000001</v>
      </c>
      <c r="O119">
        <f>INDEX(Data!AG:AG,MATCH($G119,Data!$A:$A,0),1)</f>
        <v>1.3999902829084085</v>
      </c>
      <c r="P119">
        <f>INDEX(Data!AH:AH,MATCH($G119,Data!$A:$A,0),1)</f>
        <v>3.5899569454976663</v>
      </c>
      <c r="Q119">
        <f>IFERROR(IF(MATCH(B119,#REF!,0)&gt;0,1),0)</f>
        <v>0</v>
      </c>
    </row>
    <row r="120" spans="1:17" x14ac:dyDescent="0.2">
      <c r="A120" t="s">
        <v>10</v>
      </c>
      <c r="B120" t="s">
        <v>144</v>
      </c>
      <c r="C120" t="s">
        <v>95</v>
      </c>
      <c r="D120" t="s">
        <v>95</v>
      </c>
      <c r="E120" t="s">
        <v>95</v>
      </c>
      <c r="F120">
        <v>2</v>
      </c>
      <c r="G120" t="s">
        <v>348</v>
      </c>
      <c r="H120" s="2">
        <f>INDEX(Data!G:G,MATCH(G120,Data!A:A,0),1)</f>
        <v>0.7451576638020061</v>
      </c>
      <c r="I120" s="2">
        <f>INDEX(Data!J:J,MATCH(G120,Data!A:A,0),1)</f>
        <v>0.6864801988122935</v>
      </c>
      <c r="J120" s="2">
        <f>INDEX(Data!R:R,MATCH(G120,Data!A:A,0),1)</f>
        <v>2.1991404818942466</v>
      </c>
      <c r="K120" s="2">
        <f>INDEX(Data!S:S,MATCH(G120,Data!A:A,0),1)</f>
        <v>40.412685922642247</v>
      </c>
      <c r="L120" t="str">
        <f t="shared" si="1"/>
        <v>Combustion of fuels_Manufacture of glues</v>
      </c>
      <c r="M120">
        <f>INDEX(Data!AD:AD,MATCH($G120,Data!$A:$A,0),1)</f>
        <v>0.81200000000000028</v>
      </c>
      <c r="N120">
        <f>INDEX(Data!AE:AE,MATCH($G120,Data!$A:$A,0),1)</f>
        <v>0.73899999999999988</v>
      </c>
      <c r="O120">
        <f>INDEX(Data!AG:AG,MATCH($G120,Data!$A:$A,0),1)</f>
        <v>1.303636940513492</v>
      </c>
      <c r="P120">
        <f>INDEX(Data!AH:AH,MATCH($G120,Data!$A:$A,0),1)</f>
        <v>9.6821078775000036</v>
      </c>
      <c r="Q120">
        <f>IFERROR(IF(MATCH(B120,#REF!,0)&gt;0,1),0)</f>
        <v>0</v>
      </c>
    </row>
    <row r="121" spans="1:17" x14ac:dyDescent="0.2">
      <c r="A121" t="s">
        <v>10</v>
      </c>
      <c r="B121" t="s">
        <v>152</v>
      </c>
      <c r="C121" t="s">
        <v>95</v>
      </c>
      <c r="D121" t="s">
        <v>95</v>
      </c>
      <c r="E121" t="s">
        <v>95</v>
      </c>
      <c r="F121">
        <v>3</v>
      </c>
      <c r="G121" t="s">
        <v>339</v>
      </c>
      <c r="H121" s="2">
        <f>INDEX(Data!G:G,MATCH(G121,Data!A:A,0),1)</f>
        <v>8.4591606470324017</v>
      </c>
      <c r="I121" s="2">
        <f>INDEX(Data!J:J,MATCH(G121,Data!A:A,0),1)</f>
        <v>6.4483962143983575</v>
      </c>
      <c r="J121" s="2">
        <f>INDEX(Data!R:R,MATCH(G121,Data!A:A,0),1)</f>
        <v>0</v>
      </c>
      <c r="K121" s="2">
        <f>INDEX(Data!S:S,MATCH(G121,Data!A:A,0),1)</f>
        <v>120.04801920768308</v>
      </c>
      <c r="L121" t="str">
        <f t="shared" si="1"/>
        <v>Combustion of fuels_Manufacture of industrial gases</v>
      </c>
      <c r="M121">
        <f>INDEX(Data!AD:AD,MATCH($G121,Data!$A:$A,0),1)</f>
        <v>0.81200000000000017</v>
      </c>
      <c r="N121">
        <f>INDEX(Data!AE:AE,MATCH($G121,Data!$A:$A,0),1)</f>
        <v>0.7390000000000001</v>
      </c>
      <c r="O121">
        <f>INDEX(Data!AG:AG,MATCH($G121,Data!$A:$A,0),1)</f>
        <v>1.2983191848894988</v>
      </c>
      <c r="P121">
        <f>INDEX(Data!AH:AH,MATCH($G121,Data!$A:$A,0),1)</f>
        <v>4.8395672422172114</v>
      </c>
      <c r="Q121">
        <f>IFERROR(IF(MATCH(B121,#REF!,0)&gt;0,1),0)</f>
        <v>0</v>
      </c>
    </row>
    <row r="122" spans="1:17" x14ac:dyDescent="0.2">
      <c r="A122" t="s">
        <v>10</v>
      </c>
      <c r="B122" t="s">
        <v>162</v>
      </c>
      <c r="C122" t="s">
        <v>95</v>
      </c>
      <c r="D122" t="s">
        <v>95</v>
      </c>
      <c r="E122" t="s">
        <v>95</v>
      </c>
      <c r="F122">
        <v>7</v>
      </c>
      <c r="G122" t="s">
        <v>335</v>
      </c>
      <c r="H122" s="2">
        <f>INDEX(Data!G:G,MATCH(G122,Data!A:A,0),1)</f>
        <v>0.49494039340491602</v>
      </c>
      <c r="I122" s="2">
        <f>INDEX(Data!J:J,MATCH(G122,Data!A:A,0),1)</f>
        <v>0.76276347235126118</v>
      </c>
      <c r="J122" s="2">
        <f>INDEX(Data!R:R,MATCH(G122,Data!A:A,0),1)</f>
        <v>6.0728236366858992</v>
      </c>
      <c r="K122" s="2">
        <f>INDEX(Data!S:S,MATCH(G122,Data!A:A,0),1)</f>
        <v>0</v>
      </c>
      <c r="L122" t="str">
        <f t="shared" si="1"/>
        <v>Combustion of fuels_Manufacture of man-made fibres</v>
      </c>
      <c r="M122">
        <f>INDEX(Data!AD:AD,MATCH($G122,Data!$A:$A,0),1)</f>
        <v>0.81200000000000017</v>
      </c>
      <c r="N122">
        <f>INDEX(Data!AE:AE,MATCH($G122,Data!$A:$A,0),1)</f>
        <v>0.73900000000000021</v>
      </c>
      <c r="O122">
        <f>INDEX(Data!AG:AG,MATCH($G122,Data!$A:$A,0),1)</f>
        <v>1.298319184889499</v>
      </c>
      <c r="P122">
        <f>INDEX(Data!AH:AH,MATCH($G122,Data!$A:$A,0),1)</f>
        <v>4.8395672422172114</v>
      </c>
      <c r="Q122">
        <f>IFERROR(IF(MATCH(B122,#REF!,0)&gt;0,1),0)</f>
        <v>0</v>
      </c>
    </row>
    <row r="123" spans="1:17" x14ac:dyDescent="0.2">
      <c r="A123" t="s">
        <v>10</v>
      </c>
      <c r="B123" t="s">
        <v>177</v>
      </c>
      <c r="C123" t="s">
        <v>95</v>
      </c>
      <c r="D123" t="s">
        <v>95</v>
      </c>
      <c r="E123" t="s">
        <v>95</v>
      </c>
      <c r="F123">
        <v>28</v>
      </c>
      <c r="G123" t="s">
        <v>338</v>
      </c>
      <c r="H123" s="2">
        <f>INDEX(Data!G:G,MATCH(G123,Data!A:A,0),1)</f>
        <v>1.1838611017829463</v>
      </c>
      <c r="I123" s="2">
        <f>INDEX(Data!J:J,MATCH(G123,Data!A:A,0),1)</f>
        <v>1.0013516184567537</v>
      </c>
      <c r="J123" s="2">
        <f>INDEX(Data!R:R,MATCH(G123,Data!A:A,0),1)</f>
        <v>2.6802340811720051</v>
      </c>
      <c r="K123" s="2">
        <f>INDEX(Data!S:S,MATCH(G123,Data!A:A,0),1)</f>
        <v>27.108503329226927</v>
      </c>
      <c r="L123" t="str">
        <f t="shared" si="1"/>
        <v>Combustion of fuels_Manufacture of other chemical products n.e.c.</v>
      </c>
      <c r="M123">
        <f>INDEX(Data!AD:AD,MATCH($G123,Data!$A:$A,0),1)</f>
        <v>0.81199999999999994</v>
      </c>
      <c r="N123">
        <f>INDEX(Data!AE:AE,MATCH($G123,Data!$A:$A,0),1)</f>
        <v>0.73899999999999999</v>
      </c>
      <c r="O123">
        <f>INDEX(Data!AG:AG,MATCH($G123,Data!$A:$A,0),1)</f>
        <v>1.3265650001686902</v>
      </c>
      <c r="P123">
        <f>INDEX(Data!AH:AH,MATCH($G123,Data!$A:$A,0),1)</f>
        <v>6.8406134516345016</v>
      </c>
      <c r="Q123">
        <f>IFERROR(IF(MATCH(B123,#REF!,0)&gt;0,1),0)</f>
        <v>0</v>
      </c>
    </row>
    <row r="124" spans="1:17" x14ac:dyDescent="0.2">
      <c r="A124" t="s">
        <v>10</v>
      </c>
      <c r="B124" t="s">
        <v>185</v>
      </c>
      <c r="C124" t="s">
        <v>95</v>
      </c>
      <c r="D124" t="s">
        <v>95</v>
      </c>
      <c r="E124" t="s">
        <v>95</v>
      </c>
      <c r="F124">
        <v>38</v>
      </c>
      <c r="G124" t="s">
        <v>349</v>
      </c>
      <c r="H124" s="2">
        <f>INDEX(Data!G:G,MATCH(G124,Data!A:A,0),1)</f>
        <v>1.5967631163208207</v>
      </c>
      <c r="I124" s="2">
        <f>INDEX(Data!J:J,MATCH(G124,Data!A:A,0),1)</f>
        <v>1.2656396050839946</v>
      </c>
      <c r="J124" s="2">
        <f>INDEX(Data!R:R,MATCH(G124,Data!A:A,0),1)</f>
        <v>3.2911730425008185</v>
      </c>
      <c r="K124" s="2">
        <f>INDEX(Data!S:S,MATCH(G124,Data!A:A,0),1)</f>
        <v>10.213571642020407</v>
      </c>
      <c r="L124" t="str">
        <f t="shared" si="1"/>
        <v>Combustion of fuels_Manufacture of other inorganic basic chemicals</v>
      </c>
      <c r="M124">
        <f>INDEX(Data!AD:AD,MATCH($G124,Data!$A:$A,0),1)</f>
        <v>0.81200000000000028</v>
      </c>
      <c r="N124">
        <f>INDEX(Data!AE:AE,MATCH($G124,Data!$A:$A,0),1)</f>
        <v>0.73899999999999999</v>
      </c>
      <c r="O124">
        <f>INDEX(Data!AG:AG,MATCH($G124,Data!$A:$A,0),1)</f>
        <v>1.3556812573212713</v>
      </c>
      <c r="P124">
        <f>INDEX(Data!AH:AH,MATCH($G124,Data!$A:$A,0),1)</f>
        <v>3.2322103139373444</v>
      </c>
      <c r="Q124">
        <f>IFERROR(IF(MATCH(B124,#REF!,0)&gt;0,1),0)</f>
        <v>0</v>
      </c>
    </row>
    <row r="125" spans="1:17" x14ac:dyDescent="0.2">
      <c r="A125" t="s">
        <v>10</v>
      </c>
      <c r="B125" t="s">
        <v>191</v>
      </c>
      <c r="C125" t="s">
        <v>95</v>
      </c>
      <c r="D125" t="s">
        <v>95</v>
      </c>
      <c r="E125" t="s">
        <v>95</v>
      </c>
      <c r="F125">
        <v>94</v>
      </c>
      <c r="G125" t="s">
        <v>348</v>
      </c>
      <c r="H125" s="2">
        <f>INDEX(Data!G:G,MATCH(G125,Data!A:A,0),1)</f>
        <v>0.7451576638020061</v>
      </c>
      <c r="I125" s="2">
        <f>INDEX(Data!J:J,MATCH(G125,Data!A:A,0),1)</f>
        <v>0.6864801988122935</v>
      </c>
      <c r="J125" s="2">
        <f>INDEX(Data!R:R,MATCH(G125,Data!A:A,0),1)</f>
        <v>2.1991404818942466</v>
      </c>
      <c r="K125" s="2">
        <f>INDEX(Data!S:S,MATCH(G125,Data!A:A,0),1)</f>
        <v>40.412685922642247</v>
      </c>
      <c r="L125" t="str">
        <f t="shared" si="1"/>
        <v>Combustion of fuels_Manufacture of other organic basic chemicals</v>
      </c>
      <c r="M125">
        <f>INDEX(Data!AD:AD,MATCH($G125,Data!$A:$A,0),1)</f>
        <v>0.81200000000000028</v>
      </c>
      <c r="N125">
        <f>INDEX(Data!AE:AE,MATCH($G125,Data!$A:$A,0),1)</f>
        <v>0.73899999999999988</v>
      </c>
      <c r="O125">
        <f>INDEX(Data!AG:AG,MATCH($G125,Data!$A:$A,0),1)</f>
        <v>1.303636940513492</v>
      </c>
      <c r="P125">
        <f>INDEX(Data!AH:AH,MATCH($G125,Data!$A:$A,0),1)</f>
        <v>9.6821078775000036</v>
      </c>
      <c r="Q125">
        <f>IFERROR(IF(MATCH(B125,#REF!,0)&gt;0,1),0)</f>
        <v>0</v>
      </c>
    </row>
    <row r="126" spans="1:17" x14ac:dyDescent="0.2">
      <c r="A126" t="s">
        <v>10</v>
      </c>
      <c r="B126" t="s">
        <v>209</v>
      </c>
      <c r="C126" t="s">
        <v>95</v>
      </c>
      <c r="D126" t="s">
        <v>95</v>
      </c>
      <c r="E126" t="s">
        <v>95</v>
      </c>
      <c r="F126">
        <v>1</v>
      </c>
      <c r="G126" t="s">
        <v>348</v>
      </c>
      <c r="H126" s="2">
        <f>INDEX(Data!G:G,MATCH(G126,Data!A:A,0),1)</f>
        <v>0.7451576638020061</v>
      </c>
      <c r="I126" s="2">
        <f>INDEX(Data!J:J,MATCH(G126,Data!A:A,0),1)</f>
        <v>0.6864801988122935</v>
      </c>
      <c r="J126" s="2">
        <f>INDEX(Data!R:R,MATCH(G126,Data!A:A,0),1)</f>
        <v>2.1991404818942466</v>
      </c>
      <c r="K126" s="2">
        <f>INDEX(Data!S:S,MATCH(G126,Data!A:A,0),1)</f>
        <v>40.412685922642247</v>
      </c>
      <c r="L126" t="str">
        <f t="shared" si="1"/>
        <v>Combustion of fuels_Manufacture of perfumes and toilet preparations</v>
      </c>
      <c r="M126">
        <f>INDEX(Data!AD:AD,MATCH($G126,Data!$A:$A,0),1)</f>
        <v>0.81200000000000028</v>
      </c>
      <c r="N126">
        <f>INDEX(Data!AE:AE,MATCH($G126,Data!$A:$A,0),1)</f>
        <v>0.73899999999999988</v>
      </c>
      <c r="O126">
        <f>INDEX(Data!AG:AG,MATCH($G126,Data!$A:$A,0),1)</f>
        <v>1.303636940513492</v>
      </c>
      <c r="P126">
        <f>INDEX(Data!AH:AH,MATCH($G126,Data!$A:$A,0),1)</f>
        <v>9.6821078775000036</v>
      </c>
      <c r="Q126">
        <f>IFERROR(IF(MATCH(B126,#REF!,0)&gt;0,1),0)</f>
        <v>0</v>
      </c>
    </row>
    <row r="127" spans="1:17" x14ac:dyDescent="0.2">
      <c r="A127" t="s">
        <v>10</v>
      </c>
      <c r="B127" t="s">
        <v>210</v>
      </c>
      <c r="C127" t="s">
        <v>95</v>
      </c>
      <c r="D127" t="s">
        <v>95</v>
      </c>
      <c r="E127" t="s">
        <v>95</v>
      </c>
      <c r="F127">
        <v>2</v>
      </c>
      <c r="G127" t="s">
        <v>343</v>
      </c>
      <c r="H127" s="2">
        <f>INDEX(Data!G:G,MATCH(G127,Data!A:A,0),1)</f>
        <v>1.7186343172225256</v>
      </c>
      <c r="I127" s="2">
        <f>INDEX(Data!J:J,MATCH(G127,Data!A:A,0),1)</f>
        <v>1.3535743777501814</v>
      </c>
      <c r="J127" s="2">
        <f>INDEX(Data!R:R,MATCH(G127,Data!A:A,0),1)</f>
        <v>0</v>
      </c>
      <c r="K127" s="2">
        <f>INDEX(Data!S:S,MATCH(G127,Data!A:A,0),1)</f>
        <v>12.596122450268965</v>
      </c>
      <c r="L127" t="str">
        <f t="shared" si="1"/>
        <v>Combustion of fuels_Manufacture of pesticides and other agrochemical products</v>
      </c>
      <c r="M127">
        <f>INDEX(Data!AD:AD,MATCH($G127,Data!$A:$A,0),1)</f>
        <v>0.81200000000000017</v>
      </c>
      <c r="N127">
        <f>INDEX(Data!AE:AE,MATCH($G127,Data!$A:$A,0),1)</f>
        <v>0.7390000000000001</v>
      </c>
      <c r="O127">
        <f>INDEX(Data!AG:AG,MATCH($G127,Data!$A:$A,0),1)</f>
        <v>1.3999902829084085</v>
      </c>
      <c r="P127">
        <f>INDEX(Data!AH:AH,MATCH($G127,Data!$A:$A,0),1)</f>
        <v>3.5899569454976663</v>
      </c>
      <c r="Q127">
        <f>IFERROR(IF(MATCH(B127,#REF!,0)&gt;0,1),0)</f>
        <v>0</v>
      </c>
    </row>
    <row r="128" spans="1:17" x14ac:dyDescent="0.2">
      <c r="A128" t="s">
        <v>10</v>
      </c>
      <c r="B128" t="s">
        <v>216</v>
      </c>
      <c r="C128" t="s">
        <v>95</v>
      </c>
      <c r="D128" t="s">
        <v>95</v>
      </c>
      <c r="E128" t="s">
        <v>95</v>
      </c>
      <c r="F128">
        <v>24</v>
      </c>
      <c r="G128" t="s">
        <v>335</v>
      </c>
      <c r="H128" s="2">
        <f>INDEX(Data!G:G,MATCH(G128,Data!A:A,0),1)</f>
        <v>0.49494039340491602</v>
      </c>
      <c r="I128" s="2">
        <f>INDEX(Data!J:J,MATCH(G128,Data!A:A,0),1)</f>
        <v>0.76276347235126118</v>
      </c>
      <c r="J128" s="2">
        <f>INDEX(Data!R:R,MATCH(G128,Data!A:A,0),1)</f>
        <v>6.0728236366858992</v>
      </c>
      <c r="K128" s="2">
        <f>INDEX(Data!S:S,MATCH(G128,Data!A:A,0),1)</f>
        <v>0</v>
      </c>
      <c r="L128" t="str">
        <f t="shared" si="1"/>
        <v>Combustion of fuels_Manufacture of plastics in primary forms</v>
      </c>
      <c r="M128">
        <f>INDEX(Data!AD:AD,MATCH($G128,Data!$A:$A,0),1)</f>
        <v>0.81200000000000017</v>
      </c>
      <c r="N128">
        <f>INDEX(Data!AE:AE,MATCH($G128,Data!$A:$A,0),1)</f>
        <v>0.73900000000000021</v>
      </c>
      <c r="O128">
        <f>INDEX(Data!AG:AG,MATCH($G128,Data!$A:$A,0),1)</f>
        <v>1.298319184889499</v>
      </c>
      <c r="P128">
        <f>INDEX(Data!AH:AH,MATCH($G128,Data!$A:$A,0),1)</f>
        <v>4.8395672422172114</v>
      </c>
      <c r="Q128">
        <f>IFERROR(IF(MATCH(B128,#REF!,0)&gt;0,1),0)</f>
        <v>0</v>
      </c>
    </row>
    <row r="129" spans="1:17" x14ac:dyDescent="0.2">
      <c r="A129" t="s">
        <v>10</v>
      </c>
      <c r="B129" t="s">
        <v>228</v>
      </c>
      <c r="C129" t="s">
        <v>95</v>
      </c>
      <c r="D129" t="s">
        <v>95</v>
      </c>
      <c r="E129" t="s">
        <v>95</v>
      </c>
      <c r="F129">
        <v>3</v>
      </c>
      <c r="G129" t="s">
        <v>338</v>
      </c>
      <c r="H129" s="2">
        <f>INDEX(Data!G:G,MATCH(G129,Data!A:A,0),1)</f>
        <v>1.1838611017829463</v>
      </c>
      <c r="I129" s="2">
        <f>INDEX(Data!J:J,MATCH(G129,Data!A:A,0),1)</f>
        <v>1.0013516184567537</v>
      </c>
      <c r="J129" s="2">
        <f>INDEX(Data!R:R,MATCH(G129,Data!A:A,0),1)</f>
        <v>2.6802340811720051</v>
      </c>
      <c r="K129" s="2">
        <f>INDEX(Data!S:S,MATCH(G129,Data!A:A,0),1)</f>
        <v>27.108503329226927</v>
      </c>
      <c r="L129" t="str">
        <f t="shared" si="1"/>
        <v>Combustion of fuels_Manufacture of soap and detergents, cleaning and polishing preparations</v>
      </c>
      <c r="M129">
        <f>INDEX(Data!AD:AD,MATCH($G129,Data!$A:$A,0),1)</f>
        <v>0.81199999999999994</v>
      </c>
      <c r="N129">
        <f>INDEX(Data!AE:AE,MATCH($G129,Data!$A:$A,0),1)</f>
        <v>0.73899999999999999</v>
      </c>
      <c r="O129">
        <f>INDEX(Data!AG:AG,MATCH($G129,Data!$A:$A,0),1)</f>
        <v>1.3265650001686902</v>
      </c>
      <c r="P129">
        <f>INDEX(Data!AH:AH,MATCH($G129,Data!$A:$A,0),1)</f>
        <v>6.8406134516345016</v>
      </c>
      <c r="Q129">
        <f>IFERROR(IF(MATCH(B129,#REF!,0)&gt;0,1),0)</f>
        <v>0</v>
      </c>
    </row>
    <row r="130" spans="1:17" x14ac:dyDescent="0.2">
      <c r="A130" t="s">
        <v>10</v>
      </c>
      <c r="B130" t="s">
        <v>231</v>
      </c>
      <c r="C130" t="s">
        <v>95</v>
      </c>
      <c r="D130" t="s">
        <v>95</v>
      </c>
      <c r="E130" t="s">
        <v>95</v>
      </c>
      <c r="F130">
        <v>4</v>
      </c>
      <c r="G130" t="s">
        <v>335</v>
      </c>
      <c r="H130" s="2">
        <f>INDEX(Data!G:G,MATCH(G130,Data!A:A,0),1)</f>
        <v>0.49494039340491602</v>
      </c>
      <c r="I130" s="2">
        <f>INDEX(Data!J:J,MATCH(G130,Data!A:A,0),1)</f>
        <v>0.76276347235126118</v>
      </c>
      <c r="J130" s="2">
        <f>INDEX(Data!R:R,MATCH(G130,Data!A:A,0),1)</f>
        <v>6.0728236366858992</v>
      </c>
      <c r="K130" s="2">
        <f>INDEX(Data!S:S,MATCH(G130,Data!A:A,0),1)</f>
        <v>0</v>
      </c>
      <c r="L130" t="str">
        <f t="shared" ref="L130:L193" si="2">IF(B130="",A130,A130&amp;"_"&amp;B130)</f>
        <v>Combustion of fuels_Manufacture of synthetic rubber in primary forms</v>
      </c>
      <c r="M130">
        <f>INDEX(Data!AD:AD,MATCH($G130,Data!$A:$A,0),1)</f>
        <v>0.81200000000000017</v>
      </c>
      <c r="N130">
        <f>INDEX(Data!AE:AE,MATCH($G130,Data!$A:$A,0),1)</f>
        <v>0.73900000000000021</v>
      </c>
      <c r="O130">
        <f>INDEX(Data!AG:AG,MATCH($G130,Data!$A:$A,0),1)</f>
        <v>1.298319184889499</v>
      </c>
      <c r="P130">
        <f>INDEX(Data!AH:AH,MATCH($G130,Data!$A:$A,0),1)</f>
        <v>4.8395672422172114</v>
      </c>
      <c r="Q130">
        <f>IFERROR(IF(MATCH(B130,#REF!,0)&gt;0,1),0)</f>
        <v>0</v>
      </c>
    </row>
    <row r="131" spans="1:17" x14ac:dyDescent="0.2">
      <c r="A131" t="s">
        <v>10</v>
      </c>
      <c r="B131" t="s">
        <v>114</v>
      </c>
      <c r="C131" t="s">
        <v>115</v>
      </c>
      <c r="D131" t="s">
        <v>224</v>
      </c>
      <c r="E131" t="s">
        <v>116</v>
      </c>
      <c r="F131">
        <v>2</v>
      </c>
      <c r="G131" t="s">
        <v>116</v>
      </c>
      <c r="H131" s="2">
        <f>INDEX(Data!G:G,MATCH(G131,Data!A:A,0),1)</f>
        <v>0.28199999999999997</v>
      </c>
      <c r="I131" s="2">
        <f>INDEX(Data!J:J,MATCH(G131,Data!A:A,0),1)</f>
        <v>0.217</v>
      </c>
      <c r="J131" s="2">
        <f>INDEX(Data!R:R,MATCH(G131,Data!A:A,0),1)</f>
        <v>0</v>
      </c>
      <c r="K131" s="2">
        <f>INDEX(Data!S:S,MATCH(G131,Data!A:A,0),1)</f>
        <v>0</v>
      </c>
      <c r="L131" t="str">
        <f t="shared" si="2"/>
        <v>Combustion of fuels_Manufacture of coke oven products</v>
      </c>
      <c r="M131">
        <f>INDEX(Data!AD:AD,MATCH($G131,Data!$A:$A,0),1)</f>
        <v>0.72599999999999998</v>
      </c>
      <c r="N131">
        <f>INDEX(Data!AE:AE,MATCH($G131,Data!$A:$A,0),1)</f>
        <v>0.30499999999999999</v>
      </c>
      <c r="O131">
        <f>INDEX(Data!AG:AG,MATCH($G131,Data!$A:$A,0),1)</f>
        <v>0.63412830119313213</v>
      </c>
      <c r="P131">
        <f>INDEX(Data!AH:AH,MATCH($G131,Data!$A:$A,0),1)</f>
        <v>8.240093553846331E-2</v>
      </c>
      <c r="Q131">
        <f>IFERROR(IF(MATCH(B131,#REF!,0)&gt;0,1),0)</f>
        <v>0</v>
      </c>
    </row>
    <row r="132" spans="1:17" x14ac:dyDescent="0.2">
      <c r="A132" t="s">
        <v>10</v>
      </c>
      <c r="B132" t="s">
        <v>29</v>
      </c>
      <c r="C132" t="s">
        <v>6</v>
      </c>
      <c r="D132" t="s">
        <v>256</v>
      </c>
      <c r="E132" t="s">
        <v>30</v>
      </c>
      <c r="F132">
        <v>3</v>
      </c>
      <c r="G132" t="s">
        <v>422</v>
      </c>
      <c r="H132" s="2">
        <f>INDEX(Data!G:G,MATCH(G132,Data!A:A,0),1)</f>
        <v>1.4</v>
      </c>
      <c r="I132" s="2">
        <f>INDEX(Data!J:J,MATCH(G132,Data!A:A,0),1)</f>
        <v>1.4</v>
      </c>
      <c r="J132" s="2">
        <f>INDEX(Data!R:R,MATCH(G132,Data!A:A,0),1)</f>
        <v>8.0280000000000005</v>
      </c>
      <c r="K132" s="2">
        <f>INDEX(Data!S:S,MATCH(G132,Data!A:A,0),1)</f>
        <v>0</v>
      </c>
      <c r="L132" t="str">
        <f t="shared" si="2"/>
        <v>Combustion of fuels_Copper production</v>
      </c>
      <c r="M132">
        <f>INDEX(Data!AD:AD,MATCH($G132,Data!$A:$A,0),1)</f>
        <v>0.80400000000000005</v>
      </c>
      <c r="N132">
        <f>INDEX(Data!AE:AE,MATCH($G132,Data!$A:$A,0),1)</f>
        <v>0.85799999999999998</v>
      </c>
      <c r="O132">
        <f>INDEX(Data!AG:AG,MATCH($G132,Data!$A:$A,0),1)</f>
        <v>1</v>
      </c>
      <c r="P132">
        <f>INDEX(Data!AH:AH,MATCH($G132,Data!$A:$A,0),1)</f>
        <v>1</v>
      </c>
      <c r="Q132">
        <f>IFERROR(IF(MATCH(B132,#REF!,0)&gt;0,1),0)</f>
        <v>0</v>
      </c>
    </row>
    <row r="133" spans="1:17" x14ac:dyDescent="0.2">
      <c r="A133" t="s">
        <v>10</v>
      </c>
      <c r="B133" t="s">
        <v>53</v>
      </c>
      <c r="C133" t="s">
        <v>54</v>
      </c>
      <c r="D133" t="s">
        <v>403</v>
      </c>
      <c r="E133" t="s">
        <v>55</v>
      </c>
      <c r="F133">
        <v>55</v>
      </c>
      <c r="G133" t="s">
        <v>325</v>
      </c>
      <c r="H133" s="2">
        <f>INDEX(Data!G:G,MATCH(G133,Data!A:A,0),1)</f>
        <v>5.79E-2</v>
      </c>
      <c r="I133" s="2">
        <f>INDEX(Data!J:J,MATCH(G133,Data!A:A,0),1)</f>
        <v>4.2599999999999999E-2</v>
      </c>
      <c r="J133" s="2">
        <f>INDEX(Data!R:R,MATCH(G133,Data!A:A,0),1)</f>
        <v>1</v>
      </c>
      <c r="K133" s="2">
        <f>INDEX(Data!S:S,MATCH(G133,Data!A:A,0),1)</f>
        <v>0</v>
      </c>
      <c r="L133" t="str">
        <f t="shared" si="2"/>
        <v>Combustion of fuels_Extraction of crude petroleum</v>
      </c>
      <c r="M133">
        <f>INDEX(Data!AD:AD,MATCH($G133,Data!$A:$A,0),1)</f>
        <v>0.78200000000000003</v>
      </c>
      <c r="N133">
        <f>INDEX(Data!AE:AE,MATCH($G133,Data!$A:$A,0),1)</f>
        <v>0.63500000000000001</v>
      </c>
      <c r="O133">
        <f>INDEX(Data!AG:AG,MATCH($G133,Data!$A:$A,0),1)</f>
        <v>1.1486856676492798</v>
      </c>
      <c r="P133">
        <f>INDEX(Data!AH:AH,MATCH($G133,Data!$A:$A,0),1)</f>
        <v>1.7068864766411047</v>
      </c>
      <c r="Q133">
        <f>IFERROR(IF(MATCH(B133,#REF!,0)&gt;0,1),0)</f>
        <v>0</v>
      </c>
    </row>
    <row r="134" spans="1:17" x14ac:dyDescent="0.2">
      <c r="A134" t="s">
        <v>10</v>
      </c>
      <c r="B134" t="s">
        <v>56</v>
      </c>
      <c r="C134" t="s">
        <v>54</v>
      </c>
      <c r="D134" t="s">
        <v>403</v>
      </c>
      <c r="E134" t="s">
        <v>55</v>
      </c>
      <c r="F134">
        <v>50</v>
      </c>
      <c r="G134" t="s">
        <v>325</v>
      </c>
      <c r="H134" s="2">
        <f>INDEX(Data!G:G,MATCH(G134,Data!A:A,0),1)</f>
        <v>5.79E-2</v>
      </c>
      <c r="I134" s="2">
        <f>INDEX(Data!J:J,MATCH(G134,Data!A:A,0),1)</f>
        <v>4.2599999999999999E-2</v>
      </c>
      <c r="J134" s="2">
        <f>INDEX(Data!R:R,MATCH(G134,Data!A:A,0),1)</f>
        <v>1</v>
      </c>
      <c r="K134" s="2">
        <f>INDEX(Data!S:S,MATCH(G134,Data!A:A,0),1)</f>
        <v>0</v>
      </c>
      <c r="L134" t="str">
        <f t="shared" si="2"/>
        <v>Combustion of fuels_Extraction of natural gas</v>
      </c>
      <c r="M134">
        <f>INDEX(Data!AD:AD,MATCH($G134,Data!$A:$A,0),1)</f>
        <v>0.78200000000000003</v>
      </c>
      <c r="N134">
        <f>INDEX(Data!AE:AE,MATCH($G134,Data!$A:$A,0),1)</f>
        <v>0.63500000000000001</v>
      </c>
      <c r="O134">
        <f>INDEX(Data!AG:AG,MATCH($G134,Data!$A:$A,0),1)</f>
        <v>1.1486856676492798</v>
      </c>
      <c r="P134">
        <f>INDEX(Data!AH:AH,MATCH($G134,Data!$A:$A,0),1)</f>
        <v>1.7068864766411047</v>
      </c>
      <c r="Q134">
        <f>IFERROR(IF(MATCH(B134,#REF!,0)&gt;0,1),0)</f>
        <v>0</v>
      </c>
    </row>
    <row r="135" spans="1:17" x14ac:dyDescent="0.2">
      <c r="A135" t="s">
        <v>10</v>
      </c>
      <c r="B135" t="s">
        <v>303</v>
      </c>
      <c r="C135" t="s">
        <v>304</v>
      </c>
      <c r="D135" t="s">
        <v>403</v>
      </c>
      <c r="E135" t="s">
        <v>55</v>
      </c>
      <c r="F135">
        <v>6</v>
      </c>
      <c r="G135" t="s">
        <v>325</v>
      </c>
      <c r="H135" s="2">
        <f>INDEX(Data!G:G,MATCH(G135,Data!A:A,0),1)</f>
        <v>5.79E-2</v>
      </c>
      <c r="I135" s="2">
        <f>INDEX(Data!J:J,MATCH(G135,Data!A:A,0),1)</f>
        <v>4.2599999999999999E-2</v>
      </c>
      <c r="J135" s="2">
        <f>INDEX(Data!R:R,MATCH(G135,Data!A:A,0),1)</f>
        <v>1</v>
      </c>
      <c r="K135" s="2">
        <f>INDEX(Data!S:S,MATCH(G135,Data!A:A,0),1)</f>
        <v>0</v>
      </c>
      <c r="L135" t="str">
        <f t="shared" si="2"/>
        <v>Combustion of fuels_Support activities for petroleum and natural gas extraction</v>
      </c>
      <c r="M135">
        <f>INDEX(Data!AD:AD,MATCH($G135,Data!$A:$A,0),1)</f>
        <v>0.78200000000000003</v>
      </c>
      <c r="N135">
        <f>INDEX(Data!AE:AE,MATCH($G135,Data!$A:$A,0),1)</f>
        <v>0.63500000000000001</v>
      </c>
      <c r="O135">
        <f>INDEX(Data!AG:AG,MATCH($G135,Data!$A:$A,0),1)</f>
        <v>1.1486856676492798</v>
      </c>
      <c r="P135">
        <f>INDEX(Data!AH:AH,MATCH($G135,Data!$A:$A,0),1)</f>
        <v>1.7068864766411047</v>
      </c>
      <c r="Q135">
        <f>IFERROR(IF(MATCH(B135,#REF!,0)&gt;0,1),0)</f>
        <v>0</v>
      </c>
    </row>
    <row r="136" spans="1:17" x14ac:dyDescent="0.2">
      <c r="A136" t="s">
        <v>10</v>
      </c>
      <c r="B136" t="s">
        <v>26</v>
      </c>
      <c r="C136" t="s">
        <v>6</v>
      </c>
      <c r="D136" t="s">
        <v>237</v>
      </c>
      <c r="E136" t="s">
        <v>237</v>
      </c>
      <c r="F136">
        <v>1</v>
      </c>
      <c r="G136" s="2" t="s">
        <v>446</v>
      </c>
      <c r="H136" s="2">
        <f>INDEX(Data!G:G,MATCH(G136,Data!A:A,0),1)</f>
        <v>0.28693460797283676</v>
      </c>
      <c r="I136" s="2">
        <f>INDEX(Data!J:J,MATCH(G136,Data!A:A,0),1)</f>
        <v>0.24234523094630439</v>
      </c>
      <c r="J136" s="2">
        <f>INDEX(Data!R:R,MATCH(G136,Data!A:A,0),1)</f>
        <v>2.4768000000000003</v>
      </c>
      <c r="K136" s="2">
        <f>INDEX(Data!S:S,MATCH(G136,Data!A:A,0),1)</f>
        <v>0</v>
      </c>
      <c r="L136" t="str">
        <f t="shared" si="2"/>
        <v>Combustion of fuels_Cold rolling of narrow strip</v>
      </c>
      <c r="M136">
        <f>INDEX(Data!AD:AD,MATCH($G136,Data!$A:$A,0),1)</f>
        <v>0.48099999999999998</v>
      </c>
      <c r="N136">
        <f>INDEX(Data!AE:AE,MATCH($G136,Data!$A:$A,0),1)</f>
        <v>0.41199999999999998</v>
      </c>
      <c r="O136">
        <f>INDEX(Data!AG:AG,MATCH($G136,Data!$A:$A,0),1)</f>
        <v>1.2895889249131132</v>
      </c>
      <c r="P136">
        <f>INDEX(Data!AH:AH,MATCH($G136,Data!$A:$A,0),1)</f>
        <v>0.59422748497442568</v>
      </c>
      <c r="Q136">
        <f>IFERROR(IF(MATCH(B136,#REF!,0)&gt;0,1),0)</f>
        <v>0</v>
      </c>
    </row>
    <row r="137" spans="1:17" x14ac:dyDescent="0.2">
      <c r="A137" t="s">
        <v>10</v>
      </c>
      <c r="B137" t="s">
        <v>64</v>
      </c>
      <c r="C137" t="s">
        <v>65</v>
      </c>
      <c r="D137" t="s">
        <v>237</v>
      </c>
      <c r="E137" t="s">
        <v>237</v>
      </c>
      <c r="F137">
        <v>4</v>
      </c>
      <c r="G137" s="2" t="s">
        <v>446</v>
      </c>
      <c r="H137" s="2">
        <f>INDEX(Data!G:G,MATCH(G137,Data!A:A,0),1)</f>
        <v>0.28693460797283676</v>
      </c>
      <c r="I137" s="2">
        <f>INDEX(Data!J:J,MATCH(G137,Data!A:A,0),1)</f>
        <v>0.24234523094630439</v>
      </c>
      <c r="J137" s="2">
        <f>INDEX(Data!R:R,MATCH(G137,Data!A:A,0),1)</f>
        <v>2.4768000000000003</v>
      </c>
      <c r="K137" s="2">
        <f>INDEX(Data!S:S,MATCH(G137,Data!A:A,0),1)</f>
        <v>0</v>
      </c>
      <c r="L137" t="str">
        <f t="shared" si="2"/>
        <v>Combustion of fuels_Forging, pressing, stamping and roll-forming of metal</v>
      </c>
      <c r="M137">
        <f>INDEX(Data!AD:AD,MATCH($G137,Data!$A:$A,0),1)</f>
        <v>0.48099999999999998</v>
      </c>
      <c r="N137">
        <f>INDEX(Data!AE:AE,MATCH($G137,Data!$A:$A,0),1)</f>
        <v>0.41199999999999998</v>
      </c>
      <c r="O137">
        <f>INDEX(Data!AG:AG,MATCH($G137,Data!$A:$A,0),1)</f>
        <v>1.2895889249131132</v>
      </c>
      <c r="P137">
        <f>INDEX(Data!AH:AH,MATCH($G137,Data!$A:$A,0),1)</f>
        <v>0.59422748497442568</v>
      </c>
      <c r="Q137">
        <f>IFERROR(IF(MATCH(B137,#REF!,0)&gt;0,1),0)</f>
        <v>0</v>
      </c>
    </row>
    <row r="138" spans="1:17" x14ac:dyDescent="0.2">
      <c r="A138" t="s">
        <v>10</v>
      </c>
      <c r="B138" t="s">
        <v>313</v>
      </c>
      <c r="C138" t="s">
        <v>65</v>
      </c>
      <c r="D138" t="s">
        <v>237</v>
      </c>
      <c r="E138" t="s">
        <v>237</v>
      </c>
      <c r="F138">
        <v>1</v>
      </c>
      <c r="G138" s="2" t="s">
        <v>446</v>
      </c>
      <c r="H138" s="2">
        <f>INDEX(Data!G:G,MATCH(G138,Data!A:A,0),1)</f>
        <v>0.28693460797283676</v>
      </c>
      <c r="I138" s="2">
        <f>INDEX(Data!J:J,MATCH(G138,Data!A:A,0),1)</f>
        <v>0.24234523094630439</v>
      </c>
      <c r="J138" s="2">
        <f>INDEX(Data!R:R,MATCH(G138,Data!A:A,0),1)</f>
        <v>2.4768000000000003</v>
      </c>
      <c r="K138" s="2">
        <f>INDEX(Data!S:S,MATCH(G138,Data!A:A,0),1)</f>
        <v>0</v>
      </c>
      <c r="L138" t="str">
        <f t="shared" si="2"/>
        <v>Combustion of fuels_Treatment and coating of metals</v>
      </c>
      <c r="M138">
        <f>INDEX(Data!AD:AD,MATCH($G138,Data!$A:$A,0),1)</f>
        <v>0.48099999999999998</v>
      </c>
      <c r="N138">
        <f>INDEX(Data!AE:AE,MATCH($G138,Data!$A:$A,0),1)</f>
        <v>0.41199999999999998</v>
      </c>
      <c r="O138">
        <f>INDEX(Data!AG:AG,MATCH($G138,Data!$A:$A,0),1)</f>
        <v>1.2895889249131132</v>
      </c>
      <c r="P138">
        <f>INDEX(Data!AH:AH,MATCH($G138,Data!$A:$A,0),1)</f>
        <v>0.59422748497442568</v>
      </c>
      <c r="Q138">
        <f>IFERROR(IF(MATCH(B138,#REF!,0)&gt;0,1),0)</f>
        <v>0</v>
      </c>
    </row>
    <row r="139" spans="1:17" x14ac:dyDescent="0.2">
      <c r="A139" t="s">
        <v>10</v>
      </c>
      <c r="B139" t="s">
        <v>146</v>
      </c>
      <c r="C139" t="s">
        <v>81</v>
      </c>
      <c r="D139" t="s">
        <v>409</v>
      </c>
      <c r="E139" t="s">
        <v>82</v>
      </c>
      <c r="F139">
        <v>1</v>
      </c>
      <c r="G139" t="s">
        <v>351</v>
      </c>
      <c r="H139" s="2">
        <f>INDEX(Data!G:G,MATCH(G139,Data!A:A,0),1)</f>
        <v>0.44693420519106453</v>
      </c>
      <c r="I139" s="2">
        <f>INDEX(Data!J:J,MATCH(G139,Data!A:A,0),1)</f>
        <v>0.32449753999236403</v>
      </c>
      <c r="J139" s="2">
        <f>INDEX(Data!R:R,MATCH(G139,Data!A:A,0),1)</f>
        <v>8.3851770965800991</v>
      </c>
      <c r="K139" s="2">
        <f>INDEX(Data!S:S,MATCH(G139,Data!A:A,0),1)</f>
        <v>0</v>
      </c>
      <c r="L139" t="str">
        <f t="shared" si="2"/>
        <v>Combustion of fuels_Manufacture of hollow glass</v>
      </c>
      <c r="M139">
        <f>INDEX(Data!AD:AD,MATCH($G139,Data!$A:$A,0),1)</f>
        <v>0.6</v>
      </c>
      <c r="N139">
        <f>INDEX(Data!AE:AE,MATCH($G139,Data!$A:$A,0),1)</f>
        <v>0.59799999999999998</v>
      </c>
      <c r="O139">
        <f>INDEX(Data!AG:AG,MATCH($G139,Data!$A:$A,0),1)</f>
        <v>1.1805916207174112</v>
      </c>
      <c r="P139">
        <f>INDEX(Data!AH:AH,MATCH($G139,Data!$A:$A,0),1)</f>
        <v>1.6217124671972132</v>
      </c>
      <c r="Q139">
        <f>IFERROR(IF(MATCH(B139,#REF!,0)&gt;0,1),0)</f>
        <v>0</v>
      </c>
    </row>
    <row r="140" spans="1:17" x14ac:dyDescent="0.2">
      <c r="A140" t="s">
        <v>10</v>
      </c>
      <c r="B140" t="s">
        <v>207</v>
      </c>
      <c r="C140" t="s">
        <v>95</v>
      </c>
      <c r="D140" t="s">
        <v>409</v>
      </c>
      <c r="E140" t="s">
        <v>82</v>
      </c>
      <c r="F140">
        <v>3</v>
      </c>
      <c r="G140" t="s">
        <v>351</v>
      </c>
      <c r="H140" s="2">
        <f>INDEX(Data!G:G,MATCH(G140,Data!A:A,0),1)</f>
        <v>0.44693420519106453</v>
      </c>
      <c r="I140" s="2">
        <f>INDEX(Data!J:J,MATCH(G140,Data!A:A,0),1)</f>
        <v>0.32449753999236403</v>
      </c>
      <c r="J140" s="2">
        <f>INDEX(Data!R:R,MATCH(G140,Data!A:A,0),1)</f>
        <v>8.3851770965800991</v>
      </c>
      <c r="K140" s="2">
        <f>INDEX(Data!S:S,MATCH(G140,Data!A:A,0),1)</f>
        <v>0</v>
      </c>
      <c r="L140" t="str">
        <f t="shared" si="2"/>
        <v>Combustion of fuels_Manufacture of paints, varnishes and similar coatings, printing ink and mastics</v>
      </c>
      <c r="M140">
        <f>INDEX(Data!AD:AD,MATCH($G140,Data!$A:$A,0),1)</f>
        <v>0.6</v>
      </c>
      <c r="N140">
        <f>INDEX(Data!AE:AE,MATCH($G140,Data!$A:$A,0),1)</f>
        <v>0.59799999999999998</v>
      </c>
      <c r="O140">
        <f>INDEX(Data!AG:AG,MATCH($G140,Data!$A:$A,0),1)</f>
        <v>1.1805916207174112</v>
      </c>
      <c r="P140">
        <f>INDEX(Data!AH:AH,MATCH($G140,Data!$A:$A,0),1)</f>
        <v>1.6217124671972132</v>
      </c>
      <c r="Q140">
        <f>IFERROR(IF(MATCH(B140,#REF!,0)&gt;0,1),0)</f>
        <v>0</v>
      </c>
    </row>
    <row r="141" spans="1:17" x14ac:dyDescent="0.2">
      <c r="A141" t="s">
        <v>10</v>
      </c>
      <c r="B141" t="s">
        <v>141</v>
      </c>
      <c r="C141" t="s">
        <v>81</v>
      </c>
      <c r="D141" t="s">
        <v>409</v>
      </c>
      <c r="E141" t="s">
        <v>142</v>
      </c>
      <c r="F141">
        <v>2</v>
      </c>
      <c r="G141" t="s">
        <v>350</v>
      </c>
      <c r="H141" s="2">
        <f>INDEX(Data!G:G,MATCH(G141,Data!A:A,0),1)</f>
        <v>0.73925352948672385</v>
      </c>
      <c r="I141" s="2">
        <f>INDEX(Data!J:J,MATCH(G141,Data!A:A,0),1)</f>
        <v>0.50052641550481702</v>
      </c>
      <c r="J141" s="2">
        <f>INDEX(Data!R:R,MATCH(G141,Data!A:A,0),1)</f>
        <v>4.9320000000000004</v>
      </c>
      <c r="K141" s="2">
        <f>INDEX(Data!S:S,MATCH(G141,Data!A:A,0),1)</f>
        <v>0</v>
      </c>
      <c r="L141" t="str">
        <f t="shared" si="2"/>
        <v>Combustion of fuels_Manufacture of glass fibres</v>
      </c>
      <c r="M141">
        <f>INDEX(Data!AD:AD,MATCH($G141,Data!$A:$A,0),1)</f>
        <v>0.6</v>
      </c>
      <c r="N141">
        <f>INDEX(Data!AE:AE,MATCH($G141,Data!$A:$A,0),1)</f>
        <v>0.59799999999999998</v>
      </c>
      <c r="O141">
        <f>INDEX(Data!AG:AG,MATCH($G141,Data!$A:$A,0),1)</f>
        <v>1.1208357193825378</v>
      </c>
      <c r="P141">
        <f>INDEX(Data!AH:AH,MATCH($G141,Data!$A:$A,0),1)</f>
        <v>1.4950234870125214</v>
      </c>
      <c r="Q141">
        <f>IFERROR(IF(MATCH(B141,#REF!,0)&gt;0,1),0)</f>
        <v>0</v>
      </c>
    </row>
    <row r="142" spans="1:17" x14ac:dyDescent="0.2">
      <c r="A142" t="s">
        <v>10</v>
      </c>
      <c r="B142" t="s">
        <v>212</v>
      </c>
      <c r="C142" t="s">
        <v>81</v>
      </c>
      <c r="D142" t="s">
        <v>409</v>
      </c>
      <c r="E142" t="s">
        <v>213</v>
      </c>
      <c r="F142">
        <v>9</v>
      </c>
      <c r="G142" t="s">
        <v>336</v>
      </c>
      <c r="H142" s="2">
        <f>INDEX(Data!G:G,MATCH(G142,Data!A:A,0),1)</f>
        <v>3.5629026621767576E-2</v>
      </c>
      <c r="I142" s="2">
        <f>INDEX(Data!J:J,MATCH(G142,Data!A:A,0),1)</f>
        <v>3.1972106510782264E-2</v>
      </c>
      <c r="J142" s="2">
        <f>INDEX(Data!R:R,MATCH(G142,Data!A:A,0),1)</f>
        <v>1.0800000000000005</v>
      </c>
      <c r="K142" s="2">
        <f>INDEX(Data!S:S,MATCH(G142,Data!A:A,0),1)</f>
        <v>0</v>
      </c>
      <c r="L142" t="str">
        <f t="shared" si="2"/>
        <v>Combustion of fuels_Manufacture of plaster products for construction purposes</v>
      </c>
      <c r="M142">
        <f>INDEX(Data!AD:AD,MATCH($G142,Data!$A:$A,0),1)</f>
        <v>0.60000000000000009</v>
      </c>
      <c r="N142">
        <f>INDEX(Data!AE:AE,MATCH($G142,Data!$A:$A,0),1)</f>
        <v>0.59800000000000009</v>
      </c>
      <c r="O142">
        <f>INDEX(Data!AG:AG,MATCH($G142,Data!$A:$A,0),1)</f>
        <v>1.064726745878753</v>
      </c>
      <c r="P142">
        <f>INDEX(Data!AH:AH,MATCH($G142,Data!$A:$A,0),1)</f>
        <v>1.4340325482945437</v>
      </c>
      <c r="Q142">
        <f>IFERROR(IF(MATCH(B142,#REF!,0)&gt;0,1),0)</f>
        <v>0</v>
      </c>
    </row>
    <row r="143" spans="1:17" x14ac:dyDescent="0.2">
      <c r="A143" t="s">
        <v>10</v>
      </c>
      <c r="B143" t="s">
        <v>90</v>
      </c>
      <c r="C143" t="s">
        <v>6</v>
      </c>
      <c r="D143" t="s">
        <v>237</v>
      </c>
      <c r="E143" t="s">
        <v>237</v>
      </c>
      <c r="F143">
        <v>30</v>
      </c>
      <c r="G143" s="2" t="s">
        <v>377</v>
      </c>
      <c r="H143" s="2">
        <f>INDEX(Data!G:G,MATCH(G143,Data!A:A,0),1)</f>
        <v>1.4950000000000001</v>
      </c>
      <c r="I143" s="2">
        <f>INDEX(Data!J:J,MATCH(G143,Data!A:A,0),1)</f>
        <v>1.288</v>
      </c>
      <c r="J143" s="2">
        <f>INDEX(Data!R:R,MATCH(G143,Data!A:A,0),1)</f>
        <v>14.976000000000001</v>
      </c>
      <c r="K143" s="2">
        <f>INDEX(Data!S:S,MATCH(G143,Data!A:A,0),1)</f>
        <v>6.8039999999999985</v>
      </c>
      <c r="L143" t="str">
        <f t="shared" si="2"/>
        <v>Combustion of fuels_Manufacture of basic iron and steel and of ferro-alloys</v>
      </c>
      <c r="M143">
        <f>INDEX(Data!AD:AD,MATCH($G143,Data!$A:$A,0),1)</f>
        <v>0.48099999999999998</v>
      </c>
      <c r="N143">
        <f>INDEX(Data!AE:AE,MATCH($G143,Data!$A:$A,0),1)</f>
        <v>0.41199999999999992</v>
      </c>
      <c r="O143">
        <f>INDEX(Data!AG:AG,MATCH($G143,Data!$A:$A,0),1)</f>
        <v>1.2895889249131132</v>
      </c>
      <c r="P143">
        <f>INDEX(Data!AH:AH,MATCH($G143,Data!$A:$A,0),1)</f>
        <v>0.59422748497442568</v>
      </c>
      <c r="Q143">
        <f>IFERROR(IF(MATCH(B143,#REF!,0)&gt;0,1),0)</f>
        <v>0</v>
      </c>
    </row>
    <row r="144" spans="1:17" x14ac:dyDescent="0.2">
      <c r="A144" t="s">
        <v>10</v>
      </c>
      <c r="B144" t="s">
        <v>236</v>
      </c>
      <c r="C144" t="s">
        <v>6</v>
      </c>
      <c r="D144" t="s">
        <v>237</v>
      </c>
      <c r="E144" t="s">
        <v>237</v>
      </c>
      <c r="F144">
        <v>2</v>
      </c>
      <c r="G144" s="2" t="s">
        <v>446</v>
      </c>
      <c r="H144" s="2">
        <f>INDEX(Data!G:G,MATCH(G144,Data!A:A,0),1)</f>
        <v>0.28693460797283676</v>
      </c>
      <c r="I144" s="2">
        <f>INDEX(Data!J:J,MATCH(G144,Data!A:A,0),1)</f>
        <v>0.24234523094630439</v>
      </c>
      <c r="J144" s="2">
        <f>INDEX(Data!R:R,MATCH(G144,Data!A:A,0),1)</f>
        <v>2.4768000000000003</v>
      </c>
      <c r="K144" s="2">
        <f>INDEX(Data!S:S,MATCH(G144,Data!A:A,0),1)</f>
        <v>0</v>
      </c>
      <c r="L144" t="str">
        <f t="shared" si="2"/>
        <v>Combustion of fuels_Manufacture of tubes, pipes, hollow profiles and related fittings, of steel</v>
      </c>
      <c r="M144">
        <f>INDEX(Data!AD:AD,MATCH($G144,Data!$A:$A,0),1)</f>
        <v>0.48099999999999998</v>
      </c>
      <c r="N144">
        <f>INDEX(Data!AE:AE,MATCH($G144,Data!$A:$A,0),1)</f>
        <v>0.41199999999999998</v>
      </c>
      <c r="O144">
        <f>INDEX(Data!AG:AG,MATCH($G144,Data!$A:$A,0),1)</f>
        <v>1.2895889249131132</v>
      </c>
      <c r="P144">
        <f>INDEX(Data!AH:AH,MATCH($G144,Data!$A:$A,0),1)</f>
        <v>0.59422748497442568</v>
      </c>
      <c r="Q144">
        <f>IFERROR(IF(MATCH(B144,#REF!,0)&gt;0,1),0)</f>
        <v>0</v>
      </c>
    </row>
    <row r="145" spans="1:17" x14ac:dyDescent="0.2">
      <c r="A145" t="s">
        <v>10</v>
      </c>
      <c r="B145" t="s">
        <v>75</v>
      </c>
      <c r="C145" t="s">
        <v>6</v>
      </c>
      <c r="D145" t="s">
        <v>256</v>
      </c>
      <c r="E145" t="s">
        <v>76</v>
      </c>
      <c r="F145">
        <v>2</v>
      </c>
      <c r="G145" t="s">
        <v>353</v>
      </c>
      <c r="H145" s="2">
        <f>INDEX(Data!G:G,MATCH(G145,Data!A:A,0),1)</f>
        <v>1.92</v>
      </c>
      <c r="I145" s="2">
        <f>INDEX(Data!J:J,MATCH(G145,Data!A:A,0),1)</f>
        <v>1.92</v>
      </c>
      <c r="J145" s="2">
        <f>INDEX(Data!R:R,MATCH(G145,Data!A:A,0),1)</f>
        <v>2.2680000000000002</v>
      </c>
      <c r="K145" s="2">
        <f>INDEX(Data!S:S,MATCH(G145,Data!A:A,0),1)</f>
        <v>0</v>
      </c>
      <c r="L145" t="str">
        <f t="shared" si="2"/>
        <v>Combustion of fuels_Lead, zinc and tin production</v>
      </c>
      <c r="M145">
        <f>INDEX(Data!AD:AD,MATCH($G145,Data!$A:$A,0),1)</f>
        <v>0.80400000000000005</v>
      </c>
      <c r="N145">
        <f>INDEX(Data!AE:AE,MATCH($G145,Data!$A:$A,0),1)</f>
        <v>0.85799999999999998</v>
      </c>
      <c r="O145">
        <f>INDEX(Data!AG:AG,MATCH($G145,Data!$A:$A,0),1)</f>
        <v>1</v>
      </c>
      <c r="P145">
        <f>INDEX(Data!AH:AH,MATCH($G145,Data!$A:$A,0),1)</f>
        <v>1</v>
      </c>
      <c r="Q145">
        <f>IFERROR(IF(MATCH(B145,#REF!,0)&gt;0,1),0)</f>
        <v>0</v>
      </c>
    </row>
    <row r="146" spans="1:17" x14ac:dyDescent="0.2">
      <c r="A146" t="s">
        <v>10</v>
      </c>
      <c r="B146" t="s">
        <v>154</v>
      </c>
      <c r="C146" t="s">
        <v>81</v>
      </c>
      <c r="D146" t="s">
        <v>409</v>
      </c>
      <c r="E146" t="s">
        <v>155</v>
      </c>
      <c r="F146">
        <v>1</v>
      </c>
      <c r="G146" t="s">
        <v>337</v>
      </c>
      <c r="H146" s="2">
        <f>INDEX(Data!G:G,MATCH(G146,Data!A:A,0),1)</f>
        <v>1.0858855073623837</v>
      </c>
      <c r="I146" s="2">
        <f>INDEX(Data!J:J,MATCH(G146,Data!A:A,0),1)</f>
        <v>0.76053043758401917</v>
      </c>
      <c r="J146" s="2">
        <f>INDEX(Data!R:R,MATCH(G146,Data!A:A,0),1)</f>
        <v>3.7079999999999997</v>
      </c>
      <c r="K146" s="2">
        <f>INDEX(Data!S:S,MATCH(G146,Data!A:A,0),1)</f>
        <v>0</v>
      </c>
      <c r="L146" t="str">
        <f t="shared" si="2"/>
        <v>Combustion of fuels_Manufacture of lime and plaster</v>
      </c>
      <c r="M146">
        <f>INDEX(Data!AD:AD,MATCH($G146,Data!$A:$A,0),1)</f>
        <v>0.6</v>
      </c>
      <c r="N146">
        <f>INDEX(Data!AE:AE,MATCH($G146,Data!$A:$A,0),1)</f>
        <v>0.59799999999999998</v>
      </c>
      <c r="O146">
        <f>INDEX(Data!AG:AG,MATCH($G146,Data!$A:$A,0),1)</f>
        <v>1.948717100000001</v>
      </c>
      <c r="P146">
        <f>INDEX(Data!AH:AH,MATCH($G146,Data!$A:$A,0),1)</f>
        <v>118.49939476920679</v>
      </c>
      <c r="Q146">
        <f>IFERROR(IF(MATCH(B146,#REF!,0)&gt;0,1),0)</f>
        <v>0</v>
      </c>
    </row>
    <row r="147" spans="1:17" x14ac:dyDescent="0.2">
      <c r="A147" t="s">
        <v>10</v>
      </c>
      <c r="B147" t="s">
        <v>57</v>
      </c>
      <c r="C147" t="s">
        <v>58</v>
      </c>
      <c r="D147" t="s">
        <v>403</v>
      </c>
      <c r="E147" t="s">
        <v>242</v>
      </c>
      <c r="F147">
        <v>2</v>
      </c>
      <c r="G147" t="s">
        <v>325</v>
      </c>
      <c r="H147" s="2">
        <f>INDEX(Data!G:G,MATCH(G147,Data!A:A,0),1)</f>
        <v>5.79E-2</v>
      </c>
      <c r="I147" s="2">
        <f>INDEX(Data!J:J,MATCH(G147,Data!A:A,0),1)</f>
        <v>4.2599999999999999E-2</v>
      </c>
      <c r="J147" s="2">
        <f>INDEX(Data!R:R,MATCH(G147,Data!A:A,0),1)</f>
        <v>1</v>
      </c>
      <c r="K147" s="2">
        <f>INDEX(Data!S:S,MATCH(G147,Data!A:A,0),1)</f>
        <v>0</v>
      </c>
      <c r="L147" t="str">
        <f t="shared" si="2"/>
        <v>Combustion of fuels_Extraction of salt</v>
      </c>
      <c r="M147">
        <f>INDEX(Data!AD:AD,MATCH($G147,Data!$A:$A,0),1)</f>
        <v>0.78200000000000003</v>
      </c>
      <c r="N147">
        <f>INDEX(Data!AE:AE,MATCH($G147,Data!$A:$A,0),1)</f>
        <v>0.63500000000000001</v>
      </c>
      <c r="O147">
        <f>INDEX(Data!AG:AG,MATCH($G147,Data!$A:$A,0),1)</f>
        <v>1.1486856676492798</v>
      </c>
      <c r="P147">
        <f>INDEX(Data!AH:AH,MATCH($G147,Data!$A:$A,0),1)</f>
        <v>1.7068864766411047</v>
      </c>
      <c r="Q147">
        <f>IFERROR(IF(MATCH(B147,#REF!,0)&gt;0,1),0)</f>
        <v>0</v>
      </c>
    </row>
    <row r="148" spans="1:17" x14ac:dyDescent="0.2">
      <c r="A148" t="s">
        <v>10</v>
      </c>
      <c r="B148" t="s">
        <v>241</v>
      </c>
      <c r="C148" t="s">
        <v>58</v>
      </c>
      <c r="D148" t="s">
        <v>403</v>
      </c>
      <c r="E148" t="s">
        <v>242</v>
      </c>
      <c r="F148">
        <v>1</v>
      </c>
      <c r="G148" t="s">
        <v>325</v>
      </c>
      <c r="H148" s="2">
        <f>INDEX(Data!G:G,MATCH(G148,Data!A:A,0),1)</f>
        <v>5.79E-2</v>
      </c>
      <c r="I148" s="2">
        <f>INDEX(Data!J:J,MATCH(G148,Data!A:A,0),1)</f>
        <v>4.2599999999999999E-2</v>
      </c>
      <c r="J148" s="2">
        <f>INDEX(Data!R:R,MATCH(G148,Data!A:A,0),1)</f>
        <v>1</v>
      </c>
      <c r="K148" s="2">
        <f>INDEX(Data!S:S,MATCH(G148,Data!A:A,0),1)</f>
        <v>0</v>
      </c>
      <c r="L148" t="str">
        <f t="shared" si="2"/>
        <v>Combustion of fuels_Mining of chemical and fertiliser minerals</v>
      </c>
      <c r="M148">
        <f>INDEX(Data!AD:AD,MATCH($G148,Data!$A:$A,0),1)</f>
        <v>0.78200000000000003</v>
      </c>
      <c r="N148">
        <f>INDEX(Data!AE:AE,MATCH($G148,Data!$A:$A,0),1)</f>
        <v>0.63500000000000001</v>
      </c>
      <c r="O148">
        <f>INDEX(Data!AG:AG,MATCH($G148,Data!$A:$A,0),1)</f>
        <v>1.1486856676492798</v>
      </c>
      <c r="P148">
        <f>INDEX(Data!AH:AH,MATCH($G148,Data!$A:$A,0),1)</f>
        <v>1.7068864766411047</v>
      </c>
      <c r="Q148">
        <f>IFERROR(IF(MATCH(B148,#REF!,0)&gt;0,1),0)</f>
        <v>0</v>
      </c>
    </row>
    <row r="149" spans="1:17" x14ac:dyDescent="0.2">
      <c r="A149" t="s">
        <v>10</v>
      </c>
      <c r="B149" t="s">
        <v>243</v>
      </c>
      <c r="C149" t="s">
        <v>244</v>
      </c>
      <c r="D149" t="s">
        <v>403</v>
      </c>
      <c r="E149" t="s">
        <v>242</v>
      </c>
      <c r="F149">
        <v>1</v>
      </c>
      <c r="G149" t="s">
        <v>325</v>
      </c>
      <c r="H149" s="2">
        <f>INDEX(Data!G:G,MATCH(G149,Data!A:A,0),1)</f>
        <v>5.79E-2</v>
      </c>
      <c r="I149" s="2">
        <f>INDEX(Data!J:J,MATCH(G149,Data!A:A,0),1)</f>
        <v>4.2599999999999999E-2</v>
      </c>
      <c r="J149" s="2">
        <f>INDEX(Data!R:R,MATCH(G149,Data!A:A,0),1)</f>
        <v>1</v>
      </c>
      <c r="K149" s="2">
        <f>INDEX(Data!S:S,MATCH(G149,Data!A:A,0),1)</f>
        <v>0</v>
      </c>
      <c r="L149" t="str">
        <f t="shared" si="2"/>
        <v>Combustion of fuels_Mining of hard coal</v>
      </c>
      <c r="M149">
        <f>INDEX(Data!AD:AD,MATCH($G149,Data!$A:$A,0),1)</f>
        <v>0.78200000000000003</v>
      </c>
      <c r="N149">
        <f>INDEX(Data!AE:AE,MATCH($G149,Data!$A:$A,0),1)</f>
        <v>0.63500000000000001</v>
      </c>
      <c r="O149">
        <f>INDEX(Data!AG:AG,MATCH($G149,Data!$A:$A,0),1)</f>
        <v>1.1486856676492798</v>
      </c>
      <c r="P149">
        <f>INDEX(Data!AH:AH,MATCH($G149,Data!$A:$A,0),1)</f>
        <v>1.7068864766411047</v>
      </c>
      <c r="Q149">
        <f>IFERROR(IF(MATCH(B149,#REF!,0)&gt;0,1),0)</f>
        <v>0</v>
      </c>
    </row>
    <row r="150" spans="1:17" x14ac:dyDescent="0.2">
      <c r="A150" t="s">
        <v>10</v>
      </c>
      <c r="B150" t="s">
        <v>250</v>
      </c>
      <c r="C150" t="s">
        <v>58</v>
      </c>
      <c r="D150" t="s">
        <v>403</v>
      </c>
      <c r="E150" t="s">
        <v>242</v>
      </c>
      <c r="F150">
        <v>4</v>
      </c>
      <c r="G150" t="s">
        <v>325</v>
      </c>
      <c r="H150" s="2">
        <f>INDEX(Data!G:G,MATCH(G150,Data!A:A,0),1)</f>
        <v>5.79E-2</v>
      </c>
      <c r="I150" s="2">
        <f>INDEX(Data!J:J,MATCH(G150,Data!A:A,0),1)</f>
        <v>4.2599999999999999E-2</v>
      </c>
      <c r="J150" s="2">
        <f>INDEX(Data!R:R,MATCH(G150,Data!A:A,0),1)</f>
        <v>1</v>
      </c>
      <c r="K150" s="2">
        <f>INDEX(Data!S:S,MATCH(G150,Data!A:A,0),1)</f>
        <v>0</v>
      </c>
      <c r="L150" t="str">
        <f t="shared" si="2"/>
        <v>Combustion of fuels_Operation of gravel and sand pits</v>
      </c>
      <c r="M150">
        <f>INDEX(Data!AD:AD,MATCH($G150,Data!$A:$A,0),1)</f>
        <v>0.78200000000000003</v>
      </c>
      <c r="N150">
        <f>INDEX(Data!AE:AE,MATCH($G150,Data!$A:$A,0),1)</f>
        <v>0.63500000000000001</v>
      </c>
      <c r="O150">
        <f>INDEX(Data!AG:AG,MATCH($G150,Data!$A:$A,0),1)</f>
        <v>1.1486856676492798</v>
      </c>
      <c r="P150">
        <f>INDEX(Data!AH:AH,MATCH($G150,Data!$A:$A,0),1)</f>
        <v>1.7068864766411047</v>
      </c>
      <c r="Q150">
        <f>IFERROR(IF(MATCH(B150,#REF!,0)&gt;0,1),0)</f>
        <v>0</v>
      </c>
    </row>
    <row r="151" spans="1:17" x14ac:dyDescent="0.2">
      <c r="A151" t="s">
        <v>10</v>
      </c>
      <c r="B151" t="s">
        <v>254</v>
      </c>
      <c r="C151" t="s">
        <v>58</v>
      </c>
      <c r="D151" t="s">
        <v>403</v>
      </c>
      <c r="E151" t="s">
        <v>242</v>
      </c>
      <c r="F151">
        <v>4</v>
      </c>
      <c r="G151" t="s">
        <v>325</v>
      </c>
      <c r="H151" s="2">
        <f>INDEX(Data!G:G,MATCH(G151,Data!A:A,0),1)</f>
        <v>5.79E-2</v>
      </c>
      <c r="I151" s="2">
        <f>INDEX(Data!J:J,MATCH(G151,Data!A:A,0),1)</f>
        <v>4.2599999999999999E-2</v>
      </c>
      <c r="J151" s="2">
        <f>INDEX(Data!R:R,MATCH(G151,Data!A:A,0),1)</f>
        <v>1</v>
      </c>
      <c r="K151" s="2">
        <f>INDEX(Data!S:S,MATCH(G151,Data!A:A,0),1)</f>
        <v>0</v>
      </c>
      <c r="L151" t="str">
        <f t="shared" si="2"/>
        <v>Combustion of fuels_Other mining and quarrying n.e.c.</v>
      </c>
      <c r="M151">
        <f>INDEX(Data!AD:AD,MATCH($G151,Data!$A:$A,0),1)</f>
        <v>0.78200000000000003</v>
      </c>
      <c r="N151">
        <f>INDEX(Data!AE:AE,MATCH($G151,Data!$A:$A,0),1)</f>
        <v>0.63500000000000001</v>
      </c>
      <c r="O151">
        <f>INDEX(Data!AG:AG,MATCH($G151,Data!$A:$A,0),1)</f>
        <v>1.1486856676492798</v>
      </c>
      <c r="P151">
        <f>INDEX(Data!AH:AH,MATCH($G151,Data!$A:$A,0),1)</f>
        <v>1.7068864766411047</v>
      </c>
      <c r="Q151">
        <f>IFERROR(IF(MATCH(B151,#REF!,0)&gt;0,1),0)</f>
        <v>0</v>
      </c>
    </row>
    <row r="152" spans="1:17" x14ac:dyDescent="0.2">
      <c r="A152" t="s">
        <v>10</v>
      </c>
      <c r="B152" t="s">
        <v>22</v>
      </c>
      <c r="C152" t="s">
        <v>6</v>
      </c>
      <c r="D152" t="s">
        <v>256</v>
      </c>
      <c r="E152" t="s">
        <v>256</v>
      </c>
      <c r="F152">
        <v>2</v>
      </c>
      <c r="G152" t="s">
        <v>354</v>
      </c>
      <c r="H152" s="2">
        <f>INDEX(Data!G:G,MATCH(G152,Data!A:A,0),1)</f>
        <v>1.6536666666666668</v>
      </c>
      <c r="I152" s="2">
        <f>INDEX(Data!J:J,MATCH(G152,Data!A:A,0),1)</f>
        <v>1.5946666666666667</v>
      </c>
      <c r="J152" s="2">
        <f>INDEX(Data!R:R,MATCH(G152,Data!A:A,0),1)</f>
        <v>2.2680000000000002</v>
      </c>
      <c r="K152" s="2">
        <f>INDEX(Data!S:S,MATCH(G152,Data!A:A,0),1)</f>
        <v>0</v>
      </c>
      <c r="L152" t="str">
        <f t="shared" si="2"/>
        <v>Combustion of fuels_Casting of light metals</v>
      </c>
      <c r="M152">
        <f>INDEX(Data!AD:AD,MATCH($G152,Data!$A:$A,0),1)</f>
        <v>0.80400000000000005</v>
      </c>
      <c r="N152">
        <f>INDEX(Data!AE:AE,MATCH($G152,Data!$A:$A,0),1)</f>
        <v>0.85799999999999998</v>
      </c>
      <c r="O152">
        <f>INDEX(Data!AG:AG,MATCH($G152,Data!$A:$A,0),1)</f>
        <v>1</v>
      </c>
      <c r="P152">
        <f>INDEX(Data!AH:AH,MATCH($G152,Data!$A:$A,0),1)</f>
        <v>1</v>
      </c>
      <c r="Q152">
        <f>IFERROR(IF(MATCH(B152,#REF!,0)&gt;0,1),0)</f>
        <v>0</v>
      </c>
    </row>
    <row r="153" spans="1:17" x14ac:dyDescent="0.2">
      <c r="A153" t="s">
        <v>10</v>
      </c>
      <c r="B153" t="s">
        <v>189</v>
      </c>
      <c r="C153" t="s">
        <v>81</v>
      </c>
      <c r="D153" t="s">
        <v>409</v>
      </c>
      <c r="E153" t="s">
        <v>190</v>
      </c>
      <c r="F153">
        <v>72</v>
      </c>
      <c r="G153" t="s">
        <v>357</v>
      </c>
      <c r="H153" s="2">
        <f>INDEX(Data!G:G,MATCH(G153,Data!A:A,0),1)</f>
        <v>0.805852417888692</v>
      </c>
      <c r="I153" s="2">
        <f>INDEX(Data!J:J,MATCH(G153,Data!A:A,0),1)</f>
        <v>0.66291615790238245</v>
      </c>
      <c r="J153" s="2">
        <f>INDEX(Data!R:R,MATCH(G153,Data!A:A,0),1)</f>
        <v>4.5353855263775982</v>
      </c>
      <c r="K153" s="2">
        <f>INDEX(Data!S:S,MATCH(G153,Data!A:A,0),1)</f>
        <v>0</v>
      </c>
      <c r="L153" t="str">
        <f t="shared" si="2"/>
        <v>Combustion of fuels_Manufacture of other non-metallic mineral products n.e.c.</v>
      </c>
      <c r="M153">
        <f>INDEX(Data!AD:AD,MATCH($G153,Data!$A:$A,0),1)</f>
        <v>0.60000000000000009</v>
      </c>
      <c r="N153">
        <f>INDEX(Data!AE:AE,MATCH($G153,Data!$A:$A,0),1)</f>
        <v>0.59800000000000009</v>
      </c>
      <c r="O153">
        <f>INDEX(Data!AG:AG,MATCH($G153,Data!$A:$A,0),1)</f>
        <v>1.5739122718925649</v>
      </c>
      <c r="P153">
        <f>INDEX(Data!AH:AH,MATCH($G153,Data!$A:$A,0),1)</f>
        <v>19.180526497604429</v>
      </c>
      <c r="Q153">
        <f>IFERROR(IF(MATCH(B153,#REF!,0)&gt;0,1),0)</f>
        <v>0</v>
      </c>
    </row>
    <row r="154" spans="1:17" x14ac:dyDescent="0.2">
      <c r="A154" t="s">
        <v>10</v>
      </c>
      <c r="B154" t="s">
        <v>13</v>
      </c>
      <c r="C154" t="s">
        <v>14</v>
      </c>
      <c r="D154" t="s">
        <v>403</v>
      </c>
      <c r="E154" t="s">
        <v>15</v>
      </c>
      <c r="F154">
        <v>2</v>
      </c>
      <c r="G154" t="s">
        <v>325</v>
      </c>
      <c r="H154" s="2">
        <f>INDEX(Data!G:G,MATCH(G154,Data!A:A,0),1)</f>
        <v>5.79E-2</v>
      </c>
      <c r="I154" s="2">
        <f>INDEX(Data!J:J,MATCH(G154,Data!A:A,0),1)</f>
        <v>4.2599999999999999E-2</v>
      </c>
      <c r="J154" s="2">
        <f>INDEX(Data!R:R,MATCH(G154,Data!A:A,0),1)</f>
        <v>1</v>
      </c>
      <c r="K154" s="2">
        <f>INDEX(Data!S:S,MATCH(G154,Data!A:A,0),1)</f>
        <v>0</v>
      </c>
      <c r="L154" t="str">
        <f t="shared" si="2"/>
        <v>Combustion of fuels_Building of ships and floating structures</v>
      </c>
      <c r="M154">
        <f>INDEX(Data!AD:AD,MATCH($G154,Data!$A:$A,0),1)</f>
        <v>0.78200000000000003</v>
      </c>
      <c r="N154">
        <f>INDEX(Data!AE:AE,MATCH($G154,Data!$A:$A,0),1)</f>
        <v>0.63500000000000001</v>
      </c>
      <c r="O154">
        <f>INDEX(Data!AG:AG,MATCH($G154,Data!$A:$A,0),1)</f>
        <v>1.1486856676492798</v>
      </c>
      <c r="P154">
        <f>INDEX(Data!AH:AH,MATCH($G154,Data!$A:$A,0),1)</f>
        <v>1.7068864766411047</v>
      </c>
      <c r="Q154">
        <f>IFERROR(IF(MATCH(B154,#REF!,0)&gt;0,1),0)</f>
        <v>0</v>
      </c>
    </row>
    <row r="155" spans="1:17" x14ac:dyDescent="0.2">
      <c r="A155" t="s">
        <v>10</v>
      </c>
      <c r="B155" t="s">
        <v>27</v>
      </c>
      <c r="C155" t="s">
        <v>28</v>
      </c>
      <c r="D155" t="s">
        <v>403</v>
      </c>
      <c r="E155" t="s">
        <v>15</v>
      </c>
      <c r="F155">
        <v>13</v>
      </c>
      <c r="G155" t="s">
        <v>325</v>
      </c>
      <c r="H155" s="2">
        <f>INDEX(Data!G:G,MATCH(G155,Data!A:A,0),1)</f>
        <v>5.79E-2</v>
      </c>
      <c r="I155" s="2">
        <f>INDEX(Data!J:J,MATCH(G155,Data!A:A,0),1)</f>
        <v>4.2599999999999999E-2</v>
      </c>
      <c r="J155" s="2">
        <f>INDEX(Data!R:R,MATCH(G155,Data!A:A,0),1)</f>
        <v>1</v>
      </c>
      <c r="K155" s="2">
        <f>INDEX(Data!S:S,MATCH(G155,Data!A:A,0),1)</f>
        <v>0</v>
      </c>
      <c r="L155" t="str">
        <f t="shared" si="2"/>
        <v>Combustion of fuels_Construction of roads and motorways</v>
      </c>
      <c r="M155">
        <f>INDEX(Data!AD:AD,MATCH($G155,Data!$A:$A,0),1)</f>
        <v>0.78200000000000003</v>
      </c>
      <c r="N155">
        <f>INDEX(Data!AE:AE,MATCH($G155,Data!$A:$A,0),1)</f>
        <v>0.63500000000000001</v>
      </c>
      <c r="O155">
        <f>INDEX(Data!AG:AG,MATCH($G155,Data!$A:$A,0),1)</f>
        <v>1.1486856676492798</v>
      </c>
      <c r="P155">
        <f>INDEX(Data!AH:AH,MATCH($G155,Data!$A:$A,0),1)</f>
        <v>1.7068864766411047</v>
      </c>
      <c r="Q155">
        <f>IFERROR(IF(MATCH(B155,#REF!,0)&gt;0,1),0)</f>
        <v>0</v>
      </c>
    </row>
    <row r="156" spans="1:17" x14ac:dyDescent="0.2">
      <c r="A156" t="s">
        <v>10</v>
      </c>
      <c r="B156" t="s">
        <v>31</v>
      </c>
      <c r="C156" t="s">
        <v>32</v>
      </c>
      <c r="D156" t="s">
        <v>403</v>
      </c>
      <c r="E156" t="s">
        <v>15</v>
      </c>
      <c r="F156">
        <v>79</v>
      </c>
      <c r="G156" t="s">
        <v>325</v>
      </c>
      <c r="H156" s="2">
        <f>INDEX(Data!G:G,MATCH(G156,Data!A:A,0),1)</f>
        <v>5.79E-2</v>
      </c>
      <c r="I156" s="2">
        <f>INDEX(Data!J:J,MATCH(G156,Data!A:A,0),1)</f>
        <v>4.2599999999999999E-2</v>
      </c>
      <c r="J156" s="2">
        <f>INDEX(Data!R:R,MATCH(G156,Data!A:A,0),1)</f>
        <v>1</v>
      </c>
      <c r="K156" s="2">
        <f>INDEX(Data!S:S,MATCH(G156,Data!A:A,0),1)</f>
        <v>0</v>
      </c>
      <c r="L156" t="str">
        <f t="shared" si="2"/>
        <v>Combustion of fuels_Data processing, hosting and related activities</v>
      </c>
      <c r="M156">
        <f>INDEX(Data!AD:AD,MATCH($G156,Data!$A:$A,0),1)</f>
        <v>0.78200000000000003</v>
      </c>
      <c r="N156">
        <f>INDEX(Data!AE:AE,MATCH($G156,Data!$A:$A,0),1)</f>
        <v>0.63500000000000001</v>
      </c>
      <c r="O156">
        <f>INDEX(Data!AG:AG,MATCH($G156,Data!$A:$A,0),1)</f>
        <v>1.1486856676492798</v>
      </c>
      <c r="P156">
        <f>INDEX(Data!AH:AH,MATCH($G156,Data!$A:$A,0),1)</f>
        <v>1.7068864766411047</v>
      </c>
      <c r="Q156">
        <f>IFERROR(IF(MATCH(B156,#REF!,0)&gt;0,1),0)</f>
        <v>0</v>
      </c>
    </row>
    <row r="157" spans="1:17" x14ac:dyDescent="0.2">
      <c r="A157" t="s">
        <v>10</v>
      </c>
      <c r="B157" t="s">
        <v>37</v>
      </c>
      <c r="C157" t="s">
        <v>38</v>
      </c>
      <c r="D157" t="s">
        <v>403</v>
      </c>
      <c r="E157" t="s">
        <v>15</v>
      </c>
      <c r="F157">
        <v>1</v>
      </c>
      <c r="G157" t="s">
        <v>325</v>
      </c>
      <c r="H157" s="2">
        <f>INDEX(Data!G:G,MATCH(G157,Data!A:A,0),1)</f>
        <v>5.79E-2</v>
      </c>
      <c r="I157" s="2">
        <f>INDEX(Data!J:J,MATCH(G157,Data!A:A,0),1)</f>
        <v>4.2599999999999999E-2</v>
      </c>
      <c r="J157" s="2">
        <f>INDEX(Data!R:R,MATCH(G157,Data!A:A,0),1)</f>
        <v>1</v>
      </c>
      <c r="K157" s="2">
        <f>INDEX(Data!S:S,MATCH(G157,Data!A:A,0),1)</f>
        <v>0</v>
      </c>
      <c r="L157" t="str">
        <f t="shared" si="2"/>
        <v>Combustion of fuels_Defence activities</v>
      </c>
      <c r="M157">
        <f>INDEX(Data!AD:AD,MATCH($G157,Data!$A:$A,0),1)</f>
        <v>0.78200000000000003</v>
      </c>
      <c r="N157">
        <f>INDEX(Data!AE:AE,MATCH($G157,Data!$A:$A,0),1)</f>
        <v>0.63500000000000001</v>
      </c>
      <c r="O157">
        <f>INDEX(Data!AG:AG,MATCH($G157,Data!$A:$A,0),1)</f>
        <v>1.1486856676492798</v>
      </c>
      <c r="P157">
        <f>INDEX(Data!AH:AH,MATCH($G157,Data!$A:$A,0),1)</f>
        <v>1.7068864766411047</v>
      </c>
      <c r="Q157">
        <f>IFERROR(IF(MATCH(B157,#REF!,0)&gt;0,1),0)</f>
        <v>0</v>
      </c>
    </row>
    <row r="158" spans="1:17" x14ac:dyDescent="0.2">
      <c r="A158" t="s">
        <v>10</v>
      </c>
      <c r="B158" t="s">
        <v>39</v>
      </c>
      <c r="C158" t="s">
        <v>40</v>
      </c>
      <c r="D158" t="s">
        <v>403</v>
      </c>
      <c r="E158" t="s">
        <v>15</v>
      </c>
      <c r="F158">
        <v>1</v>
      </c>
      <c r="G158" t="s">
        <v>325</v>
      </c>
      <c r="H158" s="2">
        <f>INDEX(Data!G:G,MATCH(G158,Data!A:A,0),1)</f>
        <v>5.79E-2</v>
      </c>
      <c r="I158" s="2">
        <f>INDEX(Data!J:J,MATCH(G158,Data!A:A,0),1)</f>
        <v>4.2599999999999999E-2</v>
      </c>
      <c r="J158" s="2">
        <f>INDEX(Data!R:R,MATCH(G158,Data!A:A,0),1)</f>
        <v>1</v>
      </c>
      <c r="K158" s="2">
        <f>INDEX(Data!S:S,MATCH(G158,Data!A:A,0),1)</f>
        <v>0</v>
      </c>
      <c r="L158" t="str">
        <f t="shared" si="2"/>
        <v>Combustion of fuels_Development of building projects</v>
      </c>
      <c r="M158">
        <f>INDEX(Data!AD:AD,MATCH($G158,Data!$A:$A,0),1)</f>
        <v>0.78200000000000003</v>
      </c>
      <c r="N158">
        <f>INDEX(Data!AE:AE,MATCH($G158,Data!$A:$A,0),1)</f>
        <v>0.63500000000000001</v>
      </c>
      <c r="O158">
        <f>INDEX(Data!AG:AG,MATCH($G158,Data!$A:$A,0),1)</f>
        <v>1.1486856676492798</v>
      </c>
      <c r="P158">
        <f>INDEX(Data!AH:AH,MATCH($G158,Data!$A:$A,0),1)</f>
        <v>1.7068864766411047</v>
      </c>
      <c r="Q158">
        <f>IFERROR(IF(MATCH(B158,#REF!,0)&gt;0,1),0)</f>
        <v>0</v>
      </c>
    </row>
    <row r="159" spans="1:17" x14ac:dyDescent="0.2">
      <c r="A159" t="s">
        <v>10</v>
      </c>
      <c r="B159" t="s">
        <v>41</v>
      </c>
      <c r="C159" t="s">
        <v>42</v>
      </c>
      <c r="D159" t="s">
        <v>403</v>
      </c>
      <c r="E159" t="s">
        <v>15</v>
      </c>
      <c r="F159">
        <v>8</v>
      </c>
      <c r="G159" t="s">
        <v>325</v>
      </c>
      <c r="H159" s="2">
        <f>INDEX(Data!G:G,MATCH(G159,Data!A:A,0),1)</f>
        <v>5.79E-2</v>
      </c>
      <c r="I159" s="2">
        <f>INDEX(Data!J:J,MATCH(G159,Data!A:A,0),1)</f>
        <v>4.2599999999999999E-2</v>
      </c>
      <c r="J159" s="2">
        <f>INDEX(Data!R:R,MATCH(G159,Data!A:A,0),1)</f>
        <v>1</v>
      </c>
      <c r="K159" s="2">
        <f>INDEX(Data!S:S,MATCH(G159,Data!A:A,0),1)</f>
        <v>0</v>
      </c>
      <c r="L159" t="str">
        <f t="shared" si="2"/>
        <v>Combustion of fuels_Distilling, rectifying and blending of spirits</v>
      </c>
      <c r="M159">
        <f>INDEX(Data!AD:AD,MATCH($G159,Data!$A:$A,0),1)</f>
        <v>0.78200000000000003</v>
      </c>
      <c r="N159">
        <f>INDEX(Data!AE:AE,MATCH($G159,Data!$A:$A,0),1)</f>
        <v>0.63500000000000001</v>
      </c>
      <c r="O159">
        <f>INDEX(Data!AG:AG,MATCH($G159,Data!$A:$A,0),1)</f>
        <v>1.1486856676492798</v>
      </c>
      <c r="P159">
        <f>INDEX(Data!AH:AH,MATCH($G159,Data!$A:$A,0),1)</f>
        <v>1.7068864766411047</v>
      </c>
      <c r="Q159">
        <f>IFERROR(IF(MATCH(B159,#REF!,0)&gt;0,1),0)</f>
        <v>0</v>
      </c>
    </row>
    <row r="160" spans="1:17" x14ac:dyDescent="0.2">
      <c r="A160" t="s">
        <v>10</v>
      </c>
      <c r="B160" t="s">
        <v>61</v>
      </c>
      <c r="C160" t="s">
        <v>62</v>
      </c>
      <c r="D160" t="s">
        <v>403</v>
      </c>
      <c r="E160" t="s">
        <v>15</v>
      </c>
      <c r="F160">
        <v>9</v>
      </c>
      <c r="G160" t="s">
        <v>325</v>
      </c>
      <c r="H160" s="2">
        <f>INDEX(Data!G:G,MATCH(G160,Data!A:A,0),1)</f>
        <v>5.79E-2</v>
      </c>
      <c r="I160" s="2">
        <f>INDEX(Data!J:J,MATCH(G160,Data!A:A,0),1)</f>
        <v>4.2599999999999999E-2</v>
      </c>
      <c r="J160" s="2">
        <f>INDEX(Data!R:R,MATCH(G160,Data!A:A,0),1)</f>
        <v>1</v>
      </c>
      <c r="K160" s="2">
        <f>INDEX(Data!S:S,MATCH(G160,Data!A:A,0),1)</f>
        <v>0</v>
      </c>
      <c r="L160" t="str">
        <f t="shared" si="2"/>
        <v>Combustion of fuels_Finishing of textiles</v>
      </c>
      <c r="M160">
        <f>INDEX(Data!AD:AD,MATCH($G160,Data!$A:$A,0),1)</f>
        <v>0.78200000000000003</v>
      </c>
      <c r="N160">
        <f>INDEX(Data!AE:AE,MATCH($G160,Data!$A:$A,0),1)</f>
        <v>0.63500000000000001</v>
      </c>
      <c r="O160">
        <f>INDEX(Data!AG:AG,MATCH($G160,Data!$A:$A,0),1)</f>
        <v>1.1486856676492798</v>
      </c>
      <c r="P160">
        <f>INDEX(Data!AH:AH,MATCH($G160,Data!$A:$A,0),1)</f>
        <v>1.7068864766411047</v>
      </c>
      <c r="Q160">
        <f>IFERROR(IF(MATCH(B160,#REF!,0)&gt;0,1),0)</f>
        <v>0</v>
      </c>
    </row>
    <row r="161" spans="1:17" x14ac:dyDescent="0.2">
      <c r="A161" t="s">
        <v>10</v>
      </c>
      <c r="B161" t="s">
        <v>66</v>
      </c>
      <c r="C161" t="s">
        <v>67</v>
      </c>
      <c r="D161" t="s">
        <v>403</v>
      </c>
      <c r="E161" t="s">
        <v>15</v>
      </c>
      <c r="F161">
        <v>2</v>
      </c>
      <c r="G161" t="s">
        <v>325</v>
      </c>
      <c r="H161" s="2">
        <f>INDEX(Data!G:G,MATCH(G161,Data!A:A,0),1)</f>
        <v>5.79E-2</v>
      </c>
      <c r="I161" s="2">
        <f>INDEX(Data!J:J,MATCH(G161,Data!A:A,0),1)</f>
        <v>4.2599999999999999E-2</v>
      </c>
      <c r="J161" s="2">
        <f>INDEX(Data!R:R,MATCH(G161,Data!A:A,0),1)</f>
        <v>1</v>
      </c>
      <c r="K161" s="2">
        <f>INDEX(Data!S:S,MATCH(G161,Data!A:A,0),1)</f>
        <v>0</v>
      </c>
      <c r="L161" t="str">
        <f t="shared" si="2"/>
        <v>Combustion of fuels_Growing of cereals (except rice), leguminous crops and oil seeds</v>
      </c>
      <c r="M161">
        <f>INDEX(Data!AD:AD,MATCH($G161,Data!$A:$A,0),1)</f>
        <v>0.78200000000000003</v>
      </c>
      <c r="N161">
        <f>INDEX(Data!AE:AE,MATCH($G161,Data!$A:$A,0),1)</f>
        <v>0.63500000000000001</v>
      </c>
      <c r="O161">
        <f>INDEX(Data!AG:AG,MATCH($G161,Data!$A:$A,0),1)</f>
        <v>1.1486856676492798</v>
      </c>
      <c r="P161">
        <f>INDEX(Data!AH:AH,MATCH($G161,Data!$A:$A,0),1)</f>
        <v>1.7068864766411047</v>
      </c>
      <c r="Q161">
        <f>IFERROR(IF(MATCH(B161,#REF!,0)&gt;0,1),0)</f>
        <v>0</v>
      </c>
    </row>
    <row r="162" spans="1:17" x14ac:dyDescent="0.2">
      <c r="A162" t="s">
        <v>10</v>
      </c>
      <c r="B162" t="s">
        <v>68</v>
      </c>
      <c r="C162" t="s">
        <v>67</v>
      </c>
      <c r="D162" t="s">
        <v>403</v>
      </c>
      <c r="E162" t="s">
        <v>15</v>
      </c>
      <c r="F162">
        <v>1</v>
      </c>
      <c r="G162" t="s">
        <v>325</v>
      </c>
      <c r="H162" s="2">
        <f>INDEX(Data!G:G,MATCH(G162,Data!A:A,0),1)</f>
        <v>5.79E-2</v>
      </c>
      <c r="I162" s="2">
        <f>INDEX(Data!J:J,MATCH(G162,Data!A:A,0),1)</f>
        <v>4.2599999999999999E-2</v>
      </c>
      <c r="J162" s="2">
        <f>INDEX(Data!R:R,MATCH(G162,Data!A:A,0),1)</f>
        <v>1</v>
      </c>
      <c r="K162" s="2">
        <f>INDEX(Data!S:S,MATCH(G162,Data!A:A,0),1)</f>
        <v>0</v>
      </c>
      <c r="L162" t="str">
        <f t="shared" si="2"/>
        <v>Combustion of fuels_Growing of other non-perennial crops</v>
      </c>
      <c r="M162">
        <f>INDEX(Data!AD:AD,MATCH($G162,Data!$A:$A,0),1)</f>
        <v>0.78200000000000003</v>
      </c>
      <c r="N162">
        <f>INDEX(Data!AE:AE,MATCH($G162,Data!$A:$A,0),1)</f>
        <v>0.63500000000000001</v>
      </c>
      <c r="O162">
        <f>INDEX(Data!AG:AG,MATCH($G162,Data!$A:$A,0),1)</f>
        <v>1.1486856676492798</v>
      </c>
      <c r="P162">
        <f>INDEX(Data!AH:AH,MATCH($G162,Data!$A:$A,0),1)</f>
        <v>1.7068864766411047</v>
      </c>
      <c r="Q162">
        <f>IFERROR(IF(MATCH(B162,#REF!,0)&gt;0,1),0)</f>
        <v>0</v>
      </c>
    </row>
    <row r="163" spans="1:17" x14ac:dyDescent="0.2">
      <c r="A163" t="s">
        <v>10</v>
      </c>
      <c r="B163" t="s">
        <v>70</v>
      </c>
      <c r="C163" t="s">
        <v>67</v>
      </c>
      <c r="D163" t="s">
        <v>403</v>
      </c>
      <c r="E163" t="s">
        <v>15</v>
      </c>
      <c r="F163">
        <v>9</v>
      </c>
      <c r="G163" t="s">
        <v>325</v>
      </c>
      <c r="H163" s="2">
        <f>INDEX(Data!G:G,MATCH(G163,Data!A:A,0),1)</f>
        <v>5.79E-2</v>
      </c>
      <c r="I163" s="2">
        <f>INDEX(Data!J:J,MATCH(G163,Data!A:A,0),1)</f>
        <v>4.2599999999999999E-2</v>
      </c>
      <c r="J163" s="2">
        <f>INDEX(Data!R:R,MATCH(G163,Data!A:A,0),1)</f>
        <v>1</v>
      </c>
      <c r="K163" s="2">
        <f>INDEX(Data!S:S,MATCH(G163,Data!A:A,0),1)</f>
        <v>0</v>
      </c>
      <c r="L163" t="str">
        <f t="shared" si="2"/>
        <v>Combustion of fuels_Growing of vegetables and melons, roots and tubers</v>
      </c>
      <c r="M163">
        <f>INDEX(Data!AD:AD,MATCH($G163,Data!$A:$A,0),1)</f>
        <v>0.78200000000000003</v>
      </c>
      <c r="N163">
        <f>INDEX(Data!AE:AE,MATCH($G163,Data!$A:$A,0),1)</f>
        <v>0.63500000000000001</v>
      </c>
      <c r="O163">
        <f>INDEX(Data!AG:AG,MATCH($G163,Data!$A:$A,0),1)</f>
        <v>1.1486856676492798</v>
      </c>
      <c r="P163">
        <f>INDEX(Data!AH:AH,MATCH($G163,Data!$A:$A,0),1)</f>
        <v>1.7068864766411047</v>
      </c>
      <c r="Q163">
        <f>IFERROR(IF(MATCH(B163,#REF!,0)&gt;0,1),0)</f>
        <v>0</v>
      </c>
    </row>
    <row r="164" spans="1:17" x14ac:dyDescent="0.2">
      <c r="A164" t="s">
        <v>10</v>
      </c>
      <c r="B164" t="s">
        <v>71</v>
      </c>
      <c r="C164" t="s">
        <v>72</v>
      </c>
      <c r="D164" t="s">
        <v>403</v>
      </c>
      <c r="E164" t="s">
        <v>15</v>
      </c>
      <c r="F164">
        <v>1</v>
      </c>
      <c r="G164" t="s">
        <v>325</v>
      </c>
      <c r="H164" s="2">
        <f>INDEX(Data!G:G,MATCH(G164,Data!A:A,0),1)</f>
        <v>5.79E-2</v>
      </c>
      <c r="I164" s="2">
        <f>INDEX(Data!J:J,MATCH(G164,Data!A:A,0),1)</f>
        <v>4.2599999999999999E-2</v>
      </c>
      <c r="J164" s="2">
        <f>INDEX(Data!R:R,MATCH(G164,Data!A:A,0),1)</f>
        <v>1</v>
      </c>
      <c r="K164" s="2">
        <f>INDEX(Data!S:S,MATCH(G164,Data!A:A,0),1)</f>
        <v>0</v>
      </c>
      <c r="L164" t="str">
        <f t="shared" si="2"/>
        <v>Combustion of fuels_Higher education</v>
      </c>
      <c r="M164">
        <f>INDEX(Data!AD:AD,MATCH($G164,Data!$A:$A,0),1)</f>
        <v>0.78200000000000003</v>
      </c>
      <c r="N164">
        <f>INDEX(Data!AE:AE,MATCH($G164,Data!$A:$A,0),1)</f>
        <v>0.63500000000000001</v>
      </c>
      <c r="O164">
        <f>INDEX(Data!AG:AG,MATCH($G164,Data!$A:$A,0),1)</f>
        <v>1.1486856676492798</v>
      </c>
      <c r="P164">
        <f>INDEX(Data!AH:AH,MATCH($G164,Data!$A:$A,0),1)</f>
        <v>1.7068864766411047</v>
      </c>
      <c r="Q164">
        <f>IFERROR(IF(MATCH(B164,#REF!,0)&gt;0,1),0)</f>
        <v>0</v>
      </c>
    </row>
    <row r="165" spans="1:17" x14ac:dyDescent="0.2">
      <c r="A165" t="s">
        <v>10</v>
      </c>
      <c r="B165" t="s">
        <v>73</v>
      </c>
      <c r="C165" t="s">
        <v>74</v>
      </c>
      <c r="D165" t="s">
        <v>403</v>
      </c>
      <c r="E165" t="s">
        <v>15</v>
      </c>
      <c r="F165">
        <v>25</v>
      </c>
      <c r="G165" t="s">
        <v>325</v>
      </c>
      <c r="H165" s="2">
        <f>INDEX(Data!G:G,MATCH(G165,Data!A:A,0),1)</f>
        <v>5.79E-2</v>
      </c>
      <c r="I165" s="2">
        <f>INDEX(Data!J:J,MATCH(G165,Data!A:A,0),1)</f>
        <v>4.2599999999999999E-2</v>
      </c>
      <c r="J165" s="2">
        <f>INDEX(Data!R:R,MATCH(G165,Data!A:A,0),1)</f>
        <v>1</v>
      </c>
      <c r="K165" s="2">
        <f>INDEX(Data!S:S,MATCH(G165,Data!A:A,0),1)</f>
        <v>0</v>
      </c>
      <c r="L165" t="str">
        <f t="shared" si="2"/>
        <v>Combustion of fuels_Hospital activities</v>
      </c>
      <c r="M165">
        <f>INDEX(Data!AD:AD,MATCH($G165,Data!$A:$A,0),1)</f>
        <v>0.78200000000000003</v>
      </c>
      <c r="N165">
        <f>INDEX(Data!AE:AE,MATCH($G165,Data!$A:$A,0),1)</f>
        <v>0.63500000000000001</v>
      </c>
      <c r="O165">
        <f>INDEX(Data!AG:AG,MATCH($G165,Data!$A:$A,0),1)</f>
        <v>1.1486856676492798</v>
      </c>
      <c r="P165">
        <f>INDEX(Data!AH:AH,MATCH($G165,Data!$A:$A,0),1)</f>
        <v>1.7068864766411047</v>
      </c>
      <c r="Q165">
        <f>IFERROR(IF(MATCH(B165,#REF!,0)&gt;0,1),0)</f>
        <v>0</v>
      </c>
    </row>
    <row r="166" spans="1:17" x14ac:dyDescent="0.2">
      <c r="A166" t="s">
        <v>10</v>
      </c>
      <c r="B166" t="s">
        <v>84</v>
      </c>
      <c r="C166" t="s">
        <v>81</v>
      </c>
      <c r="D166" t="s">
        <v>403</v>
      </c>
      <c r="E166" t="s">
        <v>15</v>
      </c>
      <c r="F166">
        <v>2</v>
      </c>
      <c r="G166" t="s">
        <v>325</v>
      </c>
      <c r="H166" s="2">
        <f>INDEX(Data!G:G,MATCH(G166,Data!A:A,0),1)</f>
        <v>5.79E-2</v>
      </c>
      <c r="I166" s="2">
        <f>INDEX(Data!J:J,MATCH(G166,Data!A:A,0),1)</f>
        <v>4.2599999999999999E-2</v>
      </c>
      <c r="J166" s="2">
        <f>INDEX(Data!R:R,MATCH(G166,Data!A:A,0),1)</f>
        <v>1</v>
      </c>
      <c r="K166" s="2">
        <f>INDEX(Data!S:S,MATCH(G166,Data!A:A,0),1)</f>
        <v>0</v>
      </c>
      <c r="L166" t="str">
        <f t="shared" si="2"/>
        <v>Combustion of fuels_Manufacture of abrasive products and non-metallic mineral products n.e.c.</v>
      </c>
      <c r="M166">
        <f>INDEX(Data!AD:AD,MATCH($G166,Data!$A:$A,0),1)</f>
        <v>0.78200000000000003</v>
      </c>
      <c r="N166">
        <f>INDEX(Data!AE:AE,MATCH($G166,Data!$A:$A,0),1)</f>
        <v>0.63500000000000001</v>
      </c>
      <c r="O166">
        <f>INDEX(Data!AG:AG,MATCH($G166,Data!$A:$A,0),1)</f>
        <v>1.1486856676492798</v>
      </c>
      <c r="P166">
        <f>INDEX(Data!AH:AH,MATCH($G166,Data!$A:$A,0),1)</f>
        <v>1.7068864766411047</v>
      </c>
      <c r="Q166">
        <f>IFERROR(IF(MATCH(B166,#REF!,0)&gt;0,1),0)</f>
        <v>0</v>
      </c>
    </row>
    <row r="167" spans="1:17" x14ac:dyDescent="0.2">
      <c r="A167" t="s">
        <v>10</v>
      </c>
      <c r="B167" t="s">
        <v>87</v>
      </c>
      <c r="C167" t="s">
        <v>14</v>
      </c>
      <c r="D167" t="s">
        <v>403</v>
      </c>
      <c r="E167" t="s">
        <v>15</v>
      </c>
      <c r="F167">
        <v>29</v>
      </c>
      <c r="G167" t="s">
        <v>325</v>
      </c>
      <c r="H167" s="2">
        <f>INDEX(Data!G:G,MATCH(G167,Data!A:A,0),1)</f>
        <v>5.79E-2</v>
      </c>
      <c r="I167" s="2">
        <f>INDEX(Data!J:J,MATCH(G167,Data!A:A,0),1)</f>
        <v>4.2599999999999999E-2</v>
      </c>
      <c r="J167" s="2">
        <f>INDEX(Data!R:R,MATCH(G167,Data!A:A,0),1)</f>
        <v>1</v>
      </c>
      <c r="K167" s="2">
        <f>INDEX(Data!S:S,MATCH(G167,Data!A:A,0),1)</f>
        <v>0</v>
      </c>
      <c r="L167" t="str">
        <f t="shared" si="2"/>
        <v>Combustion of fuels_Manufacture of air and spacecraft and related machinery</v>
      </c>
      <c r="M167">
        <f>INDEX(Data!AD:AD,MATCH($G167,Data!$A:$A,0),1)</f>
        <v>0.78200000000000003</v>
      </c>
      <c r="N167">
        <f>INDEX(Data!AE:AE,MATCH($G167,Data!$A:$A,0),1)</f>
        <v>0.63500000000000001</v>
      </c>
      <c r="O167">
        <f>INDEX(Data!AG:AG,MATCH($G167,Data!$A:$A,0),1)</f>
        <v>1.1486856676492798</v>
      </c>
      <c r="P167">
        <f>INDEX(Data!AH:AH,MATCH($G167,Data!$A:$A,0),1)</f>
        <v>1.7068864766411047</v>
      </c>
      <c r="Q167">
        <f>IFERROR(IF(MATCH(B167,#REF!,0)&gt;0,1),0)</f>
        <v>0</v>
      </c>
    </row>
    <row r="168" spans="1:17" x14ac:dyDescent="0.2">
      <c r="A168" t="s">
        <v>10</v>
      </c>
      <c r="B168" t="s">
        <v>96</v>
      </c>
      <c r="C168" t="s">
        <v>86</v>
      </c>
      <c r="D168" t="s">
        <v>403</v>
      </c>
      <c r="E168" t="s">
        <v>15</v>
      </c>
      <c r="F168">
        <v>2</v>
      </c>
      <c r="G168" t="s">
        <v>325</v>
      </c>
      <c r="H168" s="2">
        <f>INDEX(Data!G:G,MATCH(G168,Data!A:A,0),1)</f>
        <v>5.79E-2</v>
      </c>
      <c r="I168" s="2">
        <f>INDEX(Data!J:J,MATCH(G168,Data!A:A,0),1)</f>
        <v>4.2599999999999999E-2</v>
      </c>
      <c r="J168" s="2">
        <f>INDEX(Data!R:R,MATCH(G168,Data!A:A,0),1)</f>
        <v>1</v>
      </c>
      <c r="K168" s="2">
        <f>INDEX(Data!S:S,MATCH(G168,Data!A:A,0),1)</f>
        <v>0</v>
      </c>
      <c r="L168" t="str">
        <f t="shared" si="2"/>
        <v>Combustion of fuels_Manufacture of bearings, gears, gearing and driving elements</v>
      </c>
      <c r="M168">
        <f>INDEX(Data!AD:AD,MATCH($G168,Data!$A:$A,0),1)</f>
        <v>0.78200000000000003</v>
      </c>
      <c r="N168">
        <f>INDEX(Data!AE:AE,MATCH($G168,Data!$A:$A,0),1)</f>
        <v>0.63500000000000001</v>
      </c>
      <c r="O168">
        <f>INDEX(Data!AG:AG,MATCH($G168,Data!$A:$A,0),1)</f>
        <v>1.1486856676492798</v>
      </c>
      <c r="P168">
        <f>INDEX(Data!AH:AH,MATCH($G168,Data!$A:$A,0),1)</f>
        <v>1.7068864766411047</v>
      </c>
      <c r="Q168">
        <f>IFERROR(IF(MATCH(B168,#REF!,0)&gt;0,1),0)</f>
        <v>0</v>
      </c>
    </row>
    <row r="169" spans="1:17" x14ac:dyDescent="0.2">
      <c r="A169" t="s">
        <v>10</v>
      </c>
      <c r="B169" t="s">
        <v>97</v>
      </c>
      <c r="C169" t="s">
        <v>42</v>
      </c>
      <c r="D169" t="s">
        <v>403</v>
      </c>
      <c r="E169" t="s">
        <v>15</v>
      </c>
      <c r="F169">
        <v>34</v>
      </c>
      <c r="G169" t="s">
        <v>325</v>
      </c>
      <c r="H169" s="2">
        <f>INDEX(Data!G:G,MATCH(G169,Data!A:A,0),1)</f>
        <v>5.79E-2</v>
      </c>
      <c r="I169" s="2">
        <f>INDEX(Data!J:J,MATCH(G169,Data!A:A,0),1)</f>
        <v>4.2599999999999999E-2</v>
      </c>
      <c r="J169" s="2">
        <f>INDEX(Data!R:R,MATCH(G169,Data!A:A,0),1)</f>
        <v>1</v>
      </c>
      <c r="K169" s="2">
        <f>INDEX(Data!S:S,MATCH(G169,Data!A:A,0),1)</f>
        <v>0</v>
      </c>
      <c r="L169" t="str">
        <f t="shared" si="2"/>
        <v>Combustion of fuels_Manufacture of beer</v>
      </c>
      <c r="M169">
        <f>INDEX(Data!AD:AD,MATCH($G169,Data!$A:$A,0),1)</f>
        <v>0.78200000000000003</v>
      </c>
      <c r="N169">
        <f>INDEX(Data!AE:AE,MATCH($G169,Data!$A:$A,0),1)</f>
        <v>0.63500000000000001</v>
      </c>
      <c r="O169">
        <f>INDEX(Data!AG:AG,MATCH($G169,Data!$A:$A,0),1)</f>
        <v>1.1486856676492798</v>
      </c>
      <c r="P169">
        <f>INDEX(Data!AH:AH,MATCH($G169,Data!$A:$A,0),1)</f>
        <v>1.7068864766411047</v>
      </c>
      <c r="Q169">
        <f>IFERROR(IF(MATCH(B169,#REF!,0)&gt;0,1),0)</f>
        <v>0</v>
      </c>
    </row>
    <row r="170" spans="1:17" x14ac:dyDescent="0.2">
      <c r="A170" t="s">
        <v>10</v>
      </c>
      <c r="B170" t="s">
        <v>98</v>
      </c>
      <c r="C170" t="s">
        <v>99</v>
      </c>
      <c r="D170" t="s">
        <v>403</v>
      </c>
      <c r="E170" t="s">
        <v>15</v>
      </c>
      <c r="F170">
        <v>1</v>
      </c>
      <c r="G170" t="s">
        <v>325</v>
      </c>
      <c r="H170" s="2">
        <f>INDEX(Data!G:G,MATCH(G170,Data!A:A,0),1)</f>
        <v>5.79E-2</v>
      </c>
      <c r="I170" s="2">
        <f>INDEX(Data!J:J,MATCH(G170,Data!A:A,0),1)</f>
        <v>4.2599999999999999E-2</v>
      </c>
      <c r="J170" s="2">
        <f>INDEX(Data!R:R,MATCH(G170,Data!A:A,0),1)</f>
        <v>1</v>
      </c>
      <c r="K170" s="2">
        <f>INDEX(Data!S:S,MATCH(G170,Data!A:A,0),1)</f>
        <v>0</v>
      </c>
      <c r="L170" t="str">
        <f t="shared" si="2"/>
        <v>Combustion of fuels_Manufacture of bodies (coachwork) for motor vehicles</v>
      </c>
      <c r="M170">
        <f>INDEX(Data!AD:AD,MATCH($G170,Data!$A:$A,0),1)</f>
        <v>0.78200000000000003</v>
      </c>
      <c r="N170">
        <f>INDEX(Data!AE:AE,MATCH($G170,Data!$A:$A,0),1)</f>
        <v>0.63500000000000001</v>
      </c>
      <c r="O170">
        <f>INDEX(Data!AG:AG,MATCH($G170,Data!$A:$A,0),1)</f>
        <v>1.1486856676492798</v>
      </c>
      <c r="P170">
        <f>INDEX(Data!AH:AH,MATCH($G170,Data!$A:$A,0),1)</f>
        <v>1.7068864766411047</v>
      </c>
      <c r="Q170">
        <f>IFERROR(IF(MATCH(B170,#REF!,0)&gt;0,1),0)</f>
        <v>0</v>
      </c>
    </row>
    <row r="171" spans="1:17" x14ac:dyDescent="0.2">
      <c r="A171" t="s">
        <v>10</v>
      </c>
      <c r="B171" t="s">
        <v>103</v>
      </c>
      <c r="C171" t="s">
        <v>62</v>
      </c>
      <c r="D171" t="s">
        <v>403</v>
      </c>
      <c r="E171" t="s">
        <v>15</v>
      </c>
      <c r="F171">
        <v>6</v>
      </c>
      <c r="G171" t="s">
        <v>325</v>
      </c>
      <c r="H171" s="2">
        <f>INDEX(Data!G:G,MATCH(G171,Data!A:A,0),1)</f>
        <v>5.79E-2</v>
      </c>
      <c r="I171" s="2">
        <f>INDEX(Data!J:J,MATCH(G171,Data!A:A,0),1)</f>
        <v>4.2599999999999999E-2</v>
      </c>
      <c r="J171" s="2">
        <f>INDEX(Data!R:R,MATCH(G171,Data!A:A,0),1)</f>
        <v>1</v>
      </c>
      <c r="K171" s="2">
        <f>INDEX(Data!S:S,MATCH(G171,Data!A:A,0),1)</f>
        <v>0</v>
      </c>
      <c r="L171" t="str">
        <f t="shared" si="2"/>
        <v>Combustion of fuels_Manufacture of carpets and rugs</v>
      </c>
      <c r="M171">
        <f>INDEX(Data!AD:AD,MATCH($G171,Data!$A:$A,0),1)</f>
        <v>0.78200000000000003</v>
      </c>
      <c r="N171">
        <f>INDEX(Data!AE:AE,MATCH($G171,Data!$A:$A,0),1)</f>
        <v>0.63500000000000001</v>
      </c>
      <c r="O171">
        <f>INDEX(Data!AG:AG,MATCH($G171,Data!$A:$A,0),1)</f>
        <v>1.1486856676492798</v>
      </c>
      <c r="P171">
        <f>INDEX(Data!AH:AH,MATCH($G171,Data!$A:$A,0),1)</f>
        <v>1.7068864766411047</v>
      </c>
      <c r="Q171">
        <f>IFERROR(IF(MATCH(B171,#REF!,0)&gt;0,1),0)</f>
        <v>0</v>
      </c>
    </row>
    <row r="172" spans="1:17" x14ac:dyDescent="0.2">
      <c r="A172" t="s">
        <v>10</v>
      </c>
      <c r="B172" t="s">
        <v>112</v>
      </c>
      <c r="C172" t="s">
        <v>113</v>
      </c>
      <c r="D172" t="s">
        <v>403</v>
      </c>
      <c r="E172" t="s">
        <v>15</v>
      </c>
      <c r="F172">
        <v>1</v>
      </c>
      <c r="G172" t="s">
        <v>325</v>
      </c>
      <c r="H172" s="2">
        <f>INDEX(Data!G:G,MATCH(G172,Data!A:A,0),1)</f>
        <v>5.79E-2</v>
      </c>
      <c r="I172" s="2">
        <f>INDEX(Data!J:J,MATCH(G172,Data!A:A,0),1)</f>
        <v>4.2599999999999999E-2</v>
      </c>
      <c r="J172" s="2">
        <f>INDEX(Data!R:R,MATCH(G172,Data!A:A,0),1)</f>
        <v>1</v>
      </c>
      <c r="K172" s="2">
        <f>INDEX(Data!S:S,MATCH(G172,Data!A:A,0),1)</f>
        <v>0</v>
      </c>
      <c r="L172" t="str">
        <f t="shared" si="2"/>
        <v>Combustion of fuels_Manufacture of cocoa, chocolate and sugar confectionery</v>
      </c>
      <c r="M172">
        <f>INDEX(Data!AD:AD,MATCH($G172,Data!$A:$A,0),1)</f>
        <v>0.78200000000000003</v>
      </c>
      <c r="N172">
        <f>INDEX(Data!AE:AE,MATCH($G172,Data!$A:$A,0),1)</f>
        <v>0.63500000000000001</v>
      </c>
      <c r="O172">
        <f>INDEX(Data!AG:AG,MATCH($G172,Data!$A:$A,0),1)</f>
        <v>1.1486856676492798</v>
      </c>
      <c r="P172">
        <f>INDEX(Data!AH:AH,MATCH($G172,Data!$A:$A,0),1)</f>
        <v>1.7068864766411047</v>
      </c>
      <c r="Q172">
        <f>IFERROR(IF(MATCH(B172,#REF!,0)&gt;0,1),0)</f>
        <v>0</v>
      </c>
    </row>
    <row r="173" spans="1:17" x14ac:dyDescent="0.2">
      <c r="A173" t="s">
        <v>10</v>
      </c>
      <c r="B173" t="s">
        <v>120</v>
      </c>
      <c r="C173" t="s">
        <v>113</v>
      </c>
      <c r="D173" t="s">
        <v>403</v>
      </c>
      <c r="E173" t="s">
        <v>15</v>
      </c>
      <c r="F173">
        <v>1</v>
      </c>
      <c r="G173" t="s">
        <v>325</v>
      </c>
      <c r="H173" s="2">
        <f>INDEX(Data!G:G,MATCH(G173,Data!A:A,0),1)</f>
        <v>5.79E-2</v>
      </c>
      <c r="I173" s="2">
        <f>INDEX(Data!J:J,MATCH(G173,Data!A:A,0),1)</f>
        <v>4.2599999999999999E-2</v>
      </c>
      <c r="J173" s="2">
        <f>INDEX(Data!R:R,MATCH(G173,Data!A:A,0),1)</f>
        <v>1</v>
      </c>
      <c r="K173" s="2">
        <f>INDEX(Data!S:S,MATCH(G173,Data!A:A,0),1)</f>
        <v>0</v>
      </c>
      <c r="L173" t="str">
        <f t="shared" si="2"/>
        <v>Combustion of fuels_Manufacture of condiments and seasonings</v>
      </c>
      <c r="M173">
        <f>INDEX(Data!AD:AD,MATCH($G173,Data!$A:$A,0),1)</f>
        <v>0.78200000000000003</v>
      </c>
      <c r="N173">
        <f>INDEX(Data!AE:AE,MATCH($G173,Data!$A:$A,0),1)</f>
        <v>0.63500000000000001</v>
      </c>
      <c r="O173">
        <f>INDEX(Data!AG:AG,MATCH($G173,Data!$A:$A,0),1)</f>
        <v>1.1486856676492798</v>
      </c>
      <c r="P173">
        <f>INDEX(Data!AH:AH,MATCH($G173,Data!$A:$A,0),1)</f>
        <v>1.7068864766411047</v>
      </c>
      <c r="Q173">
        <f>IFERROR(IF(MATCH(B173,#REF!,0)&gt;0,1),0)</f>
        <v>0</v>
      </c>
    </row>
    <row r="174" spans="1:17" x14ac:dyDescent="0.2">
      <c r="A174" t="s">
        <v>10</v>
      </c>
      <c r="B174" t="s">
        <v>126</v>
      </c>
      <c r="C174" t="s">
        <v>127</v>
      </c>
      <c r="D174" t="s">
        <v>403</v>
      </c>
      <c r="E174" t="s">
        <v>15</v>
      </c>
      <c r="F174">
        <v>2</v>
      </c>
      <c r="G174" t="s">
        <v>325</v>
      </c>
      <c r="H174" s="2">
        <f>INDEX(Data!G:G,MATCH(G174,Data!A:A,0),1)</f>
        <v>5.79E-2</v>
      </c>
      <c r="I174" s="2">
        <f>INDEX(Data!J:J,MATCH(G174,Data!A:A,0),1)</f>
        <v>4.2599999999999999E-2</v>
      </c>
      <c r="J174" s="2">
        <f>INDEX(Data!R:R,MATCH(G174,Data!A:A,0),1)</f>
        <v>1</v>
      </c>
      <c r="K174" s="2">
        <f>INDEX(Data!S:S,MATCH(G174,Data!A:A,0),1)</f>
        <v>0</v>
      </c>
      <c r="L174" t="str">
        <f t="shared" si="2"/>
        <v>Combustion of fuels_Manufacture of electric domestic appliances</v>
      </c>
      <c r="M174">
        <f>INDEX(Data!AD:AD,MATCH($G174,Data!$A:$A,0),1)</f>
        <v>0.78200000000000003</v>
      </c>
      <c r="N174">
        <f>INDEX(Data!AE:AE,MATCH($G174,Data!$A:$A,0),1)</f>
        <v>0.63500000000000001</v>
      </c>
      <c r="O174">
        <f>INDEX(Data!AG:AG,MATCH($G174,Data!$A:$A,0),1)</f>
        <v>1.1486856676492798</v>
      </c>
      <c r="P174">
        <f>INDEX(Data!AH:AH,MATCH($G174,Data!$A:$A,0),1)</f>
        <v>1.7068864766411047</v>
      </c>
      <c r="Q174">
        <f>IFERROR(IF(MATCH(B174,#REF!,0)&gt;0,1),0)</f>
        <v>0</v>
      </c>
    </row>
    <row r="175" spans="1:17" x14ac:dyDescent="0.2">
      <c r="A175" t="s">
        <v>10</v>
      </c>
      <c r="B175" t="s">
        <v>128</v>
      </c>
      <c r="C175" t="s">
        <v>127</v>
      </c>
      <c r="D175" t="s">
        <v>403</v>
      </c>
      <c r="E175" t="s">
        <v>15</v>
      </c>
      <c r="F175">
        <v>1</v>
      </c>
      <c r="G175" t="s">
        <v>325</v>
      </c>
      <c r="H175" s="2">
        <f>INDEX(Data!G:G,MATCH(G175,Data!A:A,0),1)</f>
        <v>5.79E-2</v>
      </c>
      <c r="I175" s="2">
        <f>INDEX(Data!J:J,MATCH(G175,Data!A:A,0),1)</f>
        <v>4.2599999999999999E-2</v>
      </c>
      <c r="J175" s="2">
        <f>INDEX(Data!R:R,MATCH(G175,Data!A:A,0),1)</f>
        <v>1</v>
      </c>
      <c r="K175" s="2">
        <f>INDEX(Data!S:S,MATCH(G175,Data!A:A,0),1)</f>
        <v>0</v>
      </c>
      <c r="L175" t="str">
        <f t="shared" si="2"/>
        <v>Combustion of fuels_Manufacture of electric lighting equipment</v>
      </c>
      <c r="M175">
        <f>INDEX(Data!AD:AD,MATCH($G175,Data!$A:$A,0),1)</f>
        <v>0.78200000000000003</v>
      </c>
      <c r="N175">
        <f>INDEX(Data!AE:AE,MATCH($G175,Data!$A:$A,0),1)</f>
        <v>0.63500000000000001</v>
      </c>
      <c r="O175">
        <f>INDEX(Data!AG:AG,MATCH($G175,Data!$A:$A,0),1)</f>
        <v>1.1486856676492798</v>
      </c>
      <c r="P175">
        <f>INDEX(Data!AH:AH,MATCH($G175,Data!$A:$A,0),1)</f>
        <v>1.7068864766411047</v>
      </c>
      <c r="Q175">
        <f>IFERROR(IF(MATCH(B175,#REF!,0)&gt;0,1),0)</f>
        <v>0</v>
      </c>
    </row>
    <row r="176" spans="1:17" x14ac:dyDescent="0.2">
      <c r="A176" t="s">
        <v>10</v>
      </c>
      <c r="B176" t="s">
        <v>130</v>
      </c>
      <c r="C176" t="s">
        <v>127</v>
      </c>
      <c r="D176" t="s">
        <v>403</v>
      </c>
      <c r="E176" t="s">
        <v>15</v>
      </c>
      <c r="F176">
        <v>1</v>
      </c>
      <c r="G176" t="s">
        <v>325</v>
      </c>
      <c r="H176" s="2">
        <f>INDEX(Data!G:G,MATCH(G176,Data!A:A,0),1)</f>
        <v>5.79E-2</v>
      </c>
      <c r="I176" s="2">
        <f>INDEX(Data!J:J,MATCH(G176,Data!A:A,0),1)</f>
        <v>4.2599999999999999E-2</v>
      </c>
      <c r="J176" s="2">
        <f>INDEX(Data!R:R,MATCH(G176,Data!A:A,0),1)</f>
        <v>1</v>
      </c>
      <c r="K176" s="2">
        <f>INDEX(Data!S:S,MATCH(G176,Data!A:A,0),1)</f>
        <v>0</v>
      </c>
      <c r="L176" t="str">
        <f t="shared" si="2"/>
        <v>Combustion of fuels_Manufacture of electricity distribution and control apparatus</v>
      </c>
      <c r="M176">
        <f>INDEX(Data!AD:AD,MATCH($G176,Data!$A:$A,0),1)</f>
        <v>0.78200000000000003</v>
      </c>
      <c r="N176">
        <f>INDEX(Data!AE:AE,MATCH($G176,Data!$A:$A,0),1)</f>
        <v>0.63500000000000001</v>
      </c>
      <c r="O176">
        <f>INDEX(Data!AG:AG,MATCH($G176,Data!$A:$A,0),1)</f>
        <v>1.1486856676492798</v>
      </c>
      <c r="P176">
        <f>INDEX(Data!AH:AH,MATCH($G176,Data!$A:$A,0),1)</f>
        <v>1.7068864766411047</v>
      </c>
      <c r="Q176">
        <f>IFERROR(IF(MATCH(B176,#REF!,0)&gt;0,1),0)</f>
        <v>0</v>
      </c>
    </row>
    <row r="177" spans="1:17" x14ac:dyDescent="0.2">
      <c r="A177" t="s">
        <v>10</v>
      </c>
      <c r="B177" t="s">
        <v>131</v>
      </c>
      <c r="C177" t="s">
        <v>118</v>
      </c>
      <c r="D177" t="s">
        <v>403</v>
      </c>
      <c r="E177" t="s">
        <v>15</v>
      </c>
      <c r="F177">
        <v>4</v>
      </c>
      <c r="G177" t="s">
        <v>325</v>
      </c>
      <c r="H177" s="2">
        <f>INDEX(Data!G:G,MATCH(G177,Data!A:A,0),1)</f>
        <v>5.79E-2</v>
      </c>
      <c r="I177" s="2">
        <f>INDEX(Data!J:J,MATCH(G177,Data!A:A,0),1)</f>
        <v>4.2599999999999999E-2</v>
      </c>
      <c r="J177" s="2">
        <f>INDEX(Data!R:R,MATCH(G177,Data!A:A,0),1)</f>
        <v>1</v>
      </c>
      <c r="K177" s="2">
        <f>INDEX(Data!S:S,MATCH(G177,Data!A:A,0),1)</f>
        <v>0</v>
      </c>
      <c r="L177" t="str">
        <f t="shared" si="2"/>
        <v>Combustion of fuels_Manufacture of electronic components</v>
      </c>
      <c r="M177">
        <f>INDEX(Data!AD:AD,MATCH($G177,Data!$A:$A,0),1)</f>
        <v>0.78200000000000003</v>
      </c>
      <c r="N177">
        <f>INDEX(Data!AE:AE,MATCH($G177,Data!$A:$A,0),1)</f>
        <v>0.63500000000000001</v>
      </c>
      <c r="O177">
        <f>INDEX(Data!AG:AG,MATCH($G177,Data!$A:$A,0),1)</f>
        <v>1.1486856676492798</v>
      </c>
      <c r="P177">
        <f>INDEX(Data!AH:AH,MATCH($G177,Data!$A:$A,0),1)</f>
        <v>1.7068864766411047</v>
      </c>
      <c r="Q177">
        <f>IFERROR(IF(MATCH(B177,#REF!,0)&gt;0,1),0)</f>
        <v>0</v>
      </c>
    </row>
    <row r="178" spans="1:17" x14ac:dyDescent="0.2">
      <c r="A178" t="s">
        <v>10</v>
      </c>
      <c r="B178" t="s">
        <v>132</v>
      </c>
      <c r="C178" t="s">
        <v>86</v>
      </c>
      <c r="D178" t="s">
        <v>403</v>
      </c>
      <c r="E178" t="s">
        <v>15</v>
      </c>
      <c r="F178">
        <v>13</v>
      </c>
      <c r="G178" t="s">
        <v>325</v>
      </c>
      <c r="H178" s="2">
        <f>INDEX(Data!G:G,MATCH(G178,Data!A:A,0),1)</f>
        <v>5.79E-2</v>
      </c>
      <c r="I178" s="2">
        <f>INDEX(Data!J:J,MATCH(G178,Data!A:A,0),1)</f>
        <v>4.2599999999999999E-2</v>
      </c>
      <c r="J178" s="2">
        <f>INDEX(Data!R:R,MATCH(G178,Data!A:A,0),1)</f>
        <v>1</v>
      </c>
      <c r="K178" s="2">
        <f>INDEX(Data!S:S,MATCH(G178,Data!A:A,0),1)</f>
        <v>0</v>
      </c>
      <c r="L178" t="str">
        <f t="shared" si="2"/>
        <v>Combustion of fuels_Manufacture of engines and turbines, except aircraft, vehicle and cycle engines</v>
      </c>
      <c r="M178">
        <f>INDEX(Data!AD:AD,MATCH($G178,Data!$A:$A,0),1)</f>
        <v>0.78200000000000003</v>
      </c>
      <c r="N178">
        <f>INDEX(Data!AE:AE,MATCH($G178,Data!$A:$A,0),1)</f>
        <v>0.63500000000000001</v>
      </c>
      <c r="O178">
        <f>INDEX(Data!AG:AG,MATCH($G178,Data!$A:$A,0),1)</f>
        <v>1.1486856676492798</v>
      </c>
      <c r="P178">
        <f>INDEX(Data!AH:AH,MATCH($G178,Data!$A:$A,0),1)</f>
        <v>1.7068864766411047</v>
      </c>
      <c r="Q178">
        <f>IFERROR(IF(MATCH(B178,#REF!,0)&gt;0,1),0)</f>
        <v>0</v>
      </c>
    </row>
    <row r="179" spans="1:17" x14ac:dyDescent="0.2">
      <c r="A179" t="s">
        <v>10</v>
      </c>
      <c r="B179" t="s">
        <v>139</v>
      </c>
      <c r="C179" t="s">
        <v>113</v>
      </c>
      <c r="D179" t="s">
        <v>403</v>
      </c>
      <c r="E179" t="s">
        <v>15</v>
      </c>
      <c r="F179">
        <v>8</v>
      </c>
      <c r="G179" t="s">
        <v>325</v>
      </c>
      <c r="H179" s="2">
        <f>INDEX(Data!G:G,MATCH(G179,Data!A:A,0),1)</f>
        <v>5.79E-2</v>
      </c>
      <c r="I179" s="2">
        <f>INDEX(Data!J:J,MATCH(G179,Data!A:A,0),1)</f>
        <v>4.2599999999999999E-2</v>
      </c>
      <c r="J179" s="2">
        <f>INDEX(Data!R:R,MATCH(G179,Data!A:A,0),1)</f>
        <v>1</v>
      </c>
      <c r="K179" s="2">
        <f>INDEX(Data!S:S,MATCH(G179,Data!A:A,0),1)</f>
        <v>0</v>
      </c>
      <c r="L179" t="str">
        <f t="shared" si="2"/>
        <v>Combustion of fuels_Manufacture of fruit and vegetable juice</v>
      </c>
      <c r="M179">
        <f>INDEX(Data!AD:AD,MATCH($G179,Data!$A:$A,0),1)</f>
        <v>0.78200000000000003</v>
      </c>
      <c r="N179">
        <f>INDEX(Data!AE:AE,MATCH($G179,Data!$A:$A,0),1)</f>
        <v>0.63500000000000001</v>
      </c>
      <c r="O179">
        <f>INDEX(Data!AG:AG,MATCH($G179,Data!$A:$A,0),1)</f>
        <v>1.1486856676492798</v>
      </c>
      <c r="P179">
        <f>INDEX(Data!AH:AH,MATCH($G179,Data!$A:$A,0),1)</f>
        <v>1.7068864766411047</v>
      </c>
      <c r="Q179">
        <f>IFERROR(IF(MATCH(B179,#REF!,0)&gt;0,1),0)</f>
        <v>0</v>
      </c>
    </row>
    <row r="180" spans="1:17" x14ac:dyDescent="0.2">
      <c r="A180" t="s">
        <v>10</v>
      </c>
      <c r="B180" t="s">
        <v>145</v>
      </c>
      <c r="C180" t="s">
        <v>113</v>
      </c>
      <c r="D180" t="s">
        <v>403</v>
      </c>
      <c r="E180" t="s">
        <v>15</v>
      </c>
      <c r="F180">
        <v>2</v>
      </c>
      <c r="G180" t="s">
        <v>325</v>
      </c>
      <c r="H180" s="2">
        <f>INDEX(Data!G:G,MATCH(G180,Data!A:A,0),1)</f>
        <v>5.79E-2</v>
      </c>
      <c r="I180" s="2">
        <f>INDEX(Data!J:J,MATCH(G180,Data!A:A,0),1)</f>
        <v>4.2599999999999999E-2</v>
      </c>
      <c r="J180" s="2">
        <f>INDEX(Data!R:R,MATCH(G180,Data!A:A,0),1)</f>
        <v>1</v>
      </c>
      <c r="K180" s="2">
        <f>INDEX(Data!S:S,MATCH(G180,Data!A:A,0),1)</f>
        <v>0</v>
      </c>
      <c r="L180" t="str">
        <f t="shared" si="2"/>
        <v>Combustion of fuels_Manufacture of grain mill products</v>
      </c>
      <c r="M180">
        <f>INDEX(Data!AD:AD,MATCH($G180,Data!$A:$A,0),1)</f>
        <v>0.78200000000000003</v>
      </c>
      <c r="N180">
        <f>INDEX(Data!AE:AE,MATCH($G180,Data!$A:$A,0),1)</f>
        <v>0.63500000000000001</v>
      </c>
      <c r="O180">
        <f>INDEX(Data!AG:AG,MATCH($G180,Data!$A:$A,0),1)</f>
        <v>1.1486856676492798</v>
      </c>
      <c r="P180">
        <f>INDEX(Data!AH:AH,MATCH($G180,Data!$A:$A,0),1)</f>
        <v>1.7068864766411047</v>
      </c>
      <c r="Q180">
        <f>IFERROR(IF(MATCH(B180,#REF!,0)&gt;0,1),0)</f>
        <v>0</v>
      </c>
    </row>
    <row r="181" spans="1:17" x14ac:dyDescent="0.2">
      <c r="A181" t="s">
        <v>10</v>
      </c>
      <c r="B181" t="s">
        <v>147</v>
      </c>
      <c r="C181" t="s">
        <v>113</v>
      </c>
      <c r="D181" t="s">
        <v>403</v>
      </c>
      <c r="E181" t="s">
        <v>15</v>
      </c>
      <c r="F181">
        <v>5</v>
      </c>
      <c r="G181" t="s">
        <v>325</v>
      </c>
      <c r="H181" s="2">
        <f>INDEX(Data!G:G,MATCH(G181,Data!A:A,0),1)</f>
        <v>5.79E-2</v>
      </c>
      <c r="I181" s="2">
        <f>INDEX(Data!J:J,MATCH(G181,Data!A:A,0),1)</f>
        <v>4.2599999999999999E-2</v>
      </c>
      <c r="J181" s="2">
        <f>INDEX(Data!R:R,MATCH(G181,Data!A:A,0),1)</f>
        <v>1</v>
      </c>
      <c r="K181" s="2">
        <f>INDEX(Data!S:S,MATCH(G181,Data!A:A,0),1)</f>
        <v>0</v>
      </c>
      <c r="L181" t="str">
        <f t="shared" si="2"/>
        <v>Combustion of fuels_Manufacture of homogenised food preparations and dietetic food</v>
      </c>
      <c r="M181">
        <f>INDEX(Data!AD:AD,MATCH($G181,Data!$A:$A,0),1)</f>
        <v>0.78200000000000003</v>
      </c>
      <c r="N181">
        <f>INDEX(Data!AE:AE,MATCH($G181,Data!$A:$A,0),1)</f>
        <v>0.63500000000000001</v>
      </c>
      <c r="O181">
        <f>INDEX(Data!AG:AG,MATCH($G181,Data!$A:$A,0),1)</f>
        <v>1.1486856676492798</v>
      </c>
      <c r="P181">
        <f>INDEX(Data!AH:AH,MATCH($G181,Data!$A:$A,0),1)</f>
        <v>1.7068864766411047</v>
      </c>
      <c r="Q181">
        <f>IFERROR(IF(MATCH(B181,#REF!,0)&gt;0,1),0)</f>
        <v>0</v>
      </c>
    </row>
    <row r="182" spans="1:17" x14ac:dyDescent="0.2">
      <c r="A182" t="s">
        <v>10</v>
      </c>
      <c r="B182" t="s">
        <v>150</v>
      </c>
      <c r="C182" t="s">
        <v>113</v>
      </c>
      <c r="D182" t="s">
        <v>403</v>
      </c>
      <c r="E182" t="s">
        <v>15</v>
      </c>
      <c r="F182">
        <v>1</v>
      </c>
      <c r="G182" t="s">
        <v>325</v>
      </c>
      <c r="H182" s="2">
        <f>INDEX(Data!G:G,MATCH(G182,Data!A:A,0),1)</f>
        <v>5.79E-2</v>
      </c>
      <c r="I182" s="2">
        <f>INDEX(Data!J:J,MATCH(G182,Data!A:A,0),1)</f>
        <v>4.2599999999999999E-2</v>
      </c>
      <c r="J182" s="2">
        <f>INDEX(Data!R:R,MATCH(G182,Data!A:A,0),1)</f>
        <v>1</v>
      </c>
      <c r="K182" s="2">
        <f>INDEX(Data!S:S,MATCH(G182,Data!A:A,0),1)</f>
        <v>0</v>
      </c>
      <c r="L182" t="str">
        <f t="shared" si="2"/>
        <v>Combustion of fuels_Manufacture of ice cream</v>
      </c>
      <c r="M182">
        <f>INDEX(Data!AD:AD,MATCH($G182,Data!$A:$A,0),1)</f>
        <v>0.78200000000000003</v>
      </c>
      <c r="N182">
        <f>INDEX(Data!AE:AE,MATCH($G182,Data!$A:$A,0),1)</f>
        <v>0.63500000000000001</v>
      </c>
      <c r="O182">
        <f>INDEX(Data!AG:AG,MATCH($G182,Data!$A:$A,0),1)</f>
        <v>1.1486856676492798</v>
      </c>
      <c r="P182">
        <f>INDEX(Data!AH:AH,MATCH($G182,Data!$A:$A,0),1)</f>
        <v>1.7068864766411047</v>
      </c>
      <c r="Q182">
        <f>IFERROR(IF(MATCH(B182,#REF!,0)&gt;0,1),0)</f>
        <v>0</v>
      </c>
    </row>
    <row r="183" spans="1:17" x14ac:dyDescent="0.2">
      <c r="A183" t="s">
        <v>10</v>
      </c>
      <c r="B183" t="s">
        <v>153</v>
      </c>
      <c r="C183" t="s">
        <v>65</v>
      </c>
      <c r="D183" t="s">
        <v>403</v>
      </c>
      <c r="E183" t="s">
        <v>15</v>
      </c>
      <c r="F183">
        <v>1</v>
      </c>
      <c r="G183" t="s">
        <v>325</v>
      </c>
      <c r="H183" s="2">
        <f>INDEX(Data!G:G,MATCH(G183,Data!A:A,0),1)</f>
        <v>5.79E-2</v>
      </c>
      <c r="I183" s="2">
        <f>INDEX(Data!J:J,MATCH(G183,Data!A:A,0),1)</f>
        <v>4.2599999999999999E-2</v>
      </c>
      <c r="J183" s="2">
        <f>INDEX(Data!R:R,MATCH(G183,Data!A:A,0),1)</f>
        <v>1</v>
      </c>
      <c r="K183" s="2">
        <f>INDEX(Data!S:S,MATCH(G183,Data!A:A,0),1)</f>
        <v>0</v>
      </c>
      <c r="L183" t="str">
        <f t="shared" si="2"/>
        <v>Combustion of fuels_Manufacture of light metal packaging</v>
      </c>
      <c r="M183">
        <f>INDEX(Data!AD:AD,MATCH($G183,Data!$A:$A,0),1)</f>
        <v>0.78200000000000003</v>
      </c>
      <c r="N183">
        <f>INDEX(Data!AE:AE,MATCH($G183,Data!$A:$A,0),1)</f>
        <v>0.63500000000000001</v>
      </c>
      <c r="O183">
        <f>INDEX(Data!AG:AG,MATCH($G183,Data!$A:$A,0),1)</f>
        <v>1.1486856676492798</v>
      </c>
      <c r="P183">
        <f>INDEX(Data!AH:AH,MATCH($G183,Data!$A:$A,0),1)</f>
        <v>1.7068864766411047</v>
      </c>
      <c r="Q183">
        <f>IFERROR(IF(MATCH(B183,#REF!,0)&gt;0,1),0)</f>
        <v>0</v>
      </c>
    </row>
    <row r="184" spans="1:17" x14ac:dyDescent="0.2">
      <c r="A184" t="s">
        <v>10</v>
      </c>
      <c r="B184" t="s">
        <v>157</v>
      </c>
      <c r="C184" t="s">
        <v>86</v>
      </c>
      <c r="D184" t="s">
        <v>403</v>
      </c>
      <c r="E184" t="s">
        <v>15</v>
      </c>
      <c r="F184">
        <v>1</v>
      </c>
      <c r="G184" t="s">
        <v>325</v>
      </c>
      <c r="H184" s="2">
        <f>INDEX(Data!G:G,MATCH(G184,Data!A:A,0),1)</f>
        <v>5.79E-2</v>
      </c>
      <c r="I184" s="2">
        <f>INDEX(Data!J:J,MATCH(G184,Data!A:A,0),1)</f>
        <v>4.2599999999999999E-2</v>
      </c>
      <c r="J184" s="2">
        <f>INDEX(Data!R:R,MATCH(G184,Data!A:A,0),1)</f>
        <v>1</v>
      </c>
      <c r="K184" s="2">
        <f>INDEX(Data!S:S,MATCH(G184,Data!A:A,0),1)</f>
        <v>0</v>
      </c>
      <c r="L184" t="str">
        <f t="shared" si="2"/>
        <v>Combustion of fuels_Manufacture of machinery for metallurgy</v>
      </c>
      <c r="M184">
        <f>INDEX(Data!AD:AD,MATCH($G184,Data!$A:$A,0),1)</f>
        <v>0.78200000000000003</v>
      </c>
      <c r="N184">
        <f>INDEX(Data!AE:AE,MATCH($G184,Data!$A:$A,0),1)</f>
        <v>0.63500000000000001</v>
      </c>
      <c r="O184">
        <f>INDEX(Data!AG:AG,MATCH($G184,Data!$A:$A,0),1)</f>
        <v>1.1486856676492798</v>
      </c>
      <c r="P184">
        <f>INDEX(Data!AH:AH,MATCH($G184,Data!$A:$A,0),1)</f>
        <v>1.7068864766411047</v>
      </c>
      <c r="Q184">
        <f>IFERROR(IF(MATCH(B184,#REF!,0)&gt;0,1),0)</f>
        <v>0</v>
      </c>
    </row>
    <row r="185" spans="1:17" x14ac:dyDescent="0.2">
      <c r="A185" t="s">
        <v>10</v>
      </c>
      <c r="B185" t="s">
        <v>161</v>
      </c>
      <c r="C185" t="s">
        <v>42</v>
      </c>
      <c r="D185" t="s">
        <v>403</v>
      </c>
      <c r="E185" t="s">
        <v>15</v>
      </c>
      <c r="F185">
        <v>13</v>
      </c>
      <c r="G185" t="s">
        <v>325</v>
      </c>
      <c r="H185" s="2">
        <f>INDEX(Data!G:G,MATCH(G185,Data!A:A,0),1)</f>
        <v>5.79E-2</v>
      </c>
      <c r="I185" s="2">
        <f>INDEX(Data!J:J,MATCH(G185,Data!A:A,0),1)</f>
        <v>4.2599999999999999E-2</v>
      </c>
      <c r="J185" s="2">
        <f>INDEX(Data!R:R,MATCH(G185,Data!A:A,0),1)</f>
        <v>1</v>
      </c>
      <c r="K185" s="2">
        <f>INDEX(Data!S:S,MATCH(G185,Data!A:A,0),1)</f>
        <v>0</v>
      </c>
      <c r="L185" t="str">
        <f t="shared" si="2"/>
        <v>Combustion of fuels_Manufacture of malt</v>
      </c>
      <c r="M185">
        <f>INDEX(Data!AD:AD,MATCH($G185,Data!$A:$A,0),1)</f>
        <v>0.78200000000000003</v>
      </c>
      <c r="N185">
        <f>INDEX(Data!AE:AE,MATCH($G185,Data!$A:$A,0),1)</f>
        <v>0.63500000000000001</v>
      </c>
      <c r="O185">
        <f>INDEX(Data!AG:AG,MATCH($G185,Data!$A:$A,0),1)</f>
        <v>1.1486856676492798</v>
      </c>
      <c r="P185">
        <f>INDEX(Data!AH:AH,MATCH($G185,Data!$A:$A,0),1)</f>
        <v>1.7068864766411047</v>
      </c>
      <c r="Q185">
        <f>IFERROR(IF(MATCH(B185,#REF!,0)&gt;0,1),0)</f>
        <v>0</v>
      </c>
    </row>
    <row r="186" spans="1:17" x14ac:dyDescent="0.2">
      <c r="A186" t="s">
        <v>10</v>
      </c>
      <c r="B186" t="s">
        <v>163</v>
      </c>
      <c r="C186" t="s">
        <v>164</v>
      </c>
      <c r="D186" t="s">
        <v>403</v>
      </c>
      <c r="E186" t="s">
        <v>15</v>
      </c>
      <c r="F186">
        <v>2</v>
      </c>
      <c r="G186" t="s">
        <v>325</v>
      </c>
      <c r="H186" s="2">
        <f>INDEX(Data!G:G,MATCH(G186,Data!A:A,0),1)</f>
        <v>5.79E-2</v>
      </c>
      <c r="I186" s="2">
        <f>INDEX(Data!J:J,MATCH(G186,Data!A:A,0),1)</f>
        <v>4.2599999999999999E-2</v>
      </c>
      <c r="J186" s="2">
        <f>INDEX(Data!R:R,MATCH(G186,Data!A:A,0),1)</f>
        <v>1</v>
      </c>
      <c r="K186" s="2">
        <f>INDEX(Data!S:S,MATCH(G186,Data!A:A,0),1)</f>
        <v>0</v>
      </c>
      <c r="L186" t="str">
        <f t="shared" si="2"/>
        <v>Combustion of fuels_Manufacture of medical and dental instruments and supplies</v>
      </c>
      <c r="M186">
        <f>INDEX(Data!AD:AD,MATCH($G186,Data!$A:$A,0),1)</f>
        <v>0.78200000000000003</v>
      </c>
      <c r="N186">
        <f>INDEX(Data!AE:AE,MATCH($G186,Data!$A:$A,0),1)</f>
        <v>0.63500000000000001</v>
      </c>
      <c r="O186">
        <f>INDEX(Data!AG:AG,MATCH($G186,Data!$A:$A,0),1)</f>
        <v>1.1486856676492798</v>
      </c>
      <c r="P186">
        <f>INDEX(Data!AH:AH,MATCH($G186,Data!$A:$A,0),1)</f>
        <v>1.7068864766411047</v>
      </c>
      <c r="Q186">
        <f>IFERROR(IF(MATCH(B186,#REF!,0)&gt;0,1),0)</f>
        <v>0</v>
      </c>
    </row>
    <row r="187" spans="1:17" x14ac:dyDescent="0.2">
      <c r="A187" t="s">
        <v>10</v>
      </c>
      <c r="B187" t="s">
        <v>167</v>
      </c>
      <c r="C187" t="s">
        <v>99</v>
      </c>
      <c r="D187" t="s">
        <v>403</v>
      </c>
      <c r="E187" t="s">
        <v>15</v>
      </c>
      <c r="F187">
        <v>42</v>
      </c>
      <c r="G187" t="s">
        <v>325</v>
      </c>
      <c r="H187" s="2">
        <f>INDEX(Data!G:G,MATCH(G187,Data!A:A,0),1)</f>
        <v>5.79E-2</v>
      </c>
      <c r="I187" s="2">
        <f>INDEX(Data!J:J,MATCH(G187,Data!A:A,0),1)</f>
        <v>4.2599999999999999E-2</v>
      </c>
      <c r="J187" s="2">
        <f>INDEX(Data!R:R,MATCH(G187,Data!A:A,0),1)</f>
        <v>1</v>
      </c>
      <c r="K187" s="2">
        <f>INDEX(Data!S:S,MATCH(G187,Data!A:A,0),1)</f>
        <v>0</v>
      </c>
      <c r="L187" t="str">
        <f t="shared" si="2"/>
        <v>Combustion of fuels_Manufacture of motor vehicles</v>
      </c>
      <c r="M187">
        <f>INDEX(Data!AD:AD,MATCH($G187,Data!$A:$A,0),1)</f>
        <v>0.78200000000000003</v>
      </c>
      <c r="N187">
        <f>INDEX(Data!AE:AE,MATCH($G187,Data!$A:$A,0),1)</f>
        <v>0.63500000000000001</v>
      </c>
      <c r="O187">
        <f>INDEX(Data!AG:AG,MATCH($G187,Data!$A:$A,0),1)</f>
        <v>1.1486856676492798</v>
      </c>
      <c r="P187">
        <f>INDEX(Data!AH:AH,MATCH($G187,Data!$A:$A,0),1)</f>
        <v>1.7068864766411047</v>
      </c>
      <c r="Q187">
        <f>IFERROR(IF(MATCH(B187,#REF!,0)&gt;0,1),0)</f>
        <v>0</v>
      </c>
    </row>
    <row r="188" spans="1:17" x14ac:dyDescent="0.2">
      <c r="A188" t="s">
        <v>10</v>
      </c>
      <c r="B188" t="s">
        <v>168</v>
      </c>
      <c r="C188" t="s">
        <v>14</v>
      </c>
      <c r="D188" t="s">
        <v>403</v>
      </c>
      <c r="E188" t="s">
        <v>15</v>
      </c>
      <c r="F188">
        <v>2</v>
      </c>
      <c r="G188" t="s">
        <v>325</v>
      </c>
      <c r="H188" s="2">
        <f>INDEX(Data!G:G,MATCH(G188,Data!A:A,0),1)</f>
        <v>5.79E-2</v>
      </c>
      <c r="I188" s="2">
        <f>INDEX(Data!J:J,MATCH(G188,Data!A:A,0),1)</f>
        <v>4.2599999999999999E-2</v>
      </c>
      <c r="J188" s="2">
        <f>INDEX(Data!R:R,MATCH(G188,Data!A:A,0),1)</f>
        <v>1</v>
      </c>
      <c r="K188" s="2">
        <f>INDEX(Data!S:S,MATCH(G188,Data!A:A,0),1)</f>
        <v>0</v>
      </c>
      <c r="L188" t="str">
        <f t="shared" si="2"/>
        <v>Combustion of fuels_Manufacture of motorcycles</v>
      </c>
      <c r="M188">
        <f>INDEX(Data!AD:AD,MATCH($G188,Data!$A:$A,0),1)</f>
        <v>0.78200000000000003</v>
      </c>
      <c r="N188">
        <f>INDEX(Data!AE:AE,MATCH($G188,Data!$A:$A,0),1)</f>
        <v>0.63500000000000001</v>
      </c>
      <c r="O188">
        <f>INDEX(Data!AG:AG,MATCH($G188,Data!$A:$A,0),1)</f>
        <v>1.1486856676492798</v>
      </c>
      <c r="P188">
        <f>INDEX(Data!AH:AH,MATCH($G188,Data!$A:$A,0),1)</f>
        <v>1.7068864766411047</v>
      </c>
      <c r="Q188">
        <f>IFERROR(IF(MATCH(B188,#REF!,0)&gt;0,1),0)</f>
        <v>0</v>
      </c>
    </row>
    <row r="189" spans="1:17" x14ac:dyDescent="0.2">
      <c r="A189" t="s">
        <v>10</v>
      </c>
      <c r="B189" t="s">
        <v>170</v>
      </c>
      <c r="C189" t="s">
        <v>62</v>
      </c>
      <c r="D189" t="s">
        <v>403</v>
      </c>
      <c r="E189" t="s">
        <v>15</v>
      </c>
      <c r="F189">
        <v>2</v>
      </c>
      <c r="G189" t="s">
        <v>325</v>
      </c>
      <c r="H189" s="2">
        <f>INDEX(Data!G:G,MATCH(G189,Data!A:A,0),1)</f>
        <v>5.79E-2</v>
      </c>
      <c r="I189" s="2">
        <f>INDEX(Data!J:J,MATCH(G189,Data!A:A,0),1)</f>
        <v>4.2599999999999999E-2</v>
      </c>
      <c r="J189" s="2">
        <f>INDEX(Data!R:R,MATCH(G189,Data!A:A,0),1)</f>
        <v>1</v>
      </c>
      <c r="K189" s="2">
        <f>INDEX(Data!S:S,MATCH(G189,Data!A:A,0),1)</f>
        <v>0</v>
      </c>
      <c r="L189" t="str">
        <f t="shared" si="2"/>
        <v>Combustion of fuels_Manufacture of non-wovens and articles made from non-wovens, except apparel</v>
      </c>
      <c r="M189">
        <f>INDEX(Data!AD:AD,MATCH($G189,Data!$A:$A,0),1)</f>
        <v>0.78200000000000003</v>
      </c>
      <c r="N189">
        <f>INDEX(Data!AE:AE,MATCH($G189,Data!$A:$A,0),1)</f>
        <v>0.63500000000000001</v>
      </c>
      <c r="O189">
        <f>INDEX(Data!AG:AG,MATCH($G189,Data!$A:$A,0),1)</f>
        <v>1.1486856676492798</v>
      </c>
      <c r="P189">
        <f>INDEX(Data!AH:AH,MATCH($G189,Data!$A:$A,0),1)</f>
        <v>1.7068864766411047</v>
      </c>
      <c r="Q189">
        <f>IFERROR(IF(MATCH(B189,#REF!,0)&gt;0,1),0)</f>
        <v>0</v>
      </c>
    </row>
    <row r="190" spans="1:17" x14ac:dyDescent="0.2">
      <c r="A190" t="s">
        <v>10</v>
      </c>
      <c r="B190" t="s">
        <v>171</v>
      </c>
      <c r="C190" t="s">
        <v>113</v>
      </c>
      <c r="D190" t="s">
        <v>403</v>
      </c>
      <c r="E190" t="s">
        <v>15</v>
      </c>
      <c r="F190">
        <v>60</v>
      </c>
      <c r="G190" t="s">
        <v>325</v>
      </c>
      <c r="H190" s="2">
        <f>INDEX(Data!G:G,MATCH(G190,Data!A:A,0),1)</f>
        <v>5.79E-2</v>
      </c>
      <c r="I190" s="2">
        <f>INDEX(Data!J:J,MATCH(G190,Data!A:A,0),1)</f>
        <v>4.2599999999999999E-2</v>
      </c>
      <c r="J190" s="2">
        <f>INDEX(Data!R:R,MATCH(G190,Data!A:A,0),1)</f>
        <v>1</v>
      </c>
      <c r="K190" s="2">
        <f>INDEX(Data!S:S,MATCH(G190,Data!A:A,0),1)</f>
        <v>0</v>
      </c>
      <c r="L190" t="str">
        <f t="shared" si="2"/>
        <v>Combustion of fuels_Manufacture of oils and fats</v>
      </c>
      <c r="M190">
        <f>INDEX(Data!AD:AD,MATCH($G190,Data!$A:$A,0),1)</f>
        <v>0.78200000000000003</v>
      </c>
      <c r="N190">
        <f>INDEX(Data!AE:AE,MATCH($G190,Data!$A:$A,0),1)</f>
        <v>0.63500000000000001</v>
      </c>
      <c r="O190">
        <f>INDEX(Data!AG:AG,MATCH($G190,Data!$A:$A,0),1)</f>
        <v>1.1486856676492798</v>
      </c>
      <c r="P190">
        <f>INDEX(Data!AH:AH,MATCH($G190,Data!$A:$A,0),1)</f>
        <v>1.7068864766411047</v>
      </c>
      <c r="Q190">
        <f>IFERROR(IF(MATCH(B190,#REF!,0)&gt;0,1),0)</f>
        <v>0</v>
      </c>
    </row>
    <row r="191" spans="1:17" x14ac:dyDescent="0.2">
      <c r="A191" t="s">
        <v>10</v>
      </c>
      <c r="B191" t="s">
        <v>174</v>
      </c>
      <c r="C191" t="s">
        <v>89</v>
      </c>
      <c r="D191" t="s">
        <v>403</v>
      </c>
      <c r="E191" t="s">
        <v>15</v>
      </c>
      <c r="F191">
        <v>1</v>
      </c>
      <c r="G191" t="s">
        <v>325</v>
      </c>
      <c r="H191" s="2">
        <f>INDEX(Data!G:G,MATCH(G191,Data!A:A,0),1)</f>
        <v>5.79E-2</v>
      </c>
      <c r="I191" s="2">
        <f>INDEX(Data!J:J,MATCH(G191,Data!A:A,0),1)</f>
        <v>4.2599999999999999E-2</v>
      </c>
      <c r="J191" s="2">
        <f>INDEX(Data!R:R,MATCH(G191,Data!A:A,0),1)</f>
        <v>1</v>
      </c>
      <c r="K191" s="2">
        <f>INDEX(Data!S:S,MATCH(G191,Data!A:A,0),1)</f>
        <v>0</v>
      </c>
      <c r="L191" t="str">
        <f t="shared" si="2"/>
        <v>Combustion of fuels_Manufacture of other builders' carpentry and joinery</v>
      </c>
      <c r="M191">
        <f>INDEX(Data!AD:AD,MATCH($G191,Data!$A:$A,0),1)</f>
        <v>0.78200000000000003</v>
      </c>
      <c r="N191">
        <f>INDEX(Data!AE:AE,MATCH($G191,Data!$A:$A,0),1)</f>
        <v>0.63500000000000001</v>
      </c>
      <c r="O191">
        <f>INDEX(Data!AG:AG,MATCH($G191,Data!$A:$A,0),1)</f>
        <v>1.1486856676492798</v>
      </c>
      <c r="P191">
        <f>INDEX(Data!AH:AH,MATCH($G191,Data!$A:$A,0),1)</f>
        <v>1.7068864766411047</v>
      </c>
      <c r="Q191">
        <f>IFERROR(IF(MATCH(B191,#REF!,0)&gt;0,1),0)</f>
        <v>0</v>
      </c>
    </row>
    <row r="192" spans="1:17" x14ac:dyDescent="0.2">
      <c r="A192" t="s">
        <v>10</v>
      </c>
      <c r="B192" t="s">
        <v>178</v>
      </c>
      <c r="C192" t="s">
        <v>127</v>
      </c>
      <c r="D192" t="s">
        <v>403</v>
      </c>
      <c r="E192" t="s">
        <v>15</v>
      </c>
      <c r="F192">
        <v>2</v>
      </c>
      <c r="G192" t="s">
        <v>325</v>
      </c>
      <c r="H192" s="2">
        <f>INDEX(Data!G:G,MATCH(G192,Data!A:A,0),1)</f>
        <v>5.79E-2</v>
      </c>
      <c r="I192" s="2">
        <f>INDEX(Data!J:J,MATCH(G192,Data!A:A,0),1)</f>
        <v>4.2599999999999999E-2</v>
      </c>
      <c r="J192" s="2">
        <f>INDEX(Data!R:R,MATCH(G192,Data!A:A,0),1)</f>
        <v>1</v>
      </c>
      <c r="K192" s="2">
        <f>INDEX(Data!S:S,MATCH(G192,Data!A:A,0),1)</f>
        <v>0</v>
      </c>
      <c r="L192" t="str">
        <f t="shared" si="2"/>
        <v>Combustion of fuels_Manufacture of other electrical equipment</v>
      </c>
      <c r="M192">
        <f>INDEX(Data!AD:AD,MATCH($G192,Data!$A:$A,0),1)</f>
        <v>0.78200000000000003</v>
      </c>
      <c r="N192">
        <f>INDEX(Data!AE:AE,MATCH($G192,Data!$A:$A,0),1)</f>
        <v>0.63500000000000001</v>
      </c>
      <c r="O192">
        <f>INDEX(Data!AG:AG,MATCH($G192,Data!$A:$A,0),1)</f>
        <v>1.1486856676492798</v>
      </c>
      <c r="P192">
        <f>INDEX(Data!AH:AH,MATCH($G192,Data!$A:$A,0),1)</f>
        <v>1.7068864766411047</v>
      </c>
      <c r="Q192">
        <f>IFERROR(IF(MATCH(B192,#REF!,0)&gt;0,1),0)</f>
        <v>0</v>
      </c>
    </row>
    <row r="193" spans="1:17" x14ac:dyDescent="0.2">
      <c r="A193" t="s">
        <v>10</v>
      </c>
      <c r="B193" t="s">
        <v>179</v>
      </c>
      <c r="C193" t="s">
        <v>127</v>
      </c>
      <c r="D193" t="s">
        <v>403</v>
      </c>
      <c r="E193" t="s">
        <v>15</v>
      </c>
      <c r="F193">
        <v>2</v>
      </c>
      <c r="G193" t="s">
        <v>325</v>
      </c>
      <c r="H193" s="2">
        <f>INDEX(Data!G:G,MATCH(G193,Data!A:A,0),1)</f>
        <v>5.79E-2</v>
      </c>
      <c r="I193" s="2">
        <f>INDEX(Data!J:J,MATCH(G193,Data!A:A,0),1)</f>
        <v>4.2599999999999999E-2</v>
      </c>
      <c r="J193" s="2">
        <f>INDEX(Data!R:R,MATCH(G193,Data!A:A,0),1)</f>
        <v>1</v>
      </c>
      <c r="K193" s="2">
        <f>INDEX(Data!S:S,MATCH(G193,Data!A:A,0),1)</f>
        <v>0</v>
      </c>
      <c r="L193" t="str">
        <f t="shared" si="2"/>
        <v>Combustion of fuels_Manufacture of other electronic and electric wires and cables</v>
      </c>
      <c r="M193">
        <f>INDEX(Data!AD:AD,MATCH($G193,Data!$A:$A,0),1)</f>
        <v>0.78200000000000003</v>
      </c>
      <c r="N193">
        <f>INDEX(Data!AE:AE,MATCH($G193,Data!$A:$A,0),1)</f>
        <v>0.63500000000000001</v>
      </c>
      <c r="O193">
        <f>INDEX(Data!AG:AG,MATCH($G193,Data!$A:$A,0),1)</f>
        <v>1.1486856676492798</v>
      </c>
      <c r="P193">
        <f>INDEX(Data!AH:AH,MATCH($G193,Data!$A:$A,0),1)</f>
        <v>1.7068864766411047</v>
      </c>
      <c r="Q193">
        <f>IFERROR(IF(MATCH(B193,#REF!,0)&gt;0,1),0)</f>
        <v>0</v>
      </c>
    </row>
    <row r="194" spans="1:17" x14ac:dyDescent="0.2">
      <c r="A194" t="s">
        <v>10</v>
      </c>
      <c r="B194" t="s">
        <v>181</v>
      </c>
      <c r="C194" t="s">
        <v>113</v>
      </c>
      <c r="D194" t="s">
        <v>403</v>
      </c>
      <c r="E194" t="s">
        <v>15</v>
      </c>
      <c r="F194">
        <v>1</v>
      </c>
      <c r="G194" t="s">
        <v>325</v>
      </c>
      <c r="H194" s="2">
        <f>INDEX(Data!G:G,MATCH(G194,Data!A:A,0),1)</f>
        <v>5.79E-2</v>
      </c>
      <c r="I194" s="2">
        <f>INDEX(Data!J:J,MATCH(G194,Data!A:A,0),1)</f>
        <v>4.2599999999999999E-2</v>
      </c>
      <c r="J194" s="2">
        <f>INDEX(Data!R:R,MATCH(G194,Data!A:A,0),1)</f>
        <v>1</v>
      </c>
      <c r="K194" s="2">
        <f>INDEX(Data!S:S,MATCH(G194,Data!A:A,0),1)</f>
        <v>0</v>
      </c>
      <c r="L194" t="str">
        <f t="shared" ref="L194:L257" si="3">IF(B194="",A194,A194&amp;"_"&amp;B194)</f>
        <v>Combustion of fuels_Manufacture of other food products</v>
      </c>
      <c r="M194">
        <f>INDEX(Data!AD:AD,MATCH($G194,Data!$A:$A,0),1)</f>
        <v>0.78200000000000003</v>
      </c>
      <c r="N194">
        <f>INDEX(Data!AE:AE,MATCH($G194,Data!$A:$A,0),1)</f>
        <v>0.63500000000000001</v>
      </c>
      <c r="O194">
        <f>INDEX(Data!AG:AG,MATCH($G194,Data!$A:$A,0),1)</f>
        <v>1.1486856676492798</v>
      </c>
      <c r="P194">
        <f>INDEX(Data!AH:AH,MATCH($G194,Data!$A:$A,0),1)</f>
        <v>1.7068864766411047</v>
      </c>
      <c r="Q194">
        <f>IFERROR(IF(MATCH(B194,#REF!,0)&gt;0,1),0)</f>
        <v>0</v>
      </c>
    </row>
    <row r="195" spans="1:17" x14ac:dyDescent="0.2">
      <c r="A195" t="s">
        <v>10</v>
      </c>
      <c r="B195" t="s">
        <v>182</v>
      </c>
      <c r="C195" t="s">
        <v>113</v>
      </c>
      <c r="D195" t="s">
        <v>403</v>
      </c>
      <c r="E195" t="s">
        <v>15</v>
      </c>
      <c r="F195">
        <v>11</v>
      </c>
      <c r="G195" t="s">
        <v>325</v>
      </c>
      <c r="H195" s="2">
        <f>INDEX(Data!G:G,MATCH(G195,Data!A:A,0),1)</f>
        <v>5.79E-2</v>
      </c>
      <c r="I195" s="2">
        <f>INDEX(Data!J:J,MATCH(G195,Data!A:A,0),1)</f>
        <v>4.2599999999999999E-2</v>
      </c>
      <c r="J195" s="2">
        <f>INDEX(Data!R:R,MATCH(G195,Data!A:A,0),1)</f>
        <v>1</v>
      </c>
      <c r="K195" s="2">
        <f>INDEX(Data!S:S,MATCH(G195,Data!A:A,0),1)</f>
        <v>0</v>
      </c>
      <c r="L195" t="str">
        <f t="shared" si="3"/>
        <v>Combustion of fuels_Manufacture of other food products n.e.c.</v>
      </c>
      <c r="M195">
        <f>INDEX(Data!AD:AD,MATCH($G195,Data!$A:$A,0),1)</f>
        <v>0.78200000000000003</v>
      </c>
      <c r="N195">
        <f>INDEX(Data!AE:AE,MATCH($G195,Data!$A:$A,0),1)</f>
        <v>0.63500000000000001</v>
      </c>
      <c r="O195">
        <f>INDEX(Data!AG:AG,MATCH($G195,Data!$A:$A,0),1)</f>
        <v>1.1486856676492798</v>
      </c>
      <c r="P195">
        <f>INDEX(Data!AH:AH,MATCH($G195,Data!$A:$A,0),1)</f>
        <v>1.7068864766411047</v>
      </c>
      <c r="Q195">
        <f>IFERROR(IF(MATCH(B195,#REF!,0)&gt;0,1),0)</f>
        <v>0</v>
      </c>
    </row>
    <row r="196" spans="1:17" x14ac:dyDescent="0.2">
      <c r="A196" t="s">
        <v>10</v>
      </c>
      <c r="B196" t="s">
        <v>188</v>
      </c>
      <c r="C196" t="s">
        <v>42</v>
      </c>
      <c r="D196" t="s">
        <v>403</v>
      </c>
      <c r="E196" t="s">
        <v>15</v>
      </c>
      <c r="F196">
        <v>2</v>
      </c>
      <c r="G196" t="s">
        <v>325</v>
      </c>
      <c r="H196" s="2">
        <f>INDEX(Data!G:G,MATCH(G196,Data!A:A,0),1)</f>
        <v>5.79E-2</v>
      </c>
      <c r="I196" s="2">
        <f>INDEX(Data!J:J,MATCH(G196,Data!A:A,0),1)</f>
        <v>4.2599999999999999E-2</v>
      </c>
      <c r="J196" s="2">
        <f>INDEX(Data!R:R,MATCH(G196,Data!A:A,0),1)</f>
        <v>1</v>
      </c>
      <c r="K196" s="2">
        <f>INDEX(Data!S:S,MATCH(G196,Data!A:A,0),1)</f>
        <v>0</v>
      </c>
      <c r="L196" t="str">
        <f t="shared" si="3"/>
        <v>Combustion of fuels_Manufacture of other non-distilled fermented beverages</v>
      </c>
      <c r="M196">
        <f>INDEX(Data!AD:AD,MATCH($G196,Data!$A:$A,0),1)</f>
        <v>0.78200000000000003</v>
      </c>
      <c r="N196">
        <f>INDEX(Data!AE:AE,MATCH($G196,Data!$A:$A,0),1)</f>
        <v>0.63500000000000001</v>
      </c>
      <c r="O196">
        <f>INDEX(Data!AG:AG,MATCH($G196,Data!$A:$A,0),1)</f>
        <v>1.1486856676492798</v>
      </c>
      <c r="P196">
        <f>INDEX(Data!AH:AH,MATCH($G196,Data!$A:$A,0),1)</f>
        <v>1.7068864766411047</v>
      </c>
      <c r="Q196">
        <f>IFERROR(IF(MATCH(B196,#REF!,0)&gt;0,1),0)</f>
        <v>0</v>
      </c>
    </row>
    <row r="197" spans="1:17" x14ac:dyDescent="0.2">
      <c r="A197" t="s">
        <v>10</v>
      </c>
      <c r="B197" t="s">
        <v>196</v>
      </c>
      <c r="C197" t="s">
        <v>99</v>
      </c>
      <c r="D197" t="s">
        <v>403</v>
      </c>
      <c r="E197" t="s">
        <v>15</v>
      </c>
      <c r="F197">
        <v>8</v>
      </c>
      <c r="G197" t="s">
        <v>325</v>
      </c>
      <c r="H197" s="2">
        <f>INDEX(Data!G:G,MATCH(G197,Data!A:A,0),1)</f>
        <v>5.79E-2</v>
      </c>
      <c r="I197" s="2">
        <f>INDEX(Data!J:J,MATCH(G197,Data!A:A,0),1)</f>
        <v>4.2599999999999999E-2</v>
      </c>
      <c r="J197" s="2">
        <f>INDEX(Data!R:R,MATCH(G197,Data!A:A,0),1)</f>
        <v>1</v>
      </c>
      <c r="K197" s="2">
        <f>INDEX(Data!S:S,MATCH(G197,Data!A:A,0),1)</f>
        <v>0</v>
      </c>
      <c r="L197" t="str">
        <f t="shared" si="3"/>
        <v>Combustion of fuels_Manufacture of other parts and accessories for motor vehicles</v>
      </c>
      <c r="M197">
        <f>INDEX(Data!AD:AD,MATCH($G197,Data!$A:$A,0),1)</f>
        <v>0.78200000000000003</v>
      </c>
      <c r="N197">
        <f>INDEX(Data!AE:AE,MATCH($G197,Data!$A:$A,0),1)</f>
        <v>0.63500000000000001</v>
      </c>
      <c r="O197">
        <f>INDEX(Data!AG:AG,MATCH($G197,Data!$A:$A,0),1)</f>
        <v>1.1486856676492798</v>
      </c>
      <c r="P197">
        <f>INDEX(Data!AH:AH,MATCH($G197,Data!$A:$A,0),1)</f>
        <v>1.7068864766411047</v>
      </c>
      <c r="Q197">
        <f>IFERROR(IF(MATCH(B197,#REF!,0)&gt;0,1),0)</f>
        <v>0</v>
      </c>
    </row>
    <row r="198" spans="1:17" x14ac:dyDescent="0.2">
      <c r="A198" t="s">
        <v>10</v>
      </c>
      <c r="B198" t="s">
        <v>200</v>
      </c>
      <c r="C198" t="s">
        <v>89</v>
      </c>
      <c r="D198" t="s">
        <v>403</v>
      </c>
      <c r="E198" t="s">
        <v>15</v>
      </c>
      <c r="F198">
        <v>1</v>
      </c>
      <c r="G198" t="s">
        <v>325</v>
      </c>
      <c r="H198" s="2">
        <f>INDEX(Data!G:G,MATCH(G198,Data!A:A,0),1)</f>
        <v>5.79E-2</v>
      </c>
      <c r="I198" s="2">
        <f>INDEX(Data!J:J,MATCH(G198,Data!A:A,0),1)</f>
        <v>4.2599999999999999E-2</v>
      </c>
      <c r="J198" s="2">
        <f>INDEX(Data!R:R,MATCH(G198,Data!A:A,0),1)</f>
        <v>1</v>
      </c>
      <c r="K198" s="2">
        <f>INDEX(Data!S:S,MATCH(G198,Data!A:A,0),1)</f>
        <v>0</v>
      </c>
      <c r="L198" t="str">
        <f t="shared" si="3"/>
        <v>Combustion of fuels_Manufacture of other products of wood</v>
      </c>
      <c r="M198">
        <f>INDEX(Data!AD:AD,MATCH($G198,Data!$A:$A,0),1)</f>
        <v>0.78200000000000003</v>
      </c>
      <c r="N198">
        <f>INDEX(Data!AE:AE,MATCH($G198,Data!$A:$A,0),1)</f>
        <v>0.63500000000000001</v>
      </c>
      <c r="O198">
        <f>INDEX(Data!AG:AG,MATCH($G198,Data!$A:$A,0),1)</f>
        <v>1.1486856676492798</v>
      </c>
      <c r="P198">
        <f>INDEX(Data!AH:AH,MATCH($G198,Data!$A:$A,0),1)</f>
        <v>1.7068864766411047</v>
      </c>
      <c r="Q198">
        <f>IFERROR(IF(MATCH(B198,#REF!,0)&gt;0,1),0)</f>
        <v>0</v>
      </c>
    </row>
    <row r="199" spans="1:17" x14ac:dyDescent="0.2">
      <c r="A199" t="s">
        <v>10</v>
      </c>
      <c r="B199" t="s">
        <v>201</v>
      </c>
      <c r="C199" t="s">
        <v>86</v>
      </c>
      <c r="D199" t="s">
        <v>403</v>
      </c>
      <c r="E199" t="s">
        <v>15</v>
      </c>
      <c r="F199">
        <v>1</v>
      </c>
      <c r="G199" t="s">
        <v>325</v>
      </c>
      <c r="H199" s="2">
        <f>INDEX(Data!G:G,MATCH(G199,Data!A:A,0),1)</f>
        <v>5.79E-2</v>
      </c>
      <c r="I199" s="2">
        <f>INDEX(Data!J:J,MATCH(G199,Data!A:A,0),1)</f>
        <v>4.2599999999999999E-2</v>
      </c>
      <c r="J199" s="2">
        <f>INDEX(Data!R:R,MATCH(G199,Data!A:A,0),1)</f>
        <v>1</v>
      </c>
      <c r="K199" s="2">
        <f>INDEX(Data!S:S,MATCH(G199,Data!A:A,0),1)</f>
        <v>0</v>
      </c>
      <c r="L199" t="str">
        <f t="shared" si="3"/>
        <v>Combustion of fuels_Manufacture of other pumps and compressors</v>
      </c>
      <c r="M199">
        <f>INDEX(Data!AD:AD,MATCH($G199,Data!$A:$A,0),1)</f>
        <v>0.78200000000000003</v>
      </c>
      <c r="N199">
        <f>INDEX(Data!AE:AE,MATCH($G199,Data!$A:$A,0),1)</f>
        <v>0.63500000000000001</v>
      </c>
      <c r="O199">
        <f>INDEX(Data!AG:AG,MATCH($G199,Data!$A:$A,0),1)</f>
        <v>1.1486856676492798</v>
      </c>
      <c r="P199">
        <f>INDEX(Data!AH:AH,MATCH($G199,Data!$A:$A,0),1)</f>
        <v>1.7068864766411047</v>
      </c>
      <c r="Q199">
        <f>IFERROR(IF(MATCH(B199,#REF!,0)&gt;0,1),0)</f>
        <v>0</v>
      </c>
    </row>
    <row r="200" spans="1:17" x14ac:dyDescent="0.2">
      <c r="A200" t="s">
        <v>10</v>
      </c>
      <c r="B200" t="s">
        <v>204</v>
      </c>
      <c r="C200" t="s">
        <v>86</v>
      </c>
      <c r="D200" t="s">
        <v>403</v>
      </c>
      <c r="E200" t="s">
        <v>15</v>
      </c>
      <c r="F200">
        <v>1</v>
      </c>
      <c r="G200" t="s">
        <v>325</v>
      </c>
      <c r="H200" s="2">
        <f>INDEX(Data!G:G,MATCH(G200,Data!A:A,0),1)</f>
        <v>5.79E-2</v>
      </c>
      <c r="I200" s="2">
        <f>INDEX(Data!J:J,MATCH(G200,Data!A:A,0),1)</f>
        <v>4.2599999999999999E-2</v>
      </c>
      <c r="J200" s="2">
        <f>INDEX(Data!R:R,MATCH(G200,Data!A:A,0),1)</f>
        <v>1</v>
      </c>
      <c r="K200" s="2">
        <f>INDEX(Data!S:S,MATCH(G200,Data!A:A,0),1)</f>
        <v>0</v>
      </c>
      <c r="L200" t="str">
        <f t="shared" si="3"/>
        <v>Combustion of fuels_Manufacture of other taps and valves</v>
      </c>
      <c r="M200">
        <f>INDEX(Data!AD:AD,MATCH($G200,Data!$A:$A,0),1)</f>
        <v>0.78200000000000003</v>
      </c>
      <c r="N200">
        <f>INDEX(Data!AE:AE,MATCH($G200,Data!$A:$A,0),1)</f>
        <v>0.63500000000000001</v>
      </c>
      <c r="O200">
        <f>INDEX(Data!AG:AG,MATCH($G200,Data!$A:$A,0),1)</f>
        <v>1.1486856676492798</v>
      </c>
      <c r="P200">
        <f>INDEX(Data!AH:AH,MATCH($G200,Data!$A:$A,0),1)</f>
        <v>1.7068864766411047</v>
      </c>
      <c r="Q200">
        <f>IFERROR(IF(MATCH(B200,#REF!,0)&gt;0,1),0)</f>
        <v>0</v>
      </c>
    </row>
    <row r="201" spans="1:17" x14ac:dyDescent="0.2">
      <c r="A201" t="s">
        <v>10</v>
      </c>
      <c r="B201" t="s">
        <v>206</v>
      </c>
      <c r="C201" t="s">
        <v>62</v>
      </c>
      <c r="D201" t="s">
        <v>403</v>
      </c>
      <c r="E201" t="s">
        <v>15</v>
      </c>
      <c r="F201">
        <v>1</v>
      </c>
      <c r="G201" t="s">
        <v>325</v>
      </c>
      <c r="H201" s="2">
        <f>INDEX(Data!G:G,MATCH(G201,Data!A:A,0),1)</f>
        <v>5.79E-2</v>
      </c>
      <c r="I201" s="2">
        <f>INDEX(Data!J:J,MATCH(G201,Data!A:A,0),1)</f>
        <v>4.2599999999999999E-2</v>
      </c>
      <c r="J201" s="2">
        <f>INDEX(Data!R:R,MATCH(G201,Data!A:A,0),1)</f>
        <v>1</v>
      </c>
      <c r="K201" s="2">
        <f>INDEX(Data!S:S,MATCH(G201,Data!A:A,0),1)</f>
        <v>0</v>
      </c>
      <c r="L201" t="str">
        <f t="shared" si="3"/>
        <v>Combustion of fuels_Manufacture of other textiles n.e.c.</v>
      </c>
      <c r="M201">
        <f>INDEX(Data!AD:AD,MATCH($G201,Data!$A:$A,0),1)</f>
        <v>0.78200000000000003</v>
      </c>
      <c r="N201">
        <f>INDEX(Data!AE:AE,MATCH($G201,Data!$A:$A,0),1)</f>
        <v>0.63500000000000001</v>
      </c>
      <c r="O201">
        <f>INDEX(Data!AG:AG,MATCH($G201,Data!$A:$A,0),1)</f>
        <v>1.1486856676492798</v>
      </c>
      <c r="P201">
        <f>INDEX(Data!AH:AH,MATCH($G201,Data!$A:$A,0),1)</f>
        <v>1.7068864766411047</v>
      </c>
      <c r="Q201">
        <f>IFERROR(IF(MATCH(B201,#REF!,0)&gt;0,1),0)</f>
        <v>0</v>
      </c>
    </row>
    <row r="202" spans="1:17" x14ac:dyDescent="0.2">
      <c r="A202" t="s">
        <v>10</v>
      </c>
      <c r="B202" t="s">
        <v>217</v>
      </c>
      <c r="C202" t="s">
        <v>113</v>
      </c>
      <c r="D202" t="s">
        <v>403</v>
      </c>
      <c r="E202" t="s">
        <v>15</v>
      </c>
      <c r="F202">
        <v>23</v>
      </c>
      <c r="G202" t="s">
        <v>325</v>
      </c>
      <c r="H202" s="2">
        <f>INDEX(Data!G:G,MATCH(G202,Data!A:A,0),1)</f>
        <v>5.79E-2</v>
      </c>
      <c r="I202" s="2">
        <f>INDEX(Data!J:J,MATCH(G202,Data!A:A,0),1)</f>
        <v>4.2599999999999999E-2</v>
      </c>
      <c r="J202" s="2">
        <f>INDEX(Data!R:R,MATCH(G202,Data!A:A,0),1)</f>
        <v>1</v>
      </c>
      <c r="K202" s="2">
        <f>INDEX(Data!S:S,MATCH(G202,Data!A:A,0),1)</f>
        <v>0</v>
      </c>
      <c r="L202" t="str">
        <f t="shared" si="3"/>
        <v>Combustion of fuels_Manufacture of prepared feeds for farm animals</v>
      </c>
      <c r="M202">
        <f>INDEX(Data!AD:AD,MATCH($G202,Data!$A:$A,0),1)</f>
        <v>0.78200000000000003</v>
      </c>
      <c r="N202">
        <f>INDEX(Data!AE:AE,MATCH($G202,Data!$A:$A,0),1)</f>
        <v>0.63500000000000001</v>
      </c>
      <c r="O202">
        <f>INDEX(Data!AG:AG,MATCH($G202,Data!$A:$A,0),1)</f>
        <v>1.1486856676492798</v>
      </c>
      <c r="P202">
        <f>INDEX(Data!AH:AH,MATCH($G202,Data!$A:$A,0),1)</f>
        <v>1.7068864766411047</v>
      </c>
      <c r="Q202">
        <f>IFERROR(IF(MATCH(B202,#REF!,0)&gt;0,1),0)</f>
        <v>0</v>
      </c>
    </row>
    <row r="203" spans="1:17" x14ac:dyDescent="0.2">
      <c r="A203" t="s">
        <v>10</v>
      </c>
      <c r="B203" t="s">
        <v>218</v>
      </c>
      <c r="C203" t="s">
        <v>113</v>
      </c>
      <c r="D203" t="s">
        <v>403</v>
      </c>
      <c r="E203" t="s">
        <v>15</v>
      </c>
      <c r="F203">
        <v>4</v>
      </c>
      <c r="G203" t="s">
        <v>325</v>
      </c>
      <c r="H203" s="2">
        <f>INDEX(Data!G:G,MATCH(G203,Data!A:A,0),1)</f>
        <v>5.79E-2</v>
      </c>
      <c r="I203" s="2">
        <f>INDEX(Data!J:J,MATCH(G203,Data!A:A,0),1)</f>
        <v>4.2599999999999999E-2</v>
      </c>
      <c r="J203" s="2">
        <f>INDEX(Data!R:R,MATCH(G203,Data!A:A,0),1)</f>
        <v>1</v>
      </c>
      <c r="K203" s="2">
        <f>INDEX(Data!S:S,MATCH(G203,Data!A:A,0),1)</f>
        <v>0</v>
      </c>
      <c r="L203" t="str">
        <f t="shared" si="3"/>
        <v>Combustion of fuels_Manufacture of prepared meals and dishes</v>
      </c>
      <c r="M203">
        <f>INDEX(Data!AD:AD,MATCH($G203,Data!$A:$A,0),1)</f>
        <v>0.78200000000000003</v>
      </c>
      <c r="N203">
        <f>INDEX(Data!AE:AE,MATCH($G203,Data!$A:$A,0),1)</f>
        <v>0.63500000000000001</v>
      </c>
      <c r="O203">
        <f>INDEX(Data!AG:AG,MATCH($G203,Data!$A:$A,0),1)</f>
        <v>1.1486856676492798</v>
      </c>
      <c r="P203">
        <f>INDEX(Data!AH:AH,MATCH($G203,Data!$A:$A,0),1)</f>
        <v>1.7068864766411047</v>
      </c>
      <c r="Q203">
        <f>IFERROR(IF(MATCH(B203,#REF!,0)&gt;0,1),0)</f>
        <v>0</v>
      </c>
    </row>
    <row r="204" spans="1:17" x14ac:dyDescent="0.2">
      <c r="A204" t="s">
        <v>10</v>
      </c>
      <c r="B204" t="s">
        <v>219</v>
      </c>
      <c r="C204" t="s">
        <v>113</v>
      </c>
      <c r="D204" t="s">
        <v>403</v>
      </c>
      <c r="E204" t="s">
        <v>15</v>
      </c>
      <c r="F204">
        <v>6</v>
      </c>
      <c r="G204" t="s">
        <v>325</v>
      </c>
      <c r="H204" s="2">
        <f>INDEX(Data!G:G,MATCH(G204,Data!A:A,0),1)</f>
        <v>5.79E-2</v>
      </c>
      <c r="I204" s="2">
        <f>INDEX(Data!J:J,MATCH(G204,Data!A:A,0),1)</f>
        <v>4.2599999999999999E-2</v>
      </c>
      <c r="J204" s="2">
        <f>INDEX(Data!R:R,MATCH(G204,Data!A:A,0),1)</f>
        <v>1</v>
      </c>
      <c r="K204" s="2">
        <f>INDEX(Data!S:S,MATCH(G204,Data!A:A,0),1)</f>
        <v>0</v>
      </c>
      <c r="L204" t="str">
        <f t="shared" si="3"/>
        <v>Combustion of fuels_Manufacture of prepared pet foods</v>
      </c>
      <c r="M204">
        <f>INDEX(Data!AD:AD,MATCH($G204,Data!$A:$A,0),1)</f>
        <v>0.78200000000000003</v>
      </c>
      <c r="N204">
        <f>INDEX(Data!AE:AE,MATCH($G204,Data!$A:$A,0),1)</f>
        <v>0.63500000000000001</v>
      </c>
      <c r="O204">
        <f>INDEX(Data!AG:AG,MATCH($G204,Data!$A:$A,0),1)</f>
        <v>1.1486856676492798</v>
      </c>
      <c r="P204">
        <f>INDEX(Data!AH:AH,MATCH($G204,Data!$A:$A,0),1)</f>
        <v>1.7068864766411047</v>
      </c>
      <c r="Q204">
        <f>IFERROR(IF(MATCH(B204,#REF!,0)&gt;0,1),0)</f>
        <v>0</v>
      </c>
    </row>
    <row r="205" spans="1:17" x14ac:dyDescent="0.2">
      <c r="A205" t="s">
        <v>10</v>
      </c>
      <c r="B205" t="s">
        <v>222</v>
      </c>
      <c r="C205" t="s">
        <v>14</v>
      </c>
      <c r="D205" t="s">
        <v>403</v>
      </c>
      <c r="E205" t="s">
        <v>15</v>
      </c>
      <c r="F205">
        <v>1</v>
      </c>
      <c r="G205" t="s">
        <v>325</v>
      </c>
      <c r="H205" s="2">
        <f>INDEX(Data!G:G,MATCH(G205,Data!A:A,0),1)</f>
        <v>5.79E-2</v>
      </c>
      <c r="I205" s="2">
        <f>INDEX(Data!J:J,MATCH(G205,Data!A:A,0),1)</f>
        <v>4.2599999999999999E-2</v>
      </c>
      <c r="J205" s="2">
        <f>INDEX(Data!R:R,MATCH(G205,Data!A:A,0),1)</f>
        <v>1</v>
      </c>
      <c r="K205" s="2">
        <f>INDEX(Data!S:S,MATCH(G205,Data!A:A,0),1)</f>
        <v>0</v>
      </c>
      <c r="L205" t="str">
        <f t="shared" si="3"/>
        <v>Combustion of fuels_Manufacture of railway locomotives and rolling stock</v>
      </c>
      <c r="M205">
        <f>INDEX(Data!AD:AD,MATCH($G205,Data!$A:$A,0),1)</f>
        <v>0.78200000000000003</v>
      </c>
      <c r="N205">
        <f>INDEX(Data!AE:AE,MATCH($G205,Data!$A:$A,0),1)</f>
        <v>0.63500000000000001</v>
      </c>
      <c r="O205">
        <f>INDEX(Data!AG:AG,MATCH($G205,Data!$A:$A,0),1)</f>
        <v>1.1486856676492798</v>
      </c>
      <c r="P205">
        <f>INDEX(Data!AH:AH,MATCH($G205,Data!$A:$A,0),1)</f>
        <v>1.7068864766411047</v>
      </c>
      <c r="Q205">
        <f>IFERROR(IF(MATCH(B205,#REF!,0)&gt;0,1),0)</f>
        <v>0</v>
      </c>
    </row>
    <row r="206" spans="1:17" x14ac:dyDescent="0.2">
      <c r="A206" t="s">
        <v>10</v>
      </c>
      <c r="B206" t="s">
        <v>227</v>
      </c>
      <c r="C206" t="s">
        <v>113</v>
      </c>
      <c r="D206" t="s">
        <v>403</v>
      </c>
      <c r="E206" t="s">
        <v>15</v>
      </c>
      <c r="F206">
        <v>2</v>
      </c>
      <c r="G206" t="s">
        <v>325</v>
      </c>
      <c r="H206" s="2">
        <f>INDEX(Data!G:G,MATCH(G206,Data!A:A,0),1)</f>
        <v>5.79E-2</v>
      </c>
      <c r="I206" s="2">
        <f>INDEX(Data!J:J,MATCH(G206,Data!A:A,0),1)</f>
        <v>4.2599999999999999E-2</v>
      </c>
      <c r="J206" s="2">
        <f>INDEX(Data!R:R,MATCH(G206,Data!A:A,0),1)</f>
        <v>1</v>
      </c>
      <c r="K206" s="2">
        <f>INDEX(Data!S:S,MATCH(G206,Data!A:A,0),1)</f>
        <v>0</v>
      </c>
      <c r="L206" t="str">
        <f t="shared" si="3"/>
        <v>Combustion of fuels_Manufacture of rusks and biscuits</v>
      </c>
      <c r="M206">
        <f>INDEX(Data!AD:AD,MATCH($G206,Data!$A:$A,0),1)</f>
        <v>0.78200000000000003</v>
      </c>
      <c r="N206">
        <f>INDEX(Data!AE:AE,MATCH($G206,Data!$A:$A,0),1)</f>
        <v>0.63500000000000001</v>
      </c>
      <c r="O206">
        <f>INDEX(Data!AG:AG,MATCH($G206,Data!$A:$A,0),1)</f>
        <v>1.1486856676492798</v>
      </c>
      <c r="P206">
        <f>INDEX(Data!AH:AH,MATCH($G206,Data!$A:$A,0),1)</f>
        <v>1.7068864766411047</v>
      </c>
      <c r="Q206">
        <f>IFERROR(IF(MATCH(B206,#REF!,0)&gt;0,1),0)</f>
        <v>0</v>
      </c>
    </row>
    <row r="207" spans="1:17" x14ac:dyDescent="0.2">
      <c r="A207" t="s">
        <v>10</v>
      </c>
      <c r="B207" t="s">
        <v>229</v>
      </c>
      <c r="C207" t="s">
        <v>113</v>
      </c>
      <c r="D207" t="s">
        <v>403</v>
      </c>
      <c r="E207" t="s">
        <v>15</v>
      </c>
      <c r="F207">
        <v>38</v>
      </c>
      <c r="G207" t="s">
        <v>325</v>
      </c>
      <c r="H207" s="2">
        <f>INDEX(Data!G:G,MATCH(G207,Data!A:A,0),1)</f>
        <v>5.79E-2</v>
      </c>
      <c r="I207" s="2">
        <f>INDEX(Data!J:J,MATCH(G207,Data!A:A,0),1)</f>
        <v>4.2599999999999999E-2</v>
      </c>
      <c r="J207" s="2">
        <f>INDEX(Data!R:R,MATCH(G207,Data!A:A,0),1)</f>
        <v>1</v>
      </c>
      <c r="K207" s="2">
        <f>INDEX(Data!S:S,MATCH(G207,Data!A:A,0),1)</f>
        <v>0</v>
      </c>
      <c r="L207" t="str">
        <f t="shared" si="3"/>
        <v>Combustion of fuels_Manufacture of starches and starch products</v>
      </c>
      <c r="M207">
        <f>INDEX(Data!AD:AD,MATCH($G207,Data!$A:$A,0),1)</f>
        <v>0.78200000000000003</v>
      </c>
      <c r="N207">
        <f>INDEX(Data!AE:AE,MATCH($G207,Data!$A:$A,0),1)</f>
        <v>0.63500000000000001</v>
      </c>
      <c r="O207">
        <f>INDEX(Data!AG:AG,MATCH($G207,Data!$A:$A,0),1)</f>
        <v>1.1486856676492798</v>
      </c>
      <c r="P207">
        <f>INDEX(Data!AH:AH,MATCH($G207,Data!$A:$A,0),1)</f>
        <v>1.7068864766411047</v>
      </c>
      <c r="Q207">
        <f>IFERROR(IF(MATCH(B207,#REF!,0)&gt;0,1),0)</f>
        <v>0</v>
      </c>
    </row>
    <row r="208" spans="1:17" x14ac:dyDescent="0.2">
      <c r="A208" t="s">
        <v>10</v>
      </c>
      <c r="B208" t="s">
        <v>230</v>
      </c>
      <c r="C208" t="s">
        <v>113</v>
      </c>
      <c r="D208" t="s">
        <v>403</v>
      </c>
      <c r="E208" t="s">
        <v>15</v>
      </c>
      <c r="F208">
        <v>63</v>
      </c>
      <c r="G208" t="s">
        <v>325</v>
      </c>
      <c r="H208" s="2">
        <f>INDEX(Data!G:G,MATCH(G208,Data!A:A,0),1)</f>
        <v>5.79E-2</v>
      </c>
      <c r="I208" s="2">
        <f>INDEX(Data!J:J,MATCH(G208,Data!A:A,0),1)</f>
        <v>4.2599999999999999E-2</v>
      </c>
      <c r="J208" s="2">
        <f>INDEX(Data!R:R,MATCH(G208,Data!A:A,0),1)</f>
        <v>1</v>
      </c>
      <c r="K208" s="2">
        <f>INDEX(Data!S:S,MATCH(G208,Data!A:A,0),1)</f>
        <v>0</v>
      </c>
      <c r="L208" t="str">
        <f t="shared" si="3"/>
        <v>Combustion of fuels_Manufacture of sugar</v>
      </c>
      <c r="M208">
        <f>INDEX(Data!AD:AD,MATCH($G208,Data!$A:$A,0),1)</f>
        <v>0.78200000000000003</v>
      </c>
      <c r="N208">
        <f>INDEX(Data!AE:AE,MATCH($G208,Data!$A:$A,0),1)</f>
        <v>0.63500000000000001</v>
      </c>
      <c r="O208">
        <f>INDEX(Data!AG:AG,MATCH($G208,Data!$A:$A,0),1)</f>
        <v>1.1486856676492798</v>
      </c>
      <c r="P208">
        <f>INDEX(Data!AH:AH,MATCH($G208,Data!$A:$A,0),1)</f>
        <v>1.7068864766411047</v>
      </c>
      <c r="Q208">
        <f>IFERROR(IF(MATCH(B208,#REF!,0)&gt;0,1),0)</f>
        <v>0</v>
      </c>
    </row>
    <row r="209" spans="1:17" x14ac:dyDescent="0.2">
      <c r="A209" t="s">
        <v>10</v>
      </c>
      <c r="B209" t="s">
        <v>232</v>
      </c>
      <c r="C209" t="s">
        <v>65</v>
      </c>
      <c r="D209" t="s">
        <v>403</v>
      </c>
      <c r="E209" t="s">
        <v>15</v>
      </c>
      <c r="F209">
        <v>1</v>
      </c>
      <c r="G209" t="s">
        <v>325</v>
      </c>
      <c r="H209" s="2">
        <f>INDEX(Data!G:G,MATCH(G209,Data!A:A,0),1)</f>
        <v>5.79E-2</v>
      </c>
      <c r="I209" s="2">
        <f>INDEX(Data!J:J,MATCH(G209,Data!A:A,0),1)</f>
        <v>4.2599999999999999E-2</v>
      </c>
      <c r="J209" s="2">
        <f>INDEX(Data!R:R,MATCH(G209,Data!A:A,0),1)</f>
        <v>1</v>
      </c>
      <c r="K209" s="2">
        <f>INDEX(Data!S:S,MATCH(G209,Data!A:A,0),1)</f>
        <v>0</v>
      </c>
      <c r="L209" t="str">
        <f t="shared" si="3"/>
        <v>Combustion of fuels_Manufacture of tanks, reservoirs and containers of metal</v>
      </c>
      <c r="M209">
        <f>INDEX(Data!AD:AD,MATCH($G209,Data!$A:$A,0),1)</f>
        <v>0.78200000000000003</v>
      </c>
      <c r="N209">
        <f>INDEX(Data!AE:AE,MATCH($G209,Data!$A:$A,0),1)</f>
        <v>0.63500000000000001</v>
      </c>
      <c r="O209">
        <f>INDEX(Data!AG:AG,MATCH($G209,Data!$A:$A,0),1)</f>
        <v>1.1486856676492798</v>
      </c>
      <c r="P209">
        <f>INDEX(Data!AH:AH,MATCH($G209,Data!$A:$A,0),1)</f>
        <v>1.7068864766411047</v>
      </c>
      <c r="Q209">
        <f>IFERROR(IF(MATCH(B209,#REF!,0)&gt;0,1),0)</f>
        <v>0</v>
      </c>
    </row>
    <row r="210" spans="1:17" x14ac:dyDescent="0.2">
      <c r="A210" t="s">
        <v>10</v>
      </c>
      <c r="B210" t="s">
        <v>233</v>
      </c>
      <c r="C210" t="s">
        <v>234</v>
      </c>
      <c r="D210" t="s">
        <v>403</v>
      </c>
      <c r="E210" t="s">
        <v>15</v>
      </c>
      <c r="F210">
        <v>3</v>
      </c>
      <c r="G210" t="s">
        <v>325</v>
      </c>
      <c r="H210" s="2">
        <f>INDEX(Data!G:G,MATCH(G210,Data!A:A,0),1)</f>
        <v>5.79E-2</v>
      </c>
      <c r="I210" s="2">
        <f>INDEX(Data!J:J,MATCH(G210,Data!A:A,0),1)</f>
        <v>4.2599999999999999E-2</v>
      </c>
      <c r="J210" s="2">
        <f>INDEX(Data!R:R,MATCH(G210,Data!A:A,0),1)</f>
        <v>1</v>
      </c>
      <c r="K210" s="2">
        <f>INDEX(Data!S:S,MATCH(G210,Data!A:A,0),1)</f>
        <v>0</v>
      </c>
      <c r="L210" t="str">
        <f t="shared" si="3"/>
        <v>Combustion of fuels_Manufacture of tobacco products</v>
      </c>
      <c r="M210">
        <f>INDEX(Data!AD:AD,MATCH($G210,Data!$A:$A,0),1)</f>
        <v>0.78200000000000003</v>
      </c>
      <c r="N210">
        <f>INDEX(Data!AE:AE,MATCH($G210,Data!$A:$A,0),1)</f>
        <v>0.63500000000000001</v>
      </c>
      <c r="O210">
        <f>INDEX(Data!AG:AG,MATCH($G210,Data!$A:$A,0),1)</f>
        <v>1.1486856676492798</v>
      </c>
      <c r="P210">
        <f>INDEX(Data!AH:AH,MATCH($G210,Data!$A:$A,0),1)</f>
        <v>1.7068864766411047</v>
      </c>
      <c r="Q210">
        <f>IFERROR(IF(MATCH(B210,#REF!,0)&gt;0,1),0)</f>
        <v>0</v>
      </c>
    </row>
    <row r="211" spans="1:17" x14ac:dyDescent="0.2">
      <c r="A211" t="s">
        <v>10</v>
      </c>
      <c r="B211" t="s">
        <v>238</v>
      </c>
      <c r="C211" t="s">
        <v>89</v>
      </c>
      <c r="D211" t="s">
        <v>403</v>
      </c>
      <c r="E211" t="s">
        <v>15</v>
      </c>
      <c r="F211">
        <v>93</v>
      </c>
      <c r="G211" t="s">
        <v>325</v>
      </c>
      <c r="H211" s="2">
        <f>INDEX(Data!G:G,MATCH(G211,Data!A:A,0),1)</f>
        <v>5.79E-2</v>
      </c>
      <c r="I211" s="2">
        <f>INDEX(Data!J:J,MATCH(G211,Data!A:A,0),1)</f>
        <v>4.2599999999999999E-2</v>
      </c>
      <c r="J211" s="2">
        <f>INDEX(Data!R:R,MATCH(G211,Data!A:A,0),1)</f>
        <v>1</v>
      </c>
      <c r="K211" s="2">
        <f>INDEX(Data!S:S,MATCH(G211,Data!A:A,0),1)</f>
        <v>0</v>
      </c>
      <c r="L211" t="str">
        <f t="shared" si="3"/>
        <v>Combustion of fuels_Manufacture of veneer sheets and wood-based panels</v>
      </c>
      <c r="M211">
        <f>INDEX(Data!AD:AD,MATCH($G211,Data!$A:$A,0),1)</f>
        <v>0.78200000000000003</v>
      </c>
      <c r="N211">
        <f>INDEX(Data!AE:AE,MATCH($G211,Data!$A:$A,0),1)</f>
        <v>0.63500000000000001</v>
      </c>
      <c r="O211">
        <f>INDEX(Data!AG:AG,MATCH($G211,Data!$A:$A,0),1)</f>
        <v>1.1486856676492798</v>
      </c>
      <c r="P211">
        <f>INDEX(Data!AH:AH,MATCH($G211,Data!$A:$A,0),1)</f>
        <v>1.7068864766411047</v>
      </c>
      <c r="Q211">
        <f>IFERROR(IF(MATCH(B211,#REF!,0)&gt;0,1),0)</f>
        <v>0</v>
      </c>
    </row>
    <row r="212" spans="1:17" x14ac:dyDescent="0.2">
      <c r="A212" t="s">
        <v>10</v>
      </c>
      <c r="B212" t="s">
        <v>240</v>
      </c>
      <c r="C212" t="s">
        <v>65</v>
      </c>
      <c r="D212" t="s">
        <v>403</v>
      </c>
      <c r="E212" t="s">
        <v>15</v>
      </c>
      <c r="F212">
        <v>2</v>
      </c>
      <c r="G212" t="s">
        <v>325</v>
      </c>
      <c r="H212" s="2">
        <f>INDEX(Data!G:G,MATCH(G212,Data!A:A,0),1)</f>
        <v>5.79E-2</v>
      </c>
      <c r="I212" s="2">
        <f>INDEX(Data!J:J,MATCH(G212,Data!A:A,0),1)</f>
        <v>4.2599999999999999E-2</v>
      </c>
      <c r="J212" s="2">
        <f>INDEX(Data!R:R,MATCH(G212,Data!A:A,0),1)</f>
        <v>1</v>
      </c>
      <c r="K212" s="2">
        <f>INDEX(Data!S:S,MATCH(G212,Data!A:A,0),1)</f>
        <v>0</v>
      </c>
      <c r="L212" t="str">
        <f t="shared" si="3"/>
        <v>Combustion of fuels_Manufacture of weapons and ammunition</v>
      </c>
      <c r="M212">
        <f>INDEX(Data!AD:AD,MATCH($G212,Data!$A:$A,0),1)</f>
        <v>0.78200000000000003</v>
      </c>
      <c r="N212">
        <f>INDEX(Data!AE:AE,MATCH($G212,Data!$A:$A,0),1)</f>
        <v>0.63500000000000001</v>
      </c>
      <c r="O212">
        <f>INDEX(Data!AG:AG,MATCH($G212,Data!$A:$A,0),1)</f>
        <v>1.1486856676492798</v>
      </c>
      <c r="P212">
        <f>INDEX(Data!AH:AH,MATCH($G212,Data!$A:$A,0),1)</f>
        <v>1.7068864766411047</v>
      </c>
      <c r="Q212">
        <f>IFERROR(IF(MATCH(B212,#REF!,0)&gt;0,1),0)</f>
        <v>0</v>
      </c>
    </row>
    <row r="213" spans="1:17" x14ac:dyDescent="0.2">
      <c r="A213" t="s">
        <v>10</v>
      </c>
      <c r="B213" t="s">
        <v>248</v>
      </c>
      <c r="C213" t="s">
        <v>60</v>
      </c>
      <c r="D213" t="s">
        <v>403</v>
      </c>
      <c r="E213" t="s">
        <v>15</v>
      </c>
      <c r="F213">
        <v>2</v>
      </c>
      <c r="G213" t="s">
        <v>325</v>
      </c>
      <c r="H213" s="2">
        <f>INDEX(Data!G:G,MATCH(G213,Data!A:A,0),1)</f>
        <v>5.79E-2</v>
      </c>
      <c r="I213" s="2">
        <f>INDEX(Data!J:J,MATCH(G213,Data!A:A,0),1)</f>
        <v>4.2599999999999999E-2</v>
      </c>
      <c r="J213" s="2">
        <f>INDEX(Data!R:R,MATCH(G213,Data!A:A,0),1)</f>
        <v>1</v>
      </c>
      <c r="K213" s="2">
        <f>INDEX(Data!S:S,MATCH(G213,Data!A:A,0),1)</f>
        <v>0</v>
      </c>
      <c r="L213" t="str">
        <f t="shared" si="3"/>
        <v>Combustion of fuels_Monetary intermediation</v>
      </c>
      <c r="M213">
        <f>INDEX(Data!AD:AD,MATCH($G213,Data!$A:$A,0),1)</f>
        <v>0.78200000000000003</v>
      </c>
      <c r="N213">
        <f>INDEX(Data!AE:AE,MATCH($G213,Data!$A:$A,0),1)</f>
        <v>0.63500000000000001</v>
      </c>
      <c r="O213">
        <f>INDEX(Data!AG:AG,MATCH($G213,Data!$A:$A,0),1)</f>
        <v>1.1486856676492798</v>
      </c>
      <c r="P213">
        <f>INDEX(Data!AH:AH,MATCH($G213,Data!$A:$A,0),1)</f>
        <v>1.7068864766411047</v>
      </c>
      <c r="Q213">
        <f>IFERROR(IF(MATCH(B213,#REF!,0)&gt;0,1),0)</f>
        <v>0</v>
      </c>
    </row>
    <row r="214" spans="1:17" x14ac:dyDescent="0.2">
      <c r="A214" t="s">
        <v>10</v>
      </c>
      <c r="B214" t="s">
        <v>249</v>
      </c>
      <c r="C214" t="s">
        <v>113</v>
      </c>
      <c r="D214" t="s">
        <v>403</v>
      </c>
      <c r="E214" t="s">
        <v>15</v>
      </c>
      <c r="F214">
        <v>85</v>
      </c>
      <c r="G214" t="s">
        <v>325</v>
      </c>
      <c r="H214" s="2">
        <f>INDEX(Data!G:G,MATCH(G214,Data!A:A,0),1)</f>
        <v>5.79E-2</v>
      </c>
      <c r="I214" s="2">
        <f>INDEX(Data!J:J,MATCH(G214,Data!A:A,0),1)</f>
        <v>4.2599999999999999E-2</v>
      </c>
      <c r="J214" s="2">
        <f>INDEX(Data!R:R,MATCH(G214,Data!A:A,0),1)</f>
        <v>1</v>
      </c>
      <c r="K214" s="2">
        <f>INDEX(Data!S:S,MATCH(G214,Data!A:A,0),1)</f>
        <v>0</v>
      </c>
      <c r="L214" t="str">
        <f t="shared" si="3"/>
        <v>Combustion of fuels_Operation of dairies and cheese making</v>
      </c>
      <c r="M214">
        <f>INDEX(Data!AD:AD,MATCH($G214,Data!$A:$A,0),1)</f>
        <v>0.78200000000000003</v>
      </c>
      <c r="N214">
        <f>INDEX(Data!AE:AE,MATCH($G214,Data!$A:$A,0),1)</f>
        <v>0.63500000000000001</v>
      </c>
      <c r="O214">
        <f>INDEX(Data!AG:AG,MATCH($G214,Data!$A:$A,0),1)</f>
        <v>1.1486856676492798</v>
      </c>
      <c r="P214">
        <f>INDEX(Data!AH:AH,MATCH($G214,Data!$A:$A,0),1)</f>
        <v>1.7068864766411047</v>
      </c>
      <c r="Q214">
        <f>IFERROR(IF(MATCH(B214,#REF!,0)&gt;0,1),0)</f>
        <v>0</v>
      </c>
    </row>
    <row r="215" spans="1:17" x14ac:dyDescent="0.2">
      <c r="A215" t="s">
        <v>10</v>
      </c>
      <c r="B215" t="s">
        <v>251</v>
      </c>
      <c r="C215" t="s">
        <v>252</v>
      </c>
      <c r="D215" t="s">
        <v>403</v>
      </c>
      <c r="E215" t="s">
        <v>15</v>
      </c>
      <c r="F215">
        <v>2</v>
      </c>
      <c r="G215" t="s">
        <v>325</v>
      </c>
      <c r="H215" s="2">
        <f>INDEX(Data!G:G,MATCH(G215,Data!A:A,0),1)</f>
        <v>5.79E-2</v>
      </c>
      <c r="I215" s="2">
        <f>INDEX(Data!J:J,MATCH(G215,Data!A:A,0),1)</f>
        <v>4.2599999999999999E-2</v>
      </c>
      <c r="J215" s="2">
        <f>INDEX(Data!R:R,MATCH(G215,Data!A:A,0),1)</f>
        <v>1</v>
      </c>
      <c r="K215" s="2">
        <f>INDEX(Data!S:S,MATCH(G215,Data!A:A,0),1)</f>
        <v>0</v>
      </c>
      <c r="L215" t="str">
        <f t="shared" si="3"/>
        <v>Combustion of fuels_Other business support service activities n.e.c.</v>
      </c>
      <c r="M215">
        <f>INDEX(Data!AD:AD,MATCH($G215,Data!$A:$A,0),1)</f>
        <v>0.78200000000000003</v>
      </c>
      <c r="N215">
        <f>INDEX(Data!AE:AE,MATCH($G215,Data!$A:$A,0),1)</f>
        <v>0.63500000000000001</v>
      </c>
      <c r="O215">
        <f>INDEX(Data!AG:AG,MATCH($G215,Data!$A:$A,0),1)</f>
        <v>1.1486856676492798</v>
      </c>
      <c r="P215">
        <f>INDEX(Data!AH:AH,MATCH($G215,Data!$A:$A,0),1)</f>
        <v>1.7068864766411047</v>
      </c>
      <c r="Q215">
        <f>IFERROR(IF(MATCH(B215,#REF!,0)&gt;0,1),0)</f>
        <v>0</v>
      </c>
    </row>
    <row r="216" spans="1:17" x14ac:dyDescent="0.2">
      <c r="A216" t="s">
        <v>10</v>
      </c>
      <c r="B216" t="s">
        <v>257</v>
      </c>
      <c r="C216" t="s">
        <v>258</v>
      </c>
      <c r="D216" t="s">
        <v>403</v>
      </c>
      <c r="E216" t="s">
        <v>15</v>
      </c>
      <c r="F216">
        <v>2</v>
      </c>
      <c r="G216" t="s">
        <v>325</v>
      </c>
      <c r="H216" s="2">
        <f>INDEX(Data!G:G,MATCH(G216,Data!A:A,0),1)</f>
        <v>5.79E-2</v>
      </c>
      <c r="I216" s="2">
        <f>INDEX(Data!J:J,MATCH(G216,Data!A:A,0),1)</f>
        <v>4.2599999999999999E-2</v>
      </c>
      <c r="J216" s="2">
        <f>INDEX(Data!R:R,MATCH(G216,Data!A:A,0),1)</f>
        <v>1</v>
      </c>
      <c r="K216" s="2">
        <f>INDEX(Data!S:S,MATCH(G216,Data!A:A,0),1)</f>
        <v>0</v>
      </c>
      <c r="L216" t="str">
        <f t="shared" si="3"/>
        <v>Combustion of fuels_Other printing</v>
      </c>
      <c r="M216">
        <f>INDEX(Data!AD:AD,MATCH($G216,Data!$A:$A,0),1)</f>
        <v>0.78200000000000003</v>
      </c>
      <c r="N216">
        <f>INDEX(Data!AE:AE,MATCH($G216,Data!$A:$A,0),1)</f>
        <v>0.63500000000000001</v>
      </c>
      <c r="O216">
        <f>INDEX(Data!AG:AG,MATCH($G216,Data!$A:$A,0),1)</f>
        <v>1.1486856676492798</v>
      </c>
      <c r="P216">
        <f>INDEX(Data!AH:AH,MATCH($G216,Data!$A:$A,0),1)</f>
        <v>1.7068864766411047</v>
      </c>
      <c r="Q216">
        <f>IFERROR(IF(MATCH(B216,#REF!,0)&gt;0,1),0)</f>
        <v>0</v>
      </c>
    </row>
    <row r="217" spans="1:17" x14ac:dyDescent="0.2">
      <c r="A217" t="s">
        <v>10</v>
      </c>
      <c r="B217" t="s">
        <v>259</v>
      </c>
      <c r="C217" t="s">
        <v>113</v>
      </c>
      <c r="D217" t="s">
        <v>403</v>
      </c>
      <c r="E217" t="s">
        <v>15</v>
      </c>
      <c r="F217">
        <v>59</v>
      </c>
      <c r="G217" t="s">
        <v>325</v>
      </c>
      <c r="H217" s="2">
        <f>INDEX(Data!G:G,MATCH(G217,Data!A:A,0),1)</f>
        <v>5.79E-2</v>
      </c>
      <c r="I217" s="2">
        <f>INDEX(Data!J:J,MATCH(G217,Data!A:A,0),1)</f>
        <v>4.2599999999999999E-2</v>
      </c>
      <c r="J217" s="2">
        <f>INDEX(Data!R:R,MATCH(G217,Data!A:A,0),1)</f>
        <v>1</v>
      </c>
      <c r="K217" s="2">
        <f>INDEX(Data!S:S,MATCH(G217,Data!A:A,0),1)</f>
        <v>0</v>
      </c>
      <c r="L217" t="str">
        <f t="shared" si="3"/>
        <v>Combustion of fuels_Other processing and preserving of fruit and vegetables</v>
      </c>
      <c r="M217">
        <f>INDEX(Data!AD:AD,MATCH($G217,Data!$A:$A,0),1)</f>
        <v>0.78200000000000003</v>
      </c>
      <c r="N217">
        <f>INDEX(Data!AE:AE,MATCH($G217,Data!$A:$A,0),1)</f>
        <v>0.63500000000000001</v>
      </c>
      <c r="O217">
        <f>INDEX(Data!AG:AG,MATCH($G217,Data!$A:$A,0),1)</f>
        <v>1.1486856676492798</v>
      </c>
      <c r="P217">
        <f>INDEX(Data!AH:AH,MATCH($G217,Data!$A:$A,0),1)</f>
        <v>1.7068864766411047</v>
      </c>
      <c r="Q217">
        <f>IFERROR(IF(MATCH(B217,#REF!,0)&gt;0,1),0)</f>
        <v>0</v>
      </c>
    </row>
    <row r="218" spans="1:17" x14ac:dyDescent="0.2">
      <c r="A218" t="s">
        <v>10</v>
      </c>
      <c r="B218" t="s">
        <v>260</v>
      </c>
      <c r="C218" t="s">
        <v>261</v>
      </c>
      <c r="D218" t="s">
        <v>403</v>
      </c>
      <c r="E218" t="s">
        <v>15</v>
      </c>
      <c r="F218">
        <v>3</v>
      </c>
      <c r="G218" t="s">
        <v>325</v>
      </c>
      <c r="H218" s="2">
        <f>INDEX(Data!G:G,MATCH(G218,Data!A:A,0),1)</f>
        <v>5.79E-2</v>
      </c>
      <c r="I218" s="2">
        <f>INDEX(Data!J:J,MATCH(G218,Data!A:A,0),1)</f>
        <v>4.2599999999999999E-2</v>
      </c>
      <c r="J218" s="2">
        <f>INDEX(Data!R:R,MATCH(G218,Data!A:A,0),1)</f>
        <v>1</v>
      </c>
      <c r="K218" s="2">
        <f>INDEX(Data!S:S,MATCH(G218,Data!A:A,0),1)</f>
        <v>0</v>
      </c>
      <c r="L218" t="str">
        <f t="shared" si="3"/>
        <v>Combustion of fuels_Other research and experimental development on natural sciences and engineering</v>
      </c>
      <c r="M218">
        <f>INDEX(Data!AD:AD,MATCH($G218,Data!$A:$A,0),1)</f>
        <v>0.78200000000000003</v>
      </c>
      <c r="N218">
        <f>INDEX(Data!AE:AE,MATCH($G218,Data!$A:$A,0),1)</f>
        <v>0.63500000000000001</v>
      </c>
      <c r="O218">
        <f>INDEX(Data!AG:AG,MATCH($G218,Data!$A:$A,0),1)</f>
        <v>1.1486856676492798</v>
      </c>
      <c r="P218">
        <f>INDEX(Data!AH:AH,MATCH($G218,Data!$A:$A,0),1)</f>
        <v>1.7068864766411047</v>
      </c>
      <c r="Q218">
        <f>IFERROR(IF(MATCH(B218,#REF!,0)&gt;0,1),0)</f>
        <v>0</v>
      </c>
    </row>
    <row r="219" spans="1:17" x14ac:dyDescent="0.2">
      <c r="A219" t="s">
        <v>10</v>
      </c>
      <c r="B219" t="s">
        <v>262</v>
      </c>
      <c r="C219" t="s">
        <v>263</v>
      </c>
      <c r="D219" t="s">
        <v>403</v>
      </c>
      <c r="E219" t="s">
        <v>15</v>
      </c>
      <c r="F219">
        <v>1</v>
      </c>
      <c r="G219" t="s">
        <v>325</v>
      </c>
      <c r="H219" s="2">
        <f>INDEX(Data!G:G,MATCH(G219,Data!A:A,0),1)</f>
        <v>5.79E-2</v>
      </c>
      <c r="I219" s="2">
        <f>INDEX(Data!J:J,MATCH(G219,Data!A:A,0),1)</f>
        <v>4.2599999999999999E-2</v>
      </c>
      <c r="J219" s="2">
        <f>INDEX(Data!R:R,MATCH(G219,Data!A:A,0),1)</f>
        <v>1</v>
      </c>
      <c r="K219" s="2">
        <f>INDEX(Data!S:S,MATCH(G219,Data!A:A,0),1)</f>
        <v>0</v>
      </c>
      <c r="L219" t="str">
        <f t="shared" si="3"/>
        <v>Combustion of fuels_Other specialised construction activities n.e.c.</v>
      </c>
      <c r="M219">
        <f>INDEX(Data!AD:AD,MATCH($G219,Data!$A:$A,0),1)</f>
        <v>0.78200000000000003</v>
      </c>
      <c r="N219">
        <f>INDEX(Data!AE:AE,MATCH($G219,Data!$A:$A,0),1)</f>
        <v>0.63500000000000001</v>
      </c>
      <c r="O219">
        <f>INDEX(Data!AG:AG,MATCH($G219,Data!$A:$A,0),1)</f>
        <v>1.1486856676492798</v>
      </c>
      <c r="P219">
        <f>INDEX(Data!AH:AH,MATCH($G219,Data!$A:$A,0),1)</f>
        <v>1.7068864766411047</v>
      </c>
      <c r="Q219">
        <f>IFERROR(IF(MATCH(B219,#REF!,0)&gt;0,1),0)</f>
        <v>0</v>
      </c>
    </row>
    <row r="220" spans="1:17" x14ac:dyDescent="0.2">
      <c r="A220" t="s">
        <v>10</v>
      </c>
      <c r="B220" t="s">
        <v>264</v>
      </c>
      <c r="C220" t="s">
        <v>265</v>
      </c>
      <c r="D220" t="s">
        <v>403</v>
      </c>
      <c r="E220" t="s">
        <v>15</v>
      </c>
      <c r="F220">
        <v>1</v>
      </c>
      <c r="G220" t="s">
        <v>325</v>
      </c>
      <c r="H220" s="2">
        <f>INDEX(Data!G:G,MATCH(G220,Data!A:A,0),1)</f>
        <v>5.79E-2</v>
      </c>
      <c r="I220" s="2">
        <f>INDEX(Data!J:J,MATCH(G220,Data!A:A,0),1)</f>
        <v>4.2599999999999999E-2</v>
      </c>
      <c r="J220" s="2">
        <f>INDEX(Data!R:R,MATCH(G220,Data!A:A,0),1)</f>
        <v>1</v>
      </c>
      <c r="K220" s="2">
        <f>INDEX(Data!S:S,MATCH(G220,Data!A:A,0),1)</f>
        <v>0</v>
      </c>
      <c r="L220" t="str">
        <f t="shared" si="3"/>
        <v>Combustion of fuels_Other telecommunications activities</v>
      </c>
      <c r="M220">
        <f>INDEX(Data!AD:AD,MATCH($G220,Data!$A:$A,0),1)</f>
        <v>0.78200000000000003</v>
      </c>
      <c r="N220">
        <f>INDEX(Data!AE:AE,MATCH($G220,Data!$A:$A,0),1)</f>
        <v>0.63500000000000001</v>
      </c>
      <c r="O220">
        <f>INDEX(Data!AG:AG,MATCH($G220,Data!$A:$A,0),1)</f>
        <v>1.1486856676492798</v>
      </c>
      <c r="P220">
        <f>INDEX(Data!AH:AH,MATCH($G220,Data!$A:$A,0),1)</f>
        <v>1.7068864766411047</v>
      </c>
      <c r="Q220">
        <f>IFERROR(IF(MATCH(B220,#REF!,0)&gt;0,1),0)</f>
        <v>0</v>
      </c>
    </row>
    <row r="221" spans="1:17" x14ac:dyDescent="0.2">
      <c r="A221" t="s">
        <v>10</v>
      </c>
      <c r="B221" t="s">
        <v>266</v>
      </c>
      <c r="C221" t="s">
        <v>267</v>
      </c>
      <c r="D221" t="s">
        <v>403</v>
      </c>
      <c r="E221" t="s">
        <v>15</v>
      </c>
      <c r="F221">
        <v>2</v>
      </c>
      <c r="G221" t="s">
        <v>325</v>
      </c>
      <c r="H221" s="2">
        <f>INDEX(Data!G:G,MATCH(G221,Data!A:A,0),1)</f>
        <v>5.79E-2</v>
      </c>
      <c r="I221" s="2">
        <f>INDEX(Data!J:J,MATCH(G221,Data!A:A,0),1)</f>
        <v>4.2599999999999999E-2</v>
      </c>
      <c r="J221" s="2">
        <f>INDEX(Data!R:R,MATCH(G221,Data!A:A,0),1)</f>
        <v>1</v>
      </c>
      <c r="K221" s="2">
        <f>INDEX(Data!S:S,MATCH(G221,Data!A:A,0),1)</f>
        <v>0</v>
      </c>
      <c r="L221" t="str">
        <f t="shared" si="3"/>
        <v>Combustion of fuels_Passenger air transport</v>
      </c>
      <c r="M221">
        <f>INDEX(Data!AD:AD,MATCH($G221,Data!$A:$A,0),1)</f>
        <v>0.78200000000000003</v>
      </c>
      <c r="N221">
        <f>INDEX(Data!AE:AE,MATCH($G221,Data!$A:$A,0),1)</f>
        <v>0.63500000000000001</v>
      </c>
      <c r="O221">
        <f>INDEX(Data!AG:AG,MATCH($G221,Data!$A:$A,0),1)</f>
        <v>1.1486856676492798</v>
      </c>
      <c r="P221">
        <f>INDEX(Data!AH:AH,MATCH($G221,Data!$A:$A,0),1)</f>
        <v>1.7068864766411047</v>
      </c>
      <c r="Q221">
        <f>IFERROR(IF(MATCH(B221,#REF!,0)&gt;0,1),0)</f>
        <v>0</v>
      </c>
    </row>
    <row r="222" spans="1:17" x14ac:dyDescent="0.2">
      <c r="A222" t="s">
        <v>10</v>
      </c>
      <c r="B222" t="s">
        <v>270</v>
      </c>
      <c r="C222" t="s">
        <v>263</v>
      </c>
      <c r="D222" t="s">
        <v>403</v>
      </c>
      <c r="E222" t="s">
        <v>15</v>
      </c>
      <c r="F222">
        <v>1</v>
      </c>
      <c r="G222" t="s">
        <v>325</v>
      </c>
      <c r="H222" s="2">
        <f>INDEX(Data!G:G,MATCH(G222,Data!A:A,0),1)</f>
        <v>5.79E-2</v>
      </c>
      <c r="I222" s="2">
        <f>INDEX(Data!J:J,MATCH(G222,Data!A:A,0),1)</f>
        <v>4.2599999999999999E-2</v>
      </c>
      <c r="J222" s="2">
        <f>INDEX(Data!R:R,MATCH(G222,Data!A:A,0),1)</f>
        <v>1</v>
      </c>
      <c r="K222" s="2">
        <f>INDEX(Data!S:S,MATCH(G222,Data!A:A,0),1)</f>
        <v>0</v>
      </c>
      <c r="L222" t="str">
        <f t="shared" si="3"/>
        <v>Combustion of fuels_Plumbing, heat and air-conditioning installation</v>
      </c>
      <c r="M222">
        <f>INDEX(Data!AD:AD,MATCH($G222,Data!$A:$A,0),1)</f>
        <v>0.78200000000000003</v>
      </c>
      <c r="N222">
        <f>INDEX(Data!AE:AE,MATCH($G222,Data!$A:$A,0),1)</f>
        <v>0.63500000000000001</v>
      </c>
      <c r="O222">
        <f>INDEX(Data!AG:AG,MATCH($G222,Data!$A:$A,0),1)</f>
        <v>1.1486856676492798</v>
      </c>
      <c r="P222">
        <f>INDEX(Data!AH:AH,MATCH($G222,Data!$A:$A,0),1)</f>
        <v>1.7068864766411047</v>
      </c>
      <c r="Q222">
        <f>IFERROR(IF(MATCH(B222,#REF!,0)&gt;0,1),0)</f>
        <v>0</v>
      </c>
    </row>
    <row r="223" spans="1:17" x14ac:dyDescent="0.2">
      <c r="A223" t="s">
        <v>10</v>
      </c>
      <c r="B223" t="s">
        <v>271</v>
      </c>
      <c r="C223" t="s">
        <v>67</v>
      </c>
      <c r="D223" t="s">
        <v>403</v>
      </c>
      <c r="E223" t="s">
        <v>15</v>
      </c>
      <c r="F223">
        <v>1</v>
      </c>
      <c r="G223" t="s">
        <v>325</v>
      </c>
      <c r="H223" s="2">
        <f>INDEX(Data!G:G,MATCH(G223,Data!A:A,0),1)</f>
        <v>5.79E-2</v>
      </c>
      <c r="I223" s="2">
        <f>INDEX(Data!J:J,MATCH(G223,Data!A:A,0),1)</f>
        <v>4.2599999999999999E-2</v>
      </c>
      <c r="J223" s="2">
        <f>INDEX(Data!R:R,MATCH(G223,Data!A:A,0),1)</f>
        <v>1</v>
      </c>
      <c r="K223" s="2">
        <f>INDEX(Data!S:S,MATCH(G223,Data!A:A,0),1)</f>
        <v>0</v>
      </c>
      <c r="L223" t="str">
        <f t="shared" si="3"/>
        <v>Combustion of fuels_Post-harvest crop activities</v>
      </c>
      <c r="M223">
        <f>INDEX(Data!AD:AD,MATCH($G223,Data!$A:$A,0),1)</f>
        <v>0.78200000000000003</v>
      </c>
      <c r="N223">
        <f>INDEX(Data!AE:AE,MATCH($G223,Data!$A:$A,0),1)</f>
        <v>0.63500000000000001</v>
      </c>
      <c r="O223">
        <f>INDEX(Data!AG:AG,MATCH($G223,Data!$A:$A,0),1)</f>
        <v>1.1486856676492798</v>
      </c>
      <c r="P223">
        <f>INDEX(Data!AH:AH,MATCH($G223,Data!$A:$A,0),1)</f>
        <v>1.7068864766411047</v>
      </c>
      <c r="Q223">
        <f>IFERROR(IF(MATCH(B223,#REF!,0)&gt;0,1),0)</f>
        <v>0</v>
      </c>
    </row>
    <row r="224" spans="1:17" x14ac:dyDescent="0.2">
      <c r="A224" t="s">
        <v>10</v>
      </c>
      <c r="B224" t="s">
        <v>272</v>
      </c>
      <c r="C224" t="s">
        <v>72</v>
      </c>
      <c r="D224" t="s">
        <v>403</v>
      </c>
      <c r="E224" t="s">
        <v>15</v>
      </c>
      <c r="F224">
        <v>1</v>
      </c>
      <c r="G224" t="s">
        <v>325</v>
      </c>
      <c r="H224" s="2">
        <f>INDEX(Data!G:G,MATCH(G224,Data!A:A,0),1)</f>
        <v>5.79E-2</v>
      </c>
      <c r="I224" s="2">
        <f>INDEX(Data!J:J,MATCH(G224,Data!A:A,0),1)</f>
        <v>4.2599999999999999E-2</v>
      </c>
      <c r="J224" s="2">
        <f>INDEX(Data!R:R,MATCH(G224,Data!A:A,0),1)</f>
        <v>1</v>
      </c>
      <c r="K224" s="2">
        <f>INDEX(Data!S:S,MATCH(G224,Data!A:A,0),1)</f>
        <v>0</v>
      </c>
      <c r="L224" t="str">
        <f t="shared" si="3"/>
        <v>Combustion of fuels_Post-secondary non-tertiary education</v>
      </c>
      <c r="M224">
        <f>INDEX(Data!AD:AD,MATCH($G224,Data!$A:$A,0),1)</f>
        <v>0.78200000000000003</v>
      </c>
      <c r="N224">
        <f>INDEX(Data!AE:AE,MATCH($G224,Data!$A:$A,0),1)</f>
        <v>0.63500000000000001</v>
      </c>
      <c r="O224">
        <f>INDEX(Data!AG:AG,MATCH($G224,Data!$A:$A,0),1)</f>
        <v>1.1486856676492798</v>
      </c>
      <c r="P224">
        <f>INDEX(Data!AH:AH,MATCH($G224,Data!$A:$A,0),1)</f>
        <v>1.7068864766411047</v>
      </c>
      <c r="Q224">
        <f>IFERROR(IF(MATCH(B224,#REF!,0)&gt;0,1),0)</f>
        <v>0</v>
      </c>
    </row>
    <row r="225" spans="1:17" x14ac:dyDescent="0.2">
      <c r="A225" t="s">
        <v>10</v>
      </c>
      <c r="B225" t="s">
        <v>273</v>
      </c>
      <c r="C225" t="s">
        <v>62</v>
      </c>
      <c r="D225" t="s">
        <v>403</v>
      </c>
      <c r="E225" t="s">
        <v>15</v>
      </c>
      <c r="F225">
        <v>1</v>
      </c>
      <c r="G225" t="s">
        <v>325</v>
      </c>
      <c r="H225" s="2">
        <f>INDEX(Data!G:G,MATCH(G225,Data!A:A,0),1)</f>
        <v>5.79E-2</v>
      </c>
      <c r="I225" s="2">
        <f>INDEX(Data!J:J,MATCH(G225,Data!A:A,0),1)</f>
        <v>4.2599999999999999E-2</v>
      </c>
      <c r="J225" s="2">
        <f>INDEX(Data!R:R,MATCH(G225,Data!A:A,0),1)</f>
        <v>1</v>
      </c>
      <c r="K225" s="2">
        <f>INDEX(Data!S:S,MATCH(G225,Data!A:A,0),1)</f>
        <v>0</v>
      </c>
      <c r="L225" t="str">
        <f t="shared" si="3"/>
        <v>Combustion of fuels_Preparation and spinning of textile fibres</v>
      </c>
      <c r="M225">
        <f>INDEX(Data!AD:AD,MATCH($G225,Data!$A:$A,0),1)</f>
        <v>0.78200000000000003</v>
      </c>
      <c r="N225">
        <f>INDEX(Data!AE:AE,MATCH($G225,Data!$A:$A,0),1)</f>
        <v>0.63500000000000001</v>
      </c>
      <c r="O225">
        <f>INDEX(Data!AG:AG,MATCH($G225,Data!$A:$A,0),1)</f>
        <v>1.1486856676492798</v>
      </c>
      <c r="P225">
        <f>INDEX(Data!AH:AH,MATCH($G225,Data!$A:$A,0),1)</f>
        <v>1.7068864766411047</v>
      </c>
      <c r="Q225">
        <f>IFERROR(IF(MATCH(B225,#REF!,0)&gt;0,1),0)</f>
        <v>0</v>
      </c>
    </row>
    <row r="226" spans="1:17" x14ac:dyDescent="0.2">
      <c r="A226" t="s">
        <v>10</v>
      </c>
      <c r="B226" t="s">
        <v>274</v>
      </c>
      <c r="C226" t="s">
        <v>113</v>
      </c>
      <c r="D226" t="s">
        <v>403</v>
      </c>
      <c r="E226" t="s">
        <v>15</v>
      </c>
      <c r="F226">
        <v>13</v>
      </c>
      <c r="G226" t="s">
        <v>325</v>
      </c>
      <c r="H226" s="2">
        <f>INDEX(Data!G:G,MATCH(G226,Data!A:A,0),1)</f>
        <v>5.79E-2</v>
      </c>
      <c r="I226" s="2">
        <f>INDEX(Data!J:J,MATCH(G226,Data!A:A,0),1)</f>
        <v>4.2599999999999999E-2</v>
      </c>
      <c r="J226" s="2">
        <f>INDEX(Data!R:R,MATCH(G226,Data!A:A,0),1)</f>
        <v>1</v>
      </c>
      <c r="K226" s="2">
        <f>INDEX(Data!S:S,MATCH(G226,Data!A:A,0),1)</f>
        <v>0</v>
      </c>
      <c r="L226" t="str">
        <f t="shared" si="3"/>
        <v>Combustion of fuels_Processing and preserving of fish, crustaceans and molluscs</v>
      </c>
      <c r="M226">
        <f>INDEX(Data!AD:AD,MATCH($G226,Data!$A:$A,0),1)</f>
        <v>0.78200000000000003</v>
      </c>
      <c r="N226">
        <f>INDEX(Data!AE:AE,MATCH($G226,Data!$A:$A,0),1)</f>
        <v>0.63500000000000001</v>
      </c>
      <c r="O226">
        <f>INDEX(Data!AG:AG,MATCH($G226,Data!$A:$A,0),1)</f>
        <v>1.1486856676492798</v>
      </c>
      <c r="P226">
        <f>INDEX(Data!AH:AH,MATCH($G226,Data!$A:$A,0),1)</f>
        <v>1.7068864766411047</v>
      </c>
      <c r="Q226">
        <f>IFERROR(IF(MATCH(B226,#REF!,0)&gt;0,1),0)</f>
        <v>0</v>
      </c>
    </row>
    <row r="227" spans="1:17" x14ac:dyDescent="0.2">
      <c r="A227" t="s">
        <v>10</v>
      </c>
      <c r="B227" t="s">
        <v>275</v>
      </c>
      <c r="C227" t="s">
        <v>113</v>
      </c>
      <c r="D227" t="s">
        <v>403</v>
      </c>
      <c r="E227" t="s">
        <v>15</v>
      </c>
      <c r="F227">
        <v>1</v>
      </c>
      <c r="G227" t="s">
        <v>325</v>
      </c>
      <c r="H227" s="2">
        <f>INDEX(Data!G:G,MATCH(G227,Data!A:A,0),1)</f>
        <v>5.79E-2</v>
      </c>
      <c r="I227" s="2">
        <f>INDEX(Data!J:J,MATCH(G227,Data!A:A,0),1)</f>
        <v>4.2599999999999999E-2</v>
      </c>
      <c r="J227" s="2">
        <f>INDEX(Data!R:R,MATCH(G227,Data!A:A,0),1)</f>
        <v>1</v>
      </c>
      <c r="K227" s="2">
        <f>INDEX(Data!S:S,MATCH(G227,Data!A:A,0),1)</f>
        <v>0</v>
      </c>
      <c r="L227" t="str">
        <f t="shared" si="3"/>
        <v>Combustion of fuels_Processing and preserving of fruit and vegetables</v>
      </c>
      <c r="M227">
        <f>INDEX(Data!AD:AD,MATCH($G227,Data!$A:$A,0),1)</f>
        <v>0.78200000000000003</v>
      </c>
      <c r="N227">
        <f>INDEX(Data!AE:AE,MATCH($G227,Data!$A:$A,0),1)</f>
        <v>0.63500000000000001</v>
      </c>
      <c r="O227">
        <f>INDEX(Data!AG:AG,MATCH($G227,Data!$A:$A,0),1)</f>
        <v>1.1486856676492798</v>
      </c>
      <c r="P227">
        <f>INDEX(Data!AH:AH,MATCH($G227,Data!$A:$A,0),1)</f>
        <v>1.7068864766411047</v>
      </c>
      <c r="Q227">
        <f>IFERROR(IF(MATCH(B227,#REF!,0)&gt;0,1),0)</f>
        <v>0</v>
      </c>
    </row>
    <row r="228" spans="1:17" x14ac:dyDescent="0.2">
      <c r="A228" t="s">
        <v>10</v>
      </c>
      <c r="B228" t="s">
        <v>276</v>
      </c>
      <c r="C228" t="s">
        <v>113</v>
      </c>
      <c r="D228" t="s">
        <v>403</v>
      </c>
      <c r="E228" t="s">
        <v>15</v>
      </c>
      <c r="F228">
        <v>12</v>
      </c>
      <c r="G228" t="s">
        <v>325</v>
      </c>
      <c r="H228" s="2">
        <f>INDEX(Data!G:G,MATCH(G228,Data!A:A,0),1)</f>
        <v>5.79E-2</v>
      </c>
      <c r="I228" s="2">
        <f>INDEX(Data!J:J,MATCH(G228,Data!A:A,0),1)</f>
        <v>4.2599999999999999E-2</v>
      </c>
      <c r="J228" s="2">
        <f>INDEX(Data!R:R,MATCH(G228,Data!A:A,0),1)</f>
        <v>1</v>
      </c>
      <c r="K228" s="2">
        <f>INDEX(Data!S:S,MATCH(G228,Data!A:A,0),1)</f>
        <v>0</v>
      </c>
      <c r="L228" t="str">
        <f t="shared" si="3"/>
        <v>Combustion of fuels_Processing and preserving of meat</v>
      </c>
      <c r="M228">
        <f>INDEX(Data!AD:AD,MATCH($G228,Data!$A:$A,0),1)</f>
        <v>0.78200000000000003</v>
      </c>
      <c r="N228">
        <f>INDEX(Data!AE:AE,MATCH($G228,Data!$A:$A,0),1)</f>
        <v>0.63500000000000001</v>
      </c>
      <c r="O228">
        <f>INDEX(Data!AG:AG,MATCH($G228,Data!$A:$A,0),1)</f>
        <v>1.1486856676492798</v>
      </c>
      <c r="P228">
        <f>INDEX(Data!AH:AH,MATCH($G228,Data!$A:$A,0),1)</f>
        <v>1.7068864766411047</v>
      </c>
      <c r="Q228">
        <f>IFERROR(IF(MATCH(B228,#REF!,0)&gt;0,1),0)</f>
        <v>0</v>
      </c>
    </row>
    <row r="229" spans="1:17" x14ac:dyDescent="0.2">
      <c r="A229" t="s">
        <v>10</v>
      </c>
      <c r="B229" t="s">
        <v>277</v>
      </c>
      <c r="C229" t="s">
        <v>113</v>
      </c>
      <c r="D229" t="s">
        <v>403</v>
      </c>
      <c r="E229" t="s">
        <v>15</v>
      </c>
      <c r="F229">
        <v>26</v>
      </c>
      <c r="G229" t="s">
        <v>325</v>
      </c>
      <c r="H229" s="2">
        <f>INDEX(Data!G:G,MATCH(G229,Data!A:A,0),1)</f>
        <v>5.79E-2</v>
      </c>
      <c r="I229" s="2">
        <f>INDEX(Data!J:J,MATCH(G229,Data!A:A,0),1)</f>
        <v>4.2599999999999999E-2</v>
      </c>
      <c r="J229" s="2">
        <f>INDEX(Data!R:R,MATCH(G229,Data!A:A,0),1)</f>
        <v>1</v>
      </c>
      <c r="K229" s="2">
        <f>INDEX(Data!S:S,MATCH(G229,Data!A:A,0),1)</f>
        <v>0</v>
      </c>
      <c r="L229" t="str">
        <f t="shared" si="3"/>
        <v>Combustion of fuels_Processing and preserving of potatoes</v>
      </c>
      <c r="M229">
        <f>INDEX(Data!AD:AD,MATCH($G229,Data!$A:$A,0),1)</f>
        <v>0.78200000000000003</v>
      </c>
      <c r="N229">
        <f>INDEX(Data!AE:AE,MATCH($G229,Data!$A:$A,0),1)</f>
        <v>0.63500000000000001</v>
      </c>
      <c r="O229">
        <f>INDEX(Data!AG:AG,MATCH($G229,Data!$A:$A,0),1)</f>
        <v>1.1486856676492798</v>
      </c>
      <c r="P229">
        <f>INDEX(Data!AH:AH,MATCH($G229,Data!$A:$A,0),1)</f>
        <v>1.7068864766411047</v>
      </c>
      <c r="Q229">
        <f>IFERROR(IF(MATCH(B229,#REF!,0)&gt;0,1),0)</f>
        <v>0</v>
      </c>
    </row>
    <row r="230" spans="1:17" x14ac:dyDescent="0.2">
      <c r="A230" t="s">
        <v>10</v>
      </c>
      <c r="B230" t="s">
        <v>278</v>
      </c>
      <c r="C230" t="s">
        <v>113</v>
      </c>
      <c r="D230" t="s">
        <v>403</v>
      </c>
      <c r="E230" t="s">
        <v>15</v>
      </c>
      <c r="F230">
        <v>1</v>
      </c>
      <c r="G230" t="s">
        <v>325</v>
      </c>
      <c r="H230" s="2">
        <f>INDEX(Data!G:G,MATCH(G230,Data!A:A,0),1)</f>
        <v>5.79E-2</v>
      </c>
      <c r="I230" s="2">
        <f>INDEX(Data!J:J,MATCH(G230,Data!A:A,0),1)</f>
        <v>4.2599999999999999E-2</v>
      </c>
      <c r="J230" s="2">
        <f>INDEX(Data!R:R,MATCH(G230,Data!A:A,0),1)</f>
        <v>1</v>
      </c>
      <c r="K230" s="2">
        <f>INDEX(Data!S:S,MATCH(G230,Data!A:A,0),1)</f>
        <v>0</v>
      </c>
      <c r="L230" t="str">
        <f t="shared" si="3"/>
        <v>Combustion of fuels_Processing and preserving of poultry meat</v>
      </c>
      <c r="M230">
        <f>INDEX(Data!AD:AD,MATCH($G230,Data!$A:$A,0),1)</f>
        <v>0.78200000000000003</v>
      </c>
      <c r="N230">
        <f>INDEX(Data!AE:AE,MATCH($G230,Data!$A:$A,0),1)</f>
        <v>0.63500000000000001</v>
      </c>
      <c r="O230">
        <f>INDEX(Data!AG:AG,MATCH($G230,Data!$A:$A,0),1)</f>
        <v>1.1486856676492798</v>
      </c>
      <c r="P230">
        <f>INDEX(Data!AH:AH,MATCH($G230,Data!$A:$A,0),1)</f>
        <v>1.7068864766411047</v>
      </c>
      <c r="Q230">
        <f>IFERROR(IF(MATCH(B230,#REF!,0)&gt;0,1),0)</f>
        <v>0</v>
      </c>
    </row>
    <row r="231" spans="1:17" x14ac:dyDescent="0.2">
      <c r="A231" t="s">
        <v>10</v>
      </c>
      <c r="B231" t="s">
        <v>279</v>
      </c>
      <c r="C231" t="s">
        <v>6</v>
      </c>
      <c r="D231" t="s">
        <v>403</v>
      </c>
      <c r="E231" t="s">
        <v>15</v>
      </c>
      <c r="F231">
        <v>1</v>
      </c>
      <c r="G231" t="s">
        <v>325</v>
      </c>
      <c r="H231" s="2">
        <f>INDEX(Data!G:G,MATCH(G231,Data!A:A,0),1)</f>
        <v>5.79E-2</v>
      </c>
      <c r="I231" s="2">
        <f>INDEX(Data!J:J,MATCH(G231,Data!A:A,0),1)</f>
        <v>4.2599999999999999E-2</v>
      </c>
      <c r="J231" s="2">
        <f>INDEX(Data!R:R,MATCH(G231,Data!A:A,0),1)</f>
        <v>1</v>
      </c>
      <c r="K231" s="2">
        <f>INDEX(Data!S:S,MATCH(G231,Data!A:A,0),1)</f>
        <v>0</v>
      </c>
      <c r="L231" t="str">
        <f t="shared" si="3"/>
        <v>Combustion of fuels_Processing of nuclear fuel</v>
      </c>
      <c r="M231">
        <f>INDEX(Data!AD:AD,MATCH($G231,Data!$A:$A,0),1)</f>
        <v>0.78200000000000003</v>
      </c>
      <c r="N231">
        <f>INDEX(Data!AE:AE,MATCH($G231,Data!$A:$A,0),1)</f>
        <v>0.63500000000000001</v>
      </c>
      <c r="O231">
        <f>INDEX(Data!AG:AG,MATCH($G231,Data!$A:$A,0),1)</f>
        <v>1.1486856676492798</v>
      </c>
      <c r="P231">
        <f>INDEX(Data!AH:AH,MATCH($G231,Data!$A:$A,0),1)</f>
        <v>1.7068864766411047</v>
      </c>
      <c r="Q231">
        <f>IFERROR(IF(MATCH(B231,#REF!,0)&gt;0,1),0)</f>
        <v>0</v>
      </c>
    </row>
    <row r="232" spans="1:17" x14ac:dyDescent="0.2">
      <c r="A232" t="s">
        <v>10</v>
      </c>
      <c r="B232" t="s">
        <v>280</v>
      </c>
      <c r="C232" t="s">
        <v>113</v>
      </c>
      <c r="D232" t="s">
        <v>403</v>
      </c>
      <c r="E232" t="s">
        <v>15</v>
      </c>
      <c r="F232">
        <v>9</v>
      </c>
      <c r="G232" t="s">
        <v>325</v>
      </c>
      <c r="H232" s="2">
        <f>INDEX(Data!G:G,MATCH(G232,Data!A:A,0),1)</f>
        <v>5.79E-2</v>
      </c>
      <c r="I232" s="2">
        <f>INDEX(Data!J:J,MATCH(G232,Data!A:A,0),1)</f>
        <v>4.2599999999999999E-2</v>
      </c>
      <c r="J232" s="2">
        <f>INDEX(Data!R:R,MATCH(G232,Data!A:A,0),1)</f>
        <v>1</v>
      </c>
      <c r="K232" s="2">
        <f>INDEX(Data!S:S,MATCH(G232,Data!A:A,0),1)</f>
        <v>0</v>
      </c>
      <c r="L232" t="str">
        <f t="shared" si="3"/>
        <v>Combustion of fuels_Processing of tea and coffee</v>
      </c>
      <c r="M232">
        <f>INDEX(Data!AD:AD,MATCH($G232,Data!$A:$A,0),1)</f>
        <v>0.78200000000000003</v>
      </c>
      <c r="N232">
        <f>INDEX(Data!AE:AE,MATCH($G232,Data!$A:$A,0),1)</f>
        <v>0.63500000000000001</v>
      </c>
      <c r="O232">
        <f>INDEX(Data!AG:AG,MATCH($G232,Data!$A:$A,0),1)</f>
        <v>1.1486856676492798</v>
      </c>
      <c r="P232">
        <f>INDEX(Data!AH:AH,MATCH($G232,Data!$A:$A,0),1)</f>
        <v>1.7068864766411047</v>
      </c>
      <c r="Q232">
        <f>IFERROR(IF(MATCH(B232,#REF!,0)&gt;0,1),0)</f>
        <v>0</v>
      </c>
    </row>
    <row r="233" spans="1:17" x14ac:dyDescent="0.2">
      <c r="A233" t="s">
        <v>10</v>
      </c>
      <c r="B233" t="s">
        <v>283</v>
      </c>
      <c r="C233" t="s">
        <v>113</v>
      </c>
      <c r="D233" t="s">
        <v>403</v>
      </c>
      <c r="E233" t="s">
        <v>15</v>
      </c>
      <c r="F233">
        <v>9</v>
      </c>
      <c r="G233" t="s">
        <v>325</v>
      </c>
      <c r="H233" s="2">
        <f>INDEX(Data!G:G,MATCH(G233,Data!A:A,0),1)</f>
        <v>5.79E-2</v>
      </c>
      <c r="I233" s="2">
        <f>INDEX(Data!J:J,MATCH(G233,Data!A:A,0),1)</f>
        <v>4.2599999999999999E-2</v>
      </c>
      <c r="J233" s="2">
        <f>INDEX(Data!R:R,MATCH(G233,Data!A:A,0),1)</f>
        <v>1</v>
      </c>
      <c r="K233" s="2">
        <f>INDEX(Data!S:S,MATCH(G233,Data!A:A,0),1)</f>
        <v>0</v>
      </c>
      <c r="L233" t="str">
        <f t="shared" si="3"/>
        <v>Combustion of fuels_Production of meat and poultry meat products</v>
      </c>
      <c r="M233">
        <f>INDEX(Data!AD:AD,MATCH($G233,Data!$A:$A,0),1)</f>
        <v>0.78200000000000003</v>
      </c>
      <c r="N233">
        <f>INDEX(Data!AE:AE,MATCH($G233,Data!$A:$A,0),1)</f>
        <v>0.63500000000000001</v>
      </c>
      <c r="O233">
        <f>INDEX(Data!AG:AG,MATCH($G233,Data!$A:$A,0),1)</f>
        <v>1.1486856676492798</v>
      </c>
      <c r="P233">
        <f>INDEX(Data!AH:AH,MATCH($G233,Data!$A:$A,0),1)</f>
        <v>1.7068864766411047</v>
      </c>
      <c r="Q233">
        <f>IFERROR(IF(MATCH(B233,#REF!,0)&gt;0,1),0)</f>
        <v>0</v>
      </c>
    </row>
    <row r="234" spans="1:17" x14ac:dyDescent="0.2">
      <c r="A234" t="s">
        <v>10</v>
      </c>
      <c r="B234" t="s">
        <v>284</v>
      </c>
      <c r="C234" t="s">
        <v>58</v>
      </c>
      <c r="D234" t="s">
        <v>403</v>
      </c>
      <c r="E234" t="s">
        <v>15</v>
      </c>
      <c r="F234">
        <v>1</v>
      </c>
      <c r="G234" t="s">
        <v>325</v>
      </c>
      <c r="H234" s="2">
        <f>INDEX(Data!G:G,MATCH(G234,Data!A:A,0),1)</f>
        <v>5.79E-2</v>
      </c>
      <c r="I234" s="2">
        <f>INDEX(Data!J:J,MATCH(G234,Data!A:A,0),1)</f>
        <v>4.2599999999999999E-2</v>
      </c>
      <c r="J234" s="2">
        <f>INDEX(Data!R:R,MATCH(G234,Data!A:A,0),1)</f>
        <v>1</v>
      </c>
      <c r="K234" s="2">
        <f>INDEX(Data!S:S,MATCH(G234,Data!A:A,0),1)</f>
        <v>0</v>
      </c>
      <c r="L234" t="str">
        <f t="shared" si="3"/>
        <v>Combustion of fuels_Quarrying of ornamental and building stone, limestone, gypsum, chalk and slate</v>
      </c>
      <c r="M234">
        <f>INDEX(Data!AD:AD,MATCH($G234,Data!$A:$A,0),1)</f>
        <v>0.78200000000000003</v>
      </c>
      <c r="N234">
        <f>INDEX(Data!AE:AE,MATCH($G234,Data!$A:$A,0),1)</f>
        <v>0.63500000000000001</v>
      </c>
      <c r="O234">
        <f>INDEX(Data!AG:AG,MATCH($G234,Data!$A:$A,0),1)</f>
        <v>1.1486856676492798</v>
      </c>
      <c r="P234">
        <f>INDEX(Data!AH:AH,MATCH($G234,Data!$A:$A,0),1)</f>
        <v>1.7068864766411047</v>
      </c>
      <c r="Q234">
        <f>IFERROR(IF(MATCH(B234,#REF!,0)&gt;0,1),0)</f>
        <v>0</v>
      </c>
    </row>
    <row r="235" spans="1:17" x14ac:dyDescent="0.2">
      <c r="A235" t="s">
        <v>10</v>
      </c>
      <c r="B235" t="s">
        <v>285</v>
      </c>
      <c r="C235" t="s">
        <v>286</v>
      </c>
      <c r="D235" t="s">
        <v>403</v>
      </c>
      <c r="E235" t="s">
        <v>15</v>
      </c>
      <c r="F235">
        <v>9</v>
      </c>
      <c r="G235" t="s">
        <v>325</v>
      </c>
      <c r="H235" s="2">
        <f>INDEX(Data!G:G,MATCH(G235,Data!A:A,0),1)</f>
        <v>5.79E-2</v>
      </c>
      <c r="I235" s="2">
        <f>INDEX(Data!J:J,MATCH(G235,Data!A:A,0),1)</f>
        <v>4.2599999999999999E-2</v>
      </c>
      <c r="J235" s="2">
        <f>INDEX(Data!R:R,MATCH(G235,Data!A:A,0),1)</f>
        <v>1</v>
      </c>
      <c r="K235" s="2">
        <f>INDEX(Data!S:S,MATCH(G235,Data!A:A,0),1)</f>
        <v>0</v>
      </c>
      <c r="L235" t="str">
        <f t="shared" si="3"/>
        <v>Combustion of fuels_Recovery of sorted materials</v>
      </c>
      <c r="M235">
        <f>INDEX(Data!AD:AD,MATCH($G235,Data!$A:$A,0),1)</f>
        <v>0.78200000000000003</v>
      </c>
      <c r="N235">
        <f>INDEX(Data!AE:AE,MATCH($G235,Data!$A:$A,0),1)</f>
        <v>0.63500000000000001</v>
      </c>
      <c r="O235">
        <f>INDEX(Data!AG:AG,MATCH($G235,Data!$A:$A,0),1)</f>
        <v>1.1486856676492798</v>
      </c>
      <c r="P235">
        <f>INDEX(Data!AH:AH,MATCH($G235,Data!$A:$A,0),1)</f>
        <v>1.7068864766411047</v>
      </c>
      <c r="Q235">
        <f>IFERROR(IF(MATCH(B235,#REF!,0)&gt;0,1),0)</f>
        <v>0</v>
      </c>
    </row>
    <row r="236" spans="1:17" x14ac:dyDescent="0.2">
      <c r="A236" t="s">
        <v>10</v>
      </c>
      <c r="B236" t="s">
        <v>287</v>
      </c>
      <c r="C236" t="s">
        <v>288</v>
      </c>
      <c r="D236" t="s">
        <v>403</v>
      </c>
      <c r="E236" t="s">
        <v>15</v>
      </c>
      <c r="F236">
        <v>1</v>
      </c>
      <c r="G236" t="s">
        <v>325</v>
      </c>
      <c r="H236" s="2">
        <f>INDEX(Data!G:G,MATCH(G236,Data!A:A,0),1)</f>
        <v>5.79E-2</v>
      </c>
      <c r="I236" s="2">
        <f>INDEX(Data!J:J,MATCH(G236,Data!A:A,0),1)</f>
        <v>4.2599999999999999E-2</v>
      </c>
      <c r="J236" s="2">
        <f>INDEX(Data!R:R,MATCH(G236,Data!A:A,0),1)</f>
        <v>1</v>
      </c>
      <c r="K236" s="2">
        <f>INDEX(Data!S:S,MATCH(G236,Data!A:A,0),1)</f>
        <v>0</v>
      </c>
      <c r="L236" t="str">
        <f t="shared" si="3"/>
        <v>Combustion of fuels_Rental and operating of own or leased real estate</v>
      </c>
      <c r="M236">
        <f>INDEX(Data!AD:AD,MATCH($G236,Data!$A:$A,0),1)</f>
        <v>0.78200000000000003</v>
      </c>
      <c r="N236">
        <f>INDEX(Data!AE:AE,MATCH($G236,Data!$A:$A,0),1)</f>
        <v>0.63500000000000001</v>
      </c>
      <c r="O236">
        <f>INDEX(Data!AG:AG,MATCH($G236,Data!$A:$A,0),1)</f>
        <v>1.1486856676492798</v>
      </c>
      <c r="P236">
        <f>INDEX(Data!AH:AH,MATCH($G236,Data!$A:$A,0),1)</f>
        <v>1.7068864766411047</v>
      </c>
      <c r="Q236">
        <f>IFERROR(IF(MATCH(B236,#REF!,0)&gt;0,1),0)</f>
        <v>0</v>
      </c>
    </row>
    <row r="237" spans="1:17" x14ac:dyDescent="0.2">
      <c r="A237" t="s">
        <v>10</v>
      </c>
      <c r="B237" t="s">
        <v>289</v>
      </c>
      <c r="C237" t="s">
        <v>290</v>
      </c>
      <c r="D237" t="s">
        <v>403</v>
      </c>
      <c r="E237" t="s">
        <v>15</v>
      </c>
      <c r="F237">
        <v>7</v>
      </c>
      <c r="G237" t="s">
        <v>325</v>
      </c>
      <c r="H237" s="2">
        <f>INDEX(Data!G:G,MATCH(G237,Data!A:A,0),1)</f>
        <v>5.79E-2</v>
      </c>
      <c r="I237" s="2">
        <f>INDEX(Data!J:J,MATCH(G237,Data!A:A,0),1)</f>
        <v>4.2599999999999999E-2</v>
      </c>
      <c r="J237" s="2">
        <f>INDEX(Data!R:R,MATCH(G237,Data!A:A,0),1)</f>
        <v>1</v>
      </c>
      <c r="K237" s="2">
        <f>INDEX(Data!S:S,MATCH(G237,Data!A:A,0),1)</f>
        <v>0</v>
      </c>
      <c r="L237" t="str">
        <f t="shared" si="3"/>
        <v>Combustion of fuels_Repair and maintenance of aircraft and spacecraft</v>
      </c>
      <c r="M237">
        <f>INDEX(Data!AD:AD,MATCH($G237,Data!$A:$A,0),1)</f>
        <v>0.78200000000000003</v>
      </c>
      <c r="N237">
        <f>INDEX(Data!AE:AE,MATCH($G237,Data!$A:$A,0),1)</f>
        <v>0.63500000000000001</v>
      </c>
      <c r="O237">
        <f>INDEX(Data!AG:AG,MATCH($G237,Data!$A:$A,0),1)</f>
        <v>1.1486856676492798</v>
      </c>
      <c r="P237">
        <f>INDEX(Data!AH:AH,MATCH($G237,Data!$A:$A,0),1)</f>
        <v>1.7068864766411047</v>
      </c>
      <c r="Q237">
        <f>IFERROR(IF(MATCH(B237,#REF!,0)&gt;0,1),0)</f>
        <v>0</v>
      </c>
    </row>
    <row r="238" spans="1:17" x14ac:dyDescent="0.2">
      <c r="A238" t="s">
        <v>10</v>
      </c>
      <c r="B238" t="s">
        <v>291</v>
      </c>
      <c r="C238" t="s">
        <v>290</v>
      </c>
      <c r="D238" t="s">
        <v>403</v>
      </c>
      <c r="E238" t="s">
        <v>15</v>
      </c>
      <c r="F238">
        <v>1</v>
      </c>
      <c r="G238" t="s">
        <v>325</v>
      </c>
      <c r="H238" s="2">
        <f>INDEX(Data!G:G,MATCH(G238,Data!A:A,0),1)</f>
        <v>5.79E-2</v>
      </c>
      <c r="I238" s="2">
        <f>INDEX(Data!J:J,MATCH(G238,Data!A:A,0),1)</f>
        <v>4.2599999999999999E-2</v>
      </c>
      <c r="J238" s="2">
        <f>INDEX(Data!R:R,MATCH(G238,Data!A:A,0),1)</f>
        <v>1</v>
      </c>
      <c r="K238" s="2">
        <f>INDEX(Data!S:S,MATCH(G238,Data!A:A,0),1)</f>
        <v>0</v>
      </c>
      <c r="L238" t="str">
        <f t="shared" si="3"/>
        <v>Combustion of fuels_Repair of machinery</v>
      </c>
      <c r="M238">
        <f>INDEX(Data!AD:AD,MATCH($G238,Data!$A:$A,0),1)</f>
        <v>0.78200000000000003</v>
      </c>
      <c r="N238">
        <f>INDEX(Data!AE:AE,MATCH($G238,Data!$A:$A,0),1)</f>
        <v>0.63500000000000001</v>
      </c>
      <c r="O238">
        <f>INDEX(Data!AG:AG,MATCH($G238,Data!$A:$A,0),1)</f>
        <v>1.1486856676492798</v>
      </c>
      <c r="P238">
        <f>INDEX(Data!AH:AH,MATCH($G238,Data!$A:$A,0),1)</f>
        <v>1.7068864766411047</v>
      </c>
      <c r="Q238">
        <f>IFERROR(IF(MATCH(B238,#REF!,0)&gt;0,1),0)</f>
        <v>0</v>
      </c>
    </row>
    <row r="239" spans="1:17" x14ac:dyDescent="0.2">
      <c r="A239" t="s">
        <v>10</v>
      </c>
      <c r="B239" t="s">
        <v>292</v>
      </c>
      <c r="C239" t="s">
        <v>261</v>
      </c>
      <c r="D239" t="s">
        <v>403</v>
      </c>
      <c r="E239" t="s">
        <v>15</v>
      </c>
      <c r="F239">
        <v>1</v>
      </c>
      <c r="G239" t="s">
        <v>325</v>
      </c>
      <c r="H239" s="2">
        <f>INDEX(Data!G:G,MATCH(G239,Data!A:A,0),1)</f>
        <v>5.79E-2</v>
      </c>
      <c r="I239" s="2">
        <f>INDEX(Data!J:J,MATCH(G239,Data!A:A,0),1)</f>
        <v>4.2599999999999999E-2</v>
      </c>
      <c r="J239" s="2">
        <f>INDEX(Data!R:R,MATCH(G239,Data!A:A,0),1)</f>
        <v>1</v>
      </c>
      <c r="K239" s="2">
        <f>INDEX(Data!S:S,MATCH(G239,Data!A:A,0),1)</f>
        <v>0</v>
      </c>
      <c r="L239" t="str">
        <f t="shared" si="3"/>
        <v>Combustion of fuels_Research and experimental development on social sciences and humanities</v>
      </c>
      <c r="M239">
        <f>INDEX(Data!AD:AD,MATCH($G239,Data!$A:$A,0),1)</f>
        <v>0.78200000000000003</v>
      </c>
      <c r="N239">
        <f>INDEX(Data!AE:AE,MATCH($G239,Data!$A:$A,0),1)</f>
        <v>0.63500000000000001</v>
      </c>
      <c r="O239">
        <f>INDEX(Data!AG:AG,MATCH($G239,Data!$A:$A,0),1)</f>
        <v>1.1486856676492798</v>
      </c>
      <c r="P239">
        <f>INDEX(Data!AH:AH,MATCH($G239,Data!$A:$A,0),1)</f>
        <v>1.7068864766411047</v>
      </c>
      <c r="Q239">
        <f>IFERROR(IF(MATCH(B239,#REF!,0)&gt;0,1),0)</f>
        <v>0</v>
      </c>
    </row>
    <row r="240" spans="1:17" x14ac:dyDescent="0.2">
      <c r="A240" t="s">
        <v>10</v>
      </c>
      <c r="B240" t="s">
        <v>293</v>
      </c>
      <c r="C240" t="s">
        <v>294</v>
      </c>
      <c r="D240" t="s">
        <v>403</v>
      </c>
      <c r="E240" t="s">
        <v>15</v>
      </c>
      <c r="F240">
        <v>1</v>
      </c>
      <c r="G240" t="s">
        <v>325</v>
      </c>
      <c r="H240" s="2">
        <f>INDEX(Data!G:G,MATCH(G240,Data!A:A,0),1)</f>
        <v>5.79E-2</v>
      </c>
      <c r="I240" s="2">
        <f>INDEX(Data!J:J,MATCH(G240,Data!A:A,0),1)</f>
        <v>4.2599999999999999E-2</v>
      </c>
      <c r="J240" s="2">
        <f>INDEX(Data!R:R,MATCH(G240,Data!A:A,0),1)</f>
        <v>1</v>
      </c>
      <c r="K240" s="2">
        <f>INDEX(Data!S:S,MATCH(G240,Data!A:A,0),1)</f>
        <v>0</v>
      </c>
      <c r="L240" t="str">
        <f t="shared" si="3"/>
        <v>Combustion of fuels_Restaurants and mobile food service activities</v>
      </c>
      <c r="M240">
        <f>INDEX(Data!AD:AD,MATCH($G240,Data!$A:$A,0),1)</f>
        <v>0.78200000000000003</v>
      </c>
      <c r="N240">
        <f>INDEX(Data!AE:AE,MATCH($G240,Data!$A:$A,0),1)</f>
        <v>0.63500000000000001</v>
      </c>
      <c r="O240">
        <f>INDEX(Data!AG:AG,MATCH($G240,Data!$A:$A,0),1)</f>
        <v>1.1486856676492798</v>
      </c>
      <c r="P240">
        <f>INDEX(Data!AH:AH,MATCH($G240,Data!$A:$A,0),1)</f>
        <v>1.7068864766411047</v>
      </c>
      <c r="Q240">
        <f>IFERROR(IF(MATCH(B240,#REF!,0)&gt;0,1),0)</f>
        <v>0</v>
      </c>
    </row>
    <row r="241" spans="1:17" x14ac:dyDescent="0.2">
      <c r="A241" t="s">
        <v>10</v>
      </c>
      <c r="B241" t="s">
        <v>295</v>
      </c>
      <c r="C241" t="s">
        <v>89</v>
      </c>
      <c r="D241" t="s">
        <v>403</v>
      </c>
      <c r="E241" t="s">
        <v>15</v>
      </c>
      <c r="F241">
        <v>6</v>
      </c>
      <c r="G241" t="s">
        <v>325</v>
      </c>
      <c r="H241" s="2">
        <f>INDEX(Data!G:G,MATCH(G241,Data!A:A,0),1)</f>
        <v>5.79E-2</v>
      </c>
      <c r="I241" s="2">
        <f>INDEX(Data!J:J,MATCH(G241,Data!A:A,0),1)</f>
        <v>4.2599999999999999E-2</v>
      </c>
      <c r="J241" s="2">
        <f>INDEX(Data!R:R,MATCH(G241,Data!A:A,0),1)</f>
        <v>1</v>
      </c>
      <c r="K241" s="2">
        <f>INDEX(Data!S:S,MATCH(G241,Data!A:A,0),1)</f>
        <v>0</v>
      </c>
      <c r="L241" t="str">
        <f t="shared" si="3"/>
        <v>Combustion of fuels_Sawmilling and planing of wood</v>
      </c>
      <c r="M241">
        <f>INDEX(Data!AD:AD,MATCH($G241,Data!$A:$A,0),1)</f>
        <v>0.78200000000000003</v>
      </c>
      <c r="N241">
        <f>INDEX(Data!AE:AE,MATCH($G241,Data!$A:$A,0),1)</f>
        <v>0.63500000000000001</v>
      </c>
      <c r="O241">
        <f>INDEX(Data!AG:AG,MATCH($G241,Data!$A:$A,0),1)</f>
        <v>1.1486856676492798</v>
      </c>
      <c r="P241">
        <f>INDEX(Data!AH:AH,MATCH($G241,Data!$A:$A,0),1)</f>
        <v>1.7068864766411047</v>
      </c>
      <c r="Q241">
        <f>IFERROR(IF(MATCH(B241,#REF!,0)&gt;0,1),0)</f>
        <v>0</v>
      </c>
    </row>
    <row r="242" spans="1:17" x14ac:dyDescent="0.2">
      <c r="A242" t="s">
        <v>10</v>
      </c>
      <c r="B242" t="s">
        <v>296</v>
      </c>
      <c r="C242" t="s">
        <v>67</v>
      </c>
      <c r="D242" t="s">
        <v>403</v>
      </c>
      <c r="E242" t="s">
        <v>15</v>
      </c>
      <c r="F242">
        <v>1</v>
      </c>
      <c r="G242" t="s">
        <v>325</v>
      </c>
      <c r="H242" s="2">
        <f>INDEX(Data!G:G,MATCH(G242,Data!A:A,0),1)</f>
        <v>5.79E-2</v>
      </c>
      <c r="I242" s="2">
        <f>INDEX(Data!J:J,MATCH(G242,Data!A:A,0),1)</f>
        <v>4.2599999999999999E-2</v>
      </c>
      <c r="J242" s="2">
        <f>INDEX(Data!R:R,MATCH(G242,Data!A:A,0),1)</f>
        <v>1</v>
      </c>
      <c r="K242" s="2">
        <f>INDEX(Data!S:S,MATCH(G242,Data!A:A,0),1)</f>
        <v>0</v>
      </c>
      <c r="L242" t="str">
        <f t="shared" si="3"/>
        <v>Combustion of fuels_Seed processing for propagation</v>
      </c>
      <c r="M242">
        <f>INDEX(Data!AD:AD,MATCH($G242,Data!$A:$A,0),1)</f>
        <v>0.78200000000000003</v>
      </c>
      <c r="N242">
        <f>INDEX(Data!AE:AE,MATCH($G242,Data!$A:$A,0),1)</f>
        <v>0.63500000000000001</v>
      </c>
      <c r="O242">
        <f>INDEX(Data!AG:AG,MATCH($G242,Data!$A:$A,0),1)</f>
        <v>1.1486856676492798</v>
      </c>
      <c r="P242">
        <f>INDEX(Data!AH:AH,MATCH($G242,Data!$A:$A,0),1)</f>
        <v>1.7068864766411047</v>
      </c>
      <c r="Q242">
        <f>IFERROR(IF(MATCH(B242,#REF!,0)&gt;0,1),0)</f>
        <v>0</v>
      </c>
    </row>
    <row r="243" spans="1:17" x14ac:dyDescent="0.2">
      <c r="A243" t="s">
        <v>10</v>
      </c>
      <c r="B243" t="s">
        <v>297</v>
      </c>
      <c r="C243" t="s">
        <v>17</v>
      </c>
      <c r="D243" t="s">
        <v>403</v>
      </c>
      <c r="E243" t="s">
        <v>15</v>
      </c>
      <c r="F243">
        <v>7</v>
      </c>
      <c r="G243" t="s">
        <v>325</v>
      </c>
      <c r="H243" s="2">
        <f>INDEX(Data!G:G,MATCH(G243,Data!A:A,0),1)</f>
        <v>5.79E-2</v>
      </c>
      <c r="I243" s="2">
        <f>INDEX(Data!J:J,MATCH(G243,Data!A:A,0),1)</f>
        <v>4.2599999999999999E-2</v>
      </c>
      <c r="J243" s="2">
        <f>INDEX(Data!R:R,MATCH(G243,Data!A:A,0),1)</f>
        <v>1</v>
      </c>
      <c r="K243" s="2">
        <f>INDEX(Data!S:S,MATCH(G243,Data!A:A,0),1)</f>
        <v>0</v>
      </c>
      <c r="L243" t="str">
        <f t="shared" si="3"/>
        <v>Combustion of fuels_Service activities incidental to air transportation</v>
      </c>
      <c r="M243">
        <f>INDEX(Data!AD:AD,MATCH($G243,Data!$A:$A,0),1)</f>
        <v>0.78200000000000003</v>
      </c>
      <c r="N243">
        <f>INDEX(Data!AE:AE,MATCH($G243,Data!$A:$A,0),1)</f>
        <v>0.63500000000000001</v>
      </c>
      <c r="O243">
        <f>INDEX(Data!AG:AG,MATCH($G243,Data!$A:$A,0),1)</f>
        <v>1.1486856676492798</v>
      </c>
      <c r="P243">
        <f>INDEX(Data!AH:AH,MATCH($G243,Data!$A:$A,0),1)</f>
        <v>1.7068864766411047</v>
      </c>
      <c r="Q243">
        <f>IFERROR(IF(MATCH(B243,#REF!,0)&gt;0,1),0)</f>
        <v>0</v>
      </c>
    </row>
    <row r="244" spans="1:17" x14ac:dyDescent="0.2">
      <c r="A244" t="s">
        <v>10</v>
      </c>
      <c r="B244" t="s">
        <v>298</v>
      </c>
      <c r="C244" t="s">
        <v>17</v>
      </c>
      <c r="D244" t="s">
        <v>403</v>
      </c>
      <c r="E244" t="s">
        <v>15</v>
      </c>
      <c r="F244">
        <v>1</v>
      </c>
      <c r="G244" t="s">
        <v>325</v>
      </c>
      <c r="H244" s="2">
        <f>INDEX(Data!G:G,MATCH(G244,Data!A:A,0),1)</f>
        <v>5.79E-2</v>
      </c>
      <c r="I244" s="2">
        <f>INDEX(Data!J:J,MATCH(G244,Data!A:A,0),1)</f>
        <v>4.2599999999999999E-2</v>
      </c>
      <c r="J244" s="2">
        <f>INDEX(Data!R:R,MATCH(G244,Data!A:A,0),1)</f>
        <v>1</v>
      </c>
      <c r="K244" s="2">
        <f>INDEX(Data!S:S,MATCH(G244,Data!A:A,0),1)</f>
        <v>0</v>
      </c>
      <c r="L244" t="str">
        <f t="shared" si="3"/>
        <v>Combustion of fuels_Service activities incidental to water transportation</v>
      </c>
      <c r="M244">
        <f>INDEX(Data!AD:AD,MATCH($G244,Data!$A:$A,0),1)</f>
        <v>0.78200000000000003</v>
      </c>
      <c r="N244">
        <f>INDEX(Data!AE:AE,MATCH($G244,Data!$A:$A,0),1)</f>
        <v>0.63500000000000001</v>
      </c>
      <c r="O244">
        <f>INDEX(Data!AG:AG,MATCH($G244,Data!$A:$A,0),1)</f>
        <v>1.1486856676492798</v>
      </c>
      <c r="P244">
        <f>INDEX(Data!AH:AH,MATCH($G244,Data!$A:$A,0),1)</f>
        <v>1.7068864766411047</v>
      </c>
      <c r="Q244">
        <f>IFERROR(IF(MATCH(B244,#REF!,0)&gt;0,1),0)</f>
        <v>0</v>
      </c>
    </row>
    <row r="245" spans="1:17" x14ac:dyDescent="0.2">
      <c r="A245" t="s">
        <v>10</v>
      </c>
      <c r="B245" t="s">
        <v>299</v>
      </c>
      <c r="C245" t="s">
        <v>299</v>
      </c>
      <c r="D245" t="s">
        <v>403</v>
      </c>
      <c r="E245" t="s">
        <v>15</v>
      </c>
      <c r="F245">
        <v>3</v>
      </c>
      <c r="G245" t="s">
        <v>325</v>
      </c>
      <c r="H245" s="2">
        <f>INDEX(Data!G:G,MATCH(G245,Data!A:A,0),1)</f>
        <v>5.79E-2</v>
      </c>
      <c r="I245" s="2">
        <f>INDEX(Data!J:J,MATCH(G245,Data!A:A,0),1)</f>
        <v>4.2599999999999999E-2</v>
      </c>
      <c r="J245" s="2">
        <f>INDEX(Data!R:R,MATCH(G245,Data!A:A,0),1)</f>
        <v>1</v>
      </c>
      <c r="K245" s="2">
        <f>INDEX(Data!S:S,MATCH(G245,Data!A:A,0),1)</f>
        <v>0</v>
      </c>
      <c r="L245" t="str">
        <f t="shared" si="3"/>
        <v>Combustion of fuels_Sewerage</v>
      </c>
      <c r="M245">
        <f>INDEX(Data!AD:AD,MATCH($G245,Data!$A:$A,0),1)</f>
        <v>0.78200000000000003</v>
      </c>
      <c r="N245">
        <f>INDEX(Data!AE:AE,MATCH($G245,Data!$A:$A,0),1)</f>
        <v>0.63500000000000001</v>
      </c>
      <c r="O245">
        <f>INDEX(Data!AG:AG,MATCH($G245,Data!$A:$A,0),1)</f>
        <v>1.1486856676492798</v>
      </c>
      <c r="P245">
        <f>INDEX(Data!AH:AH,MATCH($G245,Data!$A:$A,0),1)</f>
        <v>1.7068864766411047</v>
      </c>
      <c r="Q245">
        <f>IFERROR(IF(MATCH(B245,#REF!,0)&gt;0,1),0)</f>
        <v>0</v>
      </c>
    </row>
    <row r="246" spans="1:17" x14ac:dyDescent="0.2">
      <c r="A246" t="s">
        <v>10</v>
      </c>
      <c r="B246" t="s">
        <v>300</v>
      </c>
      <c r="C246" t="s">
        <v>81</v>
      </c>
      <c r="D246" t="s">
        <v>403</v>
      </c>
      <c r="E246" t="s">
        <v>15</v>
      </c>
      <c r="F246">
        <v>1</v>
      </c>
      <c r="G246" t="s">
        <v>325</v>
      </c>
      <c r="H246" s="2">
        <f>INDEX(Data!G:G,MATCH(G246,Data!A:A,0),1)</f>
        <v>5.79E-2</v>
      </c>
      <c r="I246" s="2">
        <f>INDEX(Data!J:J,MATCH(G246,Data!A:A,0),1)</f>
        <v>4.2599999999999999E-2</v>
      </c>
      <c r="J246" s="2">
        <f>INDEX(Data!R:R,MATCH(G246,Data!A:A,0),1)</f>
        <v>1</v>
      </c>
      <c r="K246" s="2">
        <f>INDEX(Data!S:S,MATCH(G246,Data!A:A,0),1)</f>
        <v>0</v>
      </c>
      <c r="L246" t="str">
        <f t="shared" si="3"/>
        <v>Combustion of fuels_Shaping and processing of flat glass</v>
      </c>
      <c r="M246">
        <f>INDEX(Data!AD:AD,MATCH($G246,Data!$A:$A,0),1)</f>
        <v>0.78200000000000003</v>
      </c>
      <c r="N246">
        <f>INDEX(Data!AE:AE,MATCH($G246,Data!$A:$A,0),1)</f>
        <v>0.63500000000000001</v>
      </c>
      <c r="O246">
        <f>INDEX(Data!AG:AG,MATCH($G246,Data!$A:$A,0),1)</f>
        <v>1.1486856676492798</v>
      </c>
      <c r="P246">
        <f>INDEX(Data!AH:AH,MATCH($G246,Data!$A:$A,0),1)</f>
        <v>1.7068864766411047</v>
      </c>
      <c r="Q246">
        <f>IFERROR(IF(MATCH(B246,#REF!,0)&gt;0,1),0)</f>
        <v>0</v>
      </c>
    </row>
    <row r="247" spans="1:17" x14ac:dyDescent="0.2">
      <c r="A247" t="s">
        <v>10</v>
      </c>
      <c r="B247" t="s">
        <v>302</v>
      </c>
      <c r="C247" t="s">
        <v>67</v>
      </c>
      <c r="D247" t="s">
        <v>403</v>
      </c>
      <c r="E247" t="s">
        <v>15</v>
      </c>
      <c r="F247">
        <v>2</v>
      </c>
      <c r="G247" t="s">
        <v>325</v>
      </c>
      <c r="H247" s="2">
        <f>INDEX(Data!G:G,MATCH(G247,Data!A:A,0),1)</f>
        <v>5.79E-2</v>
      </c>
      <c r="I247" s="2">
        <f>INDEX(Data!J:J,MATCH(G247,Data!A:A,0),1)</f>
        <v>4.2599999999999999E-2</v>
      </c>
      <c r="J247" s="2">
        <f>INDEX(Data!R:R,MATCH(G247,Data!A:A,0),1)</f>
        <v>1</v>
      </c>
      <c r="K247" s="2">
        <f>INDEX(Data!S:S,MATCH(G247,Data!A:A,0),1)</f>
        <v>0</v>
      </c>
      <c r="L247" t="str">
        <f t="shared" si="3"/>
        <v>Combustion of fuels_Support activities for crop production</v>
      </c>
      <c r="M247">
        <f>INDEX(Data!AD:AD,MATCH($G247,Data!$A:$A,0),1)</f>
        <v>0.78200000000000003</v>
      </c>
      <c r="N247">
        <f>INDEX(Data!AE:AE,MATCH($G247,Data!$A:$A,0),1)</f>
        <v>0.63500000000000001</v>
      </c>
      <c r="O247">
        <f>INDEX(Data!AG:AG,MATCH($G247,Data!$A:$A,0),1)</f>
        <v>1.1486856676492798</v>
      </c>
      <c r="P247">
        <f>INDEX(Data!AH:AH,MATCH($G247,Data!$A:$A,0),1)</f>
        <v>1.7068864766411047</v>
      </c>
      <c r="Q247">
        <f>IFERROR(IF(MATCH(B247,#REF!,0)&gt;0,1),0)</f>
        <v>0</v>
      </c>
    </row>
    <row r="248" spans="1:17" x14ac:dyDescent="0.2">
      <c r="A248" t="s">
        <v>10</v>
      </c>
      <c r="B248" t="s">
        <v>305</v>
      </c>
      <c r="C248" t="s">
        <v>306</v>
      </c>
      <c r="D248" t="s">
        <v>403</v>
      </c>
      <c r="E248" t="s">
        <v>15</v>
      </c>
      <c r="F248">
        <v>1</v>
      </c>
      <c r="G248" t="s">
        <v>325</v>
      </c>
      <c r="H248" s="2">
        <f>INDEX(Data!G:G,MATCH(G248,Data!A:A,0),1)</f>
        <v>5.79E-2</v>
      </c>
      <c r="I248" s="2">
        <f>INDEX(Data!J:J,MATCH(G248,Data!A:A,0),1)</f>
        <v>4.2599999999999999E-2</v>
      </c>
      <c r="J248" s="2">
        <f>INDEX(Data!R:R,MATCH(G248,Data!A:A,0),1)</f>
        <v>1</v>
      </c>
      <c r="K248" s="2">
        <f>INDEX(Data!S:S,MATCH(G248,Data!A:A,0),1)</f>
        <v>0</v>
      </c>
      <c r="L248" t="str">
        <f t="shared" si="3"/>
        <v>Combustion of fuels_Tanning and dressing of leather</v>
      </c>
      <c r="M248">
        <f>INDEX(Data!AD:AD,MATCH($G248,Data!$A:$A,0),1)</f>
        <v>0.78200000000000003</v>
      </c>
      <c r="N248">
        <f>INDEX(Data!AE:AE,MATCH($G248,Data!$A:$A,0),1)</f>
        <v>0.63500000000000001</v>
      </c>
      <c r="O248">
        <f>INDEX(Data!AG:AG,MATCH($G248,Data!$A:$A,0),1)</f>
        <v>1.1486856676492798</v>
      </c>
      <c r="P248">
        <f>INDEX(Data!AH:AH,MATCH($G248,Data!$A:$A,0),1)</f>
        <v>1.7068864766411047</v>
      </c>
      <c r="Q248">
        <f>IFERROR(IF(MATCH(B248,#REF!,0)&gt;0,1),0)</f>
        <v>0</v>
      </c>
    </row>
    <row r="249" spans="1:17" x14ac:dyDescent="0.2">
      <c r="A249" t="s">
        <v>10</v>
      </c>
      <c r="B249" t="s">
        <v>307</v>
      </c>
      <c r="C249" t="s">
        <v>308</v>
      </c>
      <c r="D249" t="s">
        <v>403</v>
      </c>
      <c r="E249" t="s">
        <v>15</v>
      </c>
      <c r="F249">
        <v>1</v>
      </c>
      <c r="G249" t="s">
        <v>325</v>
      </c>
      <c r="H249" s="2">
        <f>INDEX(Data!G:G,MATCH(G249,Data!A:A,0),1)</f>
        <v>5.79E-2</v>
      </c>
      <c r="I249" s="2">
        <f>INDEX(Data!J:J,MATCH(G249,Data!A:A,0),1)</f>
        <v>4.2599999999999999E-2</v>
      </c>
      <c r="J249" s="2">
        <f>INDEX(Data!R:R,MATCH(G249,Data!A:A,0),1)</f>
        <v>1</v>
      </c>
      <c r="K249" s="2">
        <f>INDEX(Data!S:S,MATCH(G249,Data!A:A,0),1)</f>
        <v>0</v>
      </c>
      <c r="L249" t="str">
        <f t="shared" si="3"/>
        <v>Combustion of fuels_Technical testing and analysis</v>
      </c>
      <c r="M249">
        <f>INDEX(Data!AD:AD,MATCH($G249,Data!$A:$A,0),1)</f>
        <v>0.78200000000000003</v>
      </c>
      <c r="N249">
        <f>INDEX(Data!AE:AE,MATCH($G249,Data!$A:$A,0),1)</f>
        <v>0.63500000000000001</v>
      </c>
      <c r="O249">
        <f>INDEX(Data!AG:AG,MATCH($G249,Data!$A:$A,0),1)</f>
        <v>1.1486856676492798</v>
      </c>
      <c r="P249">
        <f>INDEX(Data!AH:AH,MATCH($G249,Data!$A:$A,0),1)</f>
        <v>1.7068864766411047</v>
      </c>
      <c r="Q249">
        <f>IFERROR(IF(MATCH(B249,#REF!,0)&gt;0,1),0)</f>
        <v>0</v>
      </c>
    </row>
    <row r="250" spans="1:17" x14ac:dyDescent="0.2">
      <c r="A250" t="s">
        <v>10</v>
      </c>
      <c r="B250" t="s">
        <v>309</v>
      </c>
      <c r="C250" t="s">
        <v>72</v>
      </c>
      <c r="D250" t="s">
        <v>403</v>
      </c>
      <c r="E250" t="s">
        <v>15</v>
      </c>
      <c r="F250">
        <v>2</v>
      </c>
      <c r="G250" t="s">
        <v>325</v>
      </c>
      <c r="H250" s="2">
        <f>INDEX(Data!G:G,MATCH(G250,Data!A:A,0),1)</f>
        <v>5.79E-2</v>
      </c>
      <c r="I250" s="2">
        <f>INDEX(Data!J:J,MATCH(G250,Data!A:A,0),1)</f>
        <v>4.2599999999999999E-2</v>
      </c>
      <c r="J250" s="2">
        <f>INDEX(Data!R:R,MATCH(G250,Data!A:A,0),1)</f>
        <v>1</v>
      </c>
      <c r="K250" s="2">
        <f>INDEX(Data!S:S,MATCH(G250,Data!A:A,0),1)</f>
        <v>0</v>
      </c>
      <c r="L250" t="str">
        <f t="shared" si="3"/>
        <v>Combustion of fuels_Tertiary education</v>
      </c>
      <c r="M250">
        <f>INDEX(Data!AD:AD,MATCH($G250,Data!$A:$A,0),1)</f>
        <v>0.78200000000000003</v>
      </c>
      <c r="N250">
        <f>INDEX(Data!AE:AE,MATCH($G250,Data!$A:$A,0),1)</f>
        <v>0.63500000000000001</v>
      </c>
      <c r="O250">
        <f>INDEX(Data!AG:AG,MATCH($G250,Data!$A:$A,0),1)</f>
        <v>1.1486856676492798</v>
      </c>
      <c r="P250">
        <f>INDEX(Data!AH:AH,MATCH($G250,Data!$A:$A,0),1)</f>
        <v>1.7068864766411047</v>
      </c>
      <c r="Q250">
        <f>IFERROR(IF(MATCH(B250,#REF!,0)&gt;0,1),0)</f>
        <v>0</v>
      </c>
    </row>
    <row r="251" spans="1:17" x14ac:dyDescent="0.2">
      <c r="A251" t="s">
        <v>10</v>
      </c>
      <c r="B251" t="s">
        <v>314</v>
      </c>
      <c r="C251" t="s">
        <v>286</v>
      </c>
      <c r="D251" t="s">
        <v>403</v>
      </c>
      <c r="E251" t="s">
        <v>15</v>
      </c>
      <c r="F251">
        <v>19</v>
      </c>
      <c r="G251" t="s">
        <v>325</v>
      </c>
      <c r="H251" s="2">
        <f>INDEX(Data!G:G,MATCH(G251,Data!A:A,0),1)</f>
        <v>5.79E-2</v>
      </c>
      <c r="I251" s="2">
        <f>INDEX(Data!J:J,MATCH(G251,Data!A:A,0),1)</f>
        <v>4.2599999999999999E-2</v>
      </c>
      <c r="J251" s="2">
        <f>INDEX(Data!R:R,MATCH(G251,Data!A:A,0),1)</f>
        <v>1</v>
      </c>
      <c r="K251" s="2">
        <f>INDEX(Data!S:S,MATCH(G251,Data!A:A,0),1)</f>
        <v>0</v>
      </c>
      <c r="L251" t="str">
        <f t="shared" si="3"/>
        <v>Combustion of fuels_Treatment and disposal of non-hazardous waste</v>
      </c>
      <c r="M251">
        <f>INDEX(Data!AD:AD,MATCH($G251,Data!$A:$A,0),1)</f>
        <v>0.78200000000000003</v>
      </c>
      <c r="N251">
        <f>INDEX(Data!AE:AE,MATCH($G251,Data!$A:$A,0),1)</f>
        <v>0.63500000000000001</v>
      </c>
      <c r="O251">
        <f>INDEX(Data!AG:AG,MATCH($G251,Data!$A:$A,0),1)</f>
        <v>1.1486856676492798</v>
      </c>
      <c r="P251">
        <f>INDEX(Data!AH:AH,MATCH($G251,Data!$A:$A,0),1)</f>
        <v>1.7068864766411047</v>
      </c>
      <c r="Q251">
        <f>IFERROR(IF(MATCH(B251,#REF!,0)&gt;0,1),0)</f>
        <v>0</v>
      </c>
    </row>
    <row r="252" spans="1:17" x14ac:dyDescent="0.2">
      <c r="A252" t="s">
        <v>10</v>
      </c>
      <c r="B252" t="s">
        <v>315</v>
      </c>
      <c r="C252" t="s">
        <v>17</v>
      </c>
      <c r="D252" t="s">
        <v>403</v>
      </c>
      <c r="E252" t="s">
        <v>15</v>
      </c>
      <c r="F252">
        <v>23</v>
      </c>
      <c r="G252" t="s">
        <v>325</v>
      </c>
      <c r="H252" s="2">
        <f>INDEX(Data!G:G,MATCH(G252,Data!A:A,0),1)</f>
        <v>5.79E-2</v>
      </c>
      <c r="I252" s="2">
        <f>INDEX(Data!J:J,MATCH(G252,Data!A:A,0),1)</f>
        <v>4.2599999999999999E-2</v>
      </c>
      <c r="J252" s="2">
        <f>INDEX(Data!R:R,MATCH(G252,Data!A:A,0),1)</f>
        <v>1</v>
      </c>
      <c r="K252" s="2">
        <f>INDEX(Data!S:S,MATCH(G252,Data!A:A,0),1)</f>
        <v>0</v>
      </c>
      <c r="L252" t="str">
        <f t="shared" si="3"/>
        <v>Combustion of fuels_Warehousing and storage</v>
      </c>
      <c r="M252">
        <f>INDEX(Data!AD:AD,MATCH($G252,Data!$A:$A,0),1)</f>
        <v>0.78200000000000003</v>
      </c>
      <c r="N252">
        <f>INDEX(Data!AE:AE,MATCH($G252,Data!$A:$A,0),1)</f>
        <v>0.63500000000000001</v>
      </c>
      <c r="O252">
        <f>INDEX(Data!AG:AG,MATCH($G252,Data!$A:$A,0),1)</f>
        <v>1.1486856676492798</v>
      </c>
      <c r="P252">
        <f>INDEX(Data!AH:AH,MATCH($G252,Data!$A:$A,0),1)</f>
        <v>1.7068864766411047</v>
      </c>
      <c r="Q252">
        <f>IFERROR(IF(MATCH(B252,#REF!,0)&gt;0,1),0)</f>
        <v>0</v>
      </c>
    </row>
    <row r="253" spans="1:17" x14ac:dyDescent="0.2">
      <c r="A253" t="s">
        <v>10</v>
      </c>
      <c r="B253" t="s">
        <v>316</v>
      </c>
      <c r="C253" t="s">
        <v>62</v>
      </c>
      <c r="D253" t="s">
        <v>403</v>
      </c>
      <c r="E253" t="s">
        <v>15</v>
      </c>
      <c r="F253">
        <v>5</v>
      </c>
      <c r="G253" t="s">
        <v>325</v>
      </c>
      <c r="H253" s="2">
        <f>INDEX(Data!G:G,MATCH(G253,Data!A:A,0),1)</f>
        <v>5.79E-2</v>
      </c>
      <c r="I253" s="2">
        <f>INDEX(Data!J:J,MATCH(G253,Data!A:A,0),1)</f>
        <v>4.2599999999999999E-2</v>
      </c>
      <c r="J253" s="2">
        <f>INDEX(Data!R:R,MATCH(G253,Data!A:A,0),1)</f>
        <v>1</v>
      </c>
      <c r="K253" s="2">
        <f>INDEX(Data!S:S,MATCH(G253,Data!A:A,0),1)</f>
        <v>0</v>
      </c>
      <c r="L253" t="str">
        <f t="shared" si="3"/>
        <v>Combustion of fuels_Weaving of textiles</v>
      </c>
      <c r="M253">
        <f>INDEX(Data!AD:AD,MATCH($G253,Data!$A:$A,0),1)</f>
        <v>0.78200000000000003</v>
      </c>
      <c r="N253">
        <f>INDEX(Data!AE:AE,MATCH($G253,Data!$A:$A,0),1)</f>
        <v>0.63500000000000001</v>
      </c>
      <c r="O253">
        <f>INDEX(Data!AG:AG,MATCH($G253,Data!$A:$A,0),1)</f>
        <v>1.1486856676492798</v>
      </c>
      <c r="P253">
        <f>INDEX(Data!AH:AH,MATCH($G253,Data!$A:$A,0),1)</f>
        <v>1.7068864766411047</v>
      </c>
      <c r="Q253">
        <f>IFERROR(IF(MATCH(B253,#REF!,0)&gt;0,1),0)</f>
        <v>0</v>
      </c>
    </row>
    <row r="254" spans="1:17" x14ac:dyDescent="0.2">
      <c r="A254" t="s">
        <v>10</v>
      </c>
      <c r="B254" t="s">
        <v>317</v>
      </c>
      <c r="C254" t="s">
        <v>318</v>
      </c>
      <c r="D254" t="s">
        <v>403</v>
      </c>
      <c r="E254" t="s">
        <v>15</v>
      </c>
      <c r="F254">
        <v>2</v>
      </c>
      <c r="G254" t="s">
        <v>325</v>
      </c>
      <c r="H254" s="2">
        <f>INDEX(Data!G:G,MATCH(G254,Data!A:A,0),1)</f>
        <v>5.79E-2</v>
      </c>
      <c r="I254" s="2">
        <f>INDEX(Data!J:J,MATCH(G254,Data!A:A,0),1)</f>
        <v>4.2599999999999999E-2</v>
      </c>
      <c r="J254" s="2">
        <f>INDEX(Data!R:R,MATCH(G254,Data!A:A,0),1)</f>
        <v>1</v>
      </c>
      <c r="K254" s="2">
        <f>INDEX(Data!S:S,MATCH(G254,Data!A:A,0),1)</f>
        <v>0</v>
      </c>
      <c r="L254" t="str">
        <f t="shared" si="3"/>
        <v>Combustion of fuels_Wholesale of flowers and plants</v>
      </c>
      <c r="M254">
        <f>INDEX(Data!AD:AD,MATCH($G254,Data!$A:$A,0),1)</f>
        <v>0.78200000000000003</v>
      </c>
      <c r="N254">
        <f>INDEX(Data!AE:AE,MATCH($G254,Data!$A:$A,0),1)</f>
        <v>0.63500000000000001</v>
      </c>
      <c r="O254">
        <f>INDEX(Data!AG:AG,MATCH($G254,Data!$A:$A,0),1)</f>
        <v>1.1486856676492798</v>
      </c>
      <c r="P254">
        <f>INDEX(Data!AH:AH,MATCH($G254,Data!$A:$A,0),1)</f>
        <v>1.7068864766411047</v>
      </c>
      <c r="Q254">
        <f>IFERROR(IF(MATCH(B254,#REF!,0)&gt;0,1),0)</f>
        <v>0</v>
      </c>
    </row>
    <row r="255" spans="1:17" x14ac:dyDescent="0.2">
      <c r="A255" t="s">
        <v>10</v>
      </c>
      <c r="B255" t="s">
        <v>319</v>
      </c>
      <c r="C255" t="s">
        <v>318</v>
      </c>
      <c r="D255" t="s">
        <v>403</v>
      </c>
      <c r="E255" t="s">
        <v>15</v>
      </c>
      <c r="F255">
        <v>33</v>
      </c>
      <c r="G255" t="s">
        <v>325</v>
      </c>
      <c r="H255" s="2">
        <f>INDEX(Data!G:G,MATCH(G255,Data!A:A,0),1)</f>
        <v>5.79E-2</v>
      </c>
      <c r="I255" s="2">
        <f>INDEX(Data!J:J,MATCH(G255,Data!A:A,0),1)</f>
        <v>4.2599999999999999E-2</v>
      </c>
      <c r="J255" s="2">
        <f>INDEX(Data!R:R,MATCH(G255,Data!A:A,0),1)</f>
        <v>1</v>
      </c>
      <c r="K255" s="2">
        <f>INDEX(Data!S:S,MATCH(G255,Data!A:A,0),1)</f>
        <v>0</v>
      </c>
      <c r="L255" t="str">
        <f t="shared" si="3"/>
        <v>Combustion of fuels_Wholesale of grain, unmanufactured tobacco, seeds and animal feeds</v>
      </c>
      <c r="M255">
        <f>INDEX(Data!AD:AD,MATCH($G255,Data!$A:$A,0),1)</f>
        <v>0.78200000000000003</v>
      </c>
      <c r="N255">
        <f>INDEX(Data!AE:AE,MATCH($G255,Data!$A:$A,0),1)</f>
        <v>0.63500000000000001</v>
      </c>
      <c r="O255">
        <f>INDEX(Data!AG:AG,MATCH($G255,Data!$A:$A,0),1)</f>
        <v>1.1486856676492798</v>
      </c>
      <c r="P255">
        <f>INDEX(Data!AH:AH,MATCH($G255,Data!$A:$A,0),1)</f>
        <v>1.7068864766411047</v>
      </c>
      <c r="Q255">
        <f>IFERROR(IF(MATCH(B255,#REF!,0)&gt;0,1),0)</f>
        <v>0</v>
      </c>
    </row>
    <row r="256" spans="1:17" x14ac:dyDescent="0.2">
      <c r="A256" t="s">
        <v>10</v>
      </c>
      <c r="B256" t="s">
        <v>320</v>
      </c>
      <c r="C256" t="s">
        <v>318</v>
      </c>
      <c r="D256" t="s">
        <v>403</v>
      </c>
      <c r="E256" t="s">
        <v>15</v>
      </c>
      <c r="F256">
        <v>1</v>
      </c>
      <c r="G256" t="s">
        <v>325</v>
      </c>
      <c r="H256" s="2">
        <f>INDEX(Data!G:G,MATCH(G256,Data!A:A,0),1)</f>
        <v>5.79E-2</v>
      </c>
      <c r="I256" s="2">
        <f>INDEX(Data!J:J,MATCH(G256,Data!A:A,0),1)</f>
        <v>4.2599999999999999E-2</v>
      </c>
      <c r="J256" s="2">
        <f>INDEX(Data!R:R,MATCH(G256,Data!A:A,0),1)</f>
        <v>1</v>
      </c>
      <c r="K256" s="2">
        <f>INDEX(Data!S:S,MATCH(G256,Data!A:A,0),1)</f>
        <v>0</v>
      </c>
      <c r="L256" t="str">
        <f t="shared" si="3"/>
        <v>Combustion of fuels_Wholesale of pharmaceutical goods</v>
      </c>
      <c r="M256">
        <f>INDEX(Data!AD:AD,MATCH($G256,Data!$A:$A,0),1)</f>
        <v>0.78200000000000003</v>
      </c>
      <c r="N256">
        <f>INDEX(Data!AE:AE,MATCH($G256,Data!$A:$A,0),1)</f>
        <v>0.63500000000000001</v>
      </c>
      <c r="O256">
        <f>INDEX(Data!AG:AG,MATCH($G256,Data!$A:$A,0),1)</f>
        <v>1.1486856676492798</v>
      </c>
      <c r="P256">
        <f>INDEX(Data!AH:AH,MATCH($G256,Data!$A:$A,0),1)</f>
        <v>1.7068864766411047</v>
      </c>
      <c r="Q256">
        <f>IFERROR(IF(MATCH(B256,#REF!,0)&gt;0,1),0)</f>
        <v>0</v>
      </c>
    </row>
    <row r="257" spans="1:17" x14ac:dyDescent="0.2">
      <c r="A257" t="s">
        <v>10</v>
      </c>
      <c r="B257" t="s">
        <v>321</v>
      </c>
      <c r="C257" t="s">
        <v>318</v>
      </c>
      <c r="D257" t="s">
        <v>403</v>
      </c>
      <c r="E257" t="s">
        <v>15</v>
      </c>
      <c r="F257">
        <v>1</v>
      </c>
      <c r="G257" t="s">
        <v>325</v>
      </c>
      <c r="H257" s="2">
        <f>INDEX(Data!G:G,MATCH(G257,Data!A:A,0),1)</f>
        <v>5.79E-2</v>
      </c>
      <c r="I257" s="2">
        <f>INDEX(Data!J:J,MATCH(G257,Data!A:A,0),1)</f>
        <v>4.2599999999999999E-2</v>
      </c>
      <c r="J257" s="2">
        <f>INDEX(Data!R:R,MATCH(G257,Data!A:A,0),1)</f>
        <v>1</v>
      </c>
      <c r="K257" s="2">
        <f>INDEX(Data!S:S,MATCH(G257,Data!A:A,0),1)</f>
        <v>0</v>
      </c>
      <c r="L257" t="str">
        <f t="shared" si="3"/>
        <v>Combustion of fuels_Wholesale of wood, construction materials and sanitary equipment</v>
      </c>
      <c r="M257">
        <f>INDEX(Data!AD:AD,MATCH($G257,Data!$A:$A,0),1)</f>
        <v>0.78200000000000003</v>
      </c>
      <c r="N257">
        <f>INDEX(Data!AE:AE,MATCH($G257,Data!$A:$A,0),1)</f>
        <v>0.63500000000000001</v>
      </c>
      <c r="O257">
        <f>INDEX(Data!AG:AG,MATCH($G257,Data!$A:$A,0),1)</f>
        <v>1.1486856676492798</v>
      </c>
      <c r="P257">
        <f>INDEX(Data!AH:AH,MATCH($G257,Data!$A:$A,0),1)</f>
        <v>1.7068864766411047</v>
      </c>
      <c r="Q257">
        <f>IFERROR(IF(MATCH(B257,#REF!,0)&gt;0,1),0)</f>
        <v>0</v>
      </c>
    </row>
    <row r="258" spans="1:17" x14ac:dyDescent="0.2">
      <c r="A258" t="s">
        <v>10</v>
      </c>
      <c r="B258" t="s">
        <v>172</v>
      </c>
      <c r="C258" t="s">
        <v>122</v>
      </c>
      <c r="D258" t="s">
        <v>410</v>
      </c>
      <c r="E258" t="s">
        <v>173</v>
      </c>
      <c r="F258">
        <v>2</v>
      </c>
      <c r="G258" t="s">
        <v>356</v>
      </c>
      <c r="H258" s="2">
        <f>INDEX(Data!G:G,MATCH(G258,Data!A:A,0),1)</f>
        <v>0.2201185822484337</v>
      </c>
      <c r="I258" s="2">
        <f>INDEX(Data!J:J,MATCH(G258,Data!A:A,0),1)</f>
        <v>0.22144473697589778</v>
      </c>
      <c r="J258" s="2">
        <f>INDEX(Data!R:R,MATCH(G258,Data!A:A,0),1)</f>
        <v>6.1071928683366004</v>
      </c>
      <c r="K258" s="2">
        <f>INDEX(Data!S:S,MATCH(G258,Data!A:A,0),1)</f>
        <v>0</v>
      </c>
      <c r="L258" t="str">
        <f t="shared" ref="L258:L321" si="4">IF(B258="",A258,A258&amp;"_"&amp;B258)</f>
        <v>Combustion of fuels_Manufacture of other articles of paper and paperboard</v>
      </c>
      <c r="M258">
        <f>INDEX(Data!AD:AD,MATCH($G258,Data!$A:$A,0),1)</f>
        <v>0.79800000000000015</v>
      </c>
      <c r="N258">
        <f>INDEX(Data!AE:AE,MATCH($G258,Data!$A:$A,0),1)</f>
        <v>0.92100000000000015</v>
      </c>
      <c r="O258">
        <f>INDEX(Data!AG:AG,MATCH($G258,Data!$A:$A,0),1)</f>
        <v>1.2809090316655365</v>
      </c>
      <c r="P258">
        <f>INDEX(Data!AH:AH,MATCH($G258,Data!$A:$A,0),1)</f>
        <v>4.1862577628706559</v>
      </c>
      <c r="Q258">
        <f>IFERROR(IF(MATCH(B258,#REF!,0)&gt;0,1),0)</f>
        <v>0</v>
      </c>
    </row>
    <row r="259" spans="1:17" x14ac:dyDescent="0.2">
      <c r="A259" t="s">
        <v>10</v>
      </c>
      <c r="B259" t="s">
        <v>208</v>
      </c>
      <c r="C259" t="s">
        <v>122</v>
      </c>
      <c r="D259" t="s">
        <v>410</v>
      </c>
      <c r="E259" t="s">
        <v>173</v>
      </c>
      <c r="F259">
        <v>3</v>
      </c>
      <c r="G259" t="s">
        <v>356</v>
      </c>
      <c r="H259" s="2">
        <f>INDEX(Data!G:G,MATCH(G259,Data!A:A,0),1)</f>
        <v>0.2201185822484337</v>
      </c>
      <c r="I259" s="2">
        <f>INDEX(Data!J:J,MATCH(G259,Data!A:A,0),1)</f>
        <v>0.22144473697589778</v>
      </c>
      <c r="J259" s="2">
        <f>INDEX(Data!R:R,MATCH(G259,Data!A:A,0),1)</f>
        <v>6.1071928683366004</v>
      </c>
      <c r="K259" s="2">
        <f>INDEX(Data!S:S,MATCH(G259,Data!A:A,0),1)</f>
        <v>0</v>
      </c>
      <c r="L259" t="str">
        <f t="shared" si="4"/>
        <v>Combustion of fuels_Manufacture of paper and paperboard</v>
      </c>
      <c r="M259">
        <f>INDEX(Data!AD:AD,MATCH($G259,Data!$A:$A,0),1)</f>
        <v>0.79800000000000015</v>
      </c>
      <c r="N259">
        <f>INDEX(Data!AE:AE,MATCH($G259,Data!$A:$A,0),1)</f>
        <v>0.92100000000000015</v>
      </c>
      <c r="O259">
        <f>INDEX(Data!AG:AG,MATCH($G259,Data!$A:$A,0),1)</f>
        <v>1.2809090316655365</v>
      </c>
      <c r="P259">
        <f>INDEX(Data!AH:AH,MATCH($G259,Data!$A:$A,0),1)</f>
        <v>4.1862577628706559</v>
      </c>
      <c r="Q259">
        <f>IFERROR(IF(MATCH(B259,#REF!,0)&gt;0,1),0)</f>
        <v>0</v>
      </c>
    </row>
    <row r="260" spans="1:17" x14ac:dyDescent="0.2">
      <c r="A260" t="s">
        <v>10</v>
      </c>
      <c r="B260" t="s">
        <v>211</v>
      </c>
      <c r="C260" t="s">
        <v>94</v>
      </c>
      <c r="D260" t="s">
        <v>95</v>
      </c>
      <c r="E260" t="s">
        <v>94</v>
      </c>
      <c r="F260">
        <v>31</v>
      </c>
      <c r="G260" t="s">
        <v>342</v>
      </c>
      <c r="H260" s="2">
        <f>INDEX(Data!G:G,MATCH(G260,Data!A:A,0),1)</f>
        <v>0.38529467763961761</v>
      </c>
      <c r="I260" s="2">
        <f>INDEX(Data!J:J,MATCH(G260,Data!A:A,0),1)</f>
        <v>0.65015695160798492</v>
      </c>
      <c r="J260" s="2">
        <f>INDEX(Data!R:R,MATCH(G260,Data!A:A,0),1)</f>
        <v>0.99664158109543011</v>
      </c>
      <c r="K260" s="2">
        <f>INDEX(Data!S:S,MATCH(G260,Data!A:A,0),1)</f>
        <v>5.2249389559964285</v>
      </c>
      <c r="L260" t="str">
        <f t="shared" si="4"/>
        <v>Combustion of fuels_Manufacture of pharmaceutical preparations</v>
      </c>
      <c r="M260">
        <f>INDEX(Data!AD:AD,MATCH($G260,Data!$A:$A,0),1)</f>
        <v>0.81200000000000006</v>
      </c>
      <c r="N260">
        <f>INDEX(Data!AE:AE,MATCH($G260,Data!$A:$A,0),1)</f>
        <v>0.73899999999999999</v>
      </c>
      <c r="O260">
        <f>INDEX(Data!AG:AG,MATCH($G260,Data!$A:$A,0),1)</f>
        <v>1.2983191848894986</v>
      </c>
      <c r="P260">
        <f>INDEX(Data!AH:AH,MATCH($G260,Data!$A:$A,0),1)</f>
        <v>4.8395672422172096</v>
      </c>
      <c r="Q260">
        <f>IFERROR(IF(MATCH(B260,#REF!,0)&gt;0,1),0)</f>
        <v>0</v>
      </c>
    </row>
    <row r="261" spans="1:17" x14ac:dyDescent="0.2">
      <c r="A261" t="s">
        <v>10</v>
      </c>
      <c r="B261" t="s">
        <v>43</v>
      </c>
      <c r="C261" t="s">
        <v>44</v>
      </c>
      <c r="D261" t="s">
        <v>45</v>
      </c>
      <c r="E261" t="s">
        <v>45</v>
      </c>
      <c r="F261">
        <v>2</v>
      </c>
      <c r="G261" t="s">
        <v>325</v>
      </c>
      <c r="H261" s="2">
        <f>INDEX(Data!G:G,MATCH(G261,Data!A:A,0),1)</f>
        <v>5.79E-2</v>
      </c>
      <c r="I261" s="2">
        <f>INDEX(Data!J:J,MATCH(G261,Data!A:A,0),1)</f>
        <v>4.2599999999999999E-2</v>
      </c>
      <c r="J261" s="2">
        <f>INDEX(Data!R:R,MATCH(G261,Data!A:A,0),1)</f>
        <v>1</v>
      </c>
      <c r="K261" s="2">
        <f>INDEX(Data!S:S,MATCH(G261,Data!A:A,0),1)</f>
        <v>0</v>
      </c>
      <c r="L261" t="str">
        <f t="shared" si="4"/>
        <v>Combustion of fuels_Distribution of electricity</v>
      </c>
      <c r="M261">
        <f>INDEX(Data!AD:AD,MATCH($G261,Data!$A:$A,0),1)</f>
        <v>0.78200000000000003</v>
      </c>
      <c r="N261">
        <f>INDEX(Data!AE:AE,MATCH($G261,Data!$A:$A,0),1)</f>
        <v>0.63500000000000001</v>
      </c>
      <c r="O261">
        <f>INDEX(Data!AG:AG,MATCH($G261,Data!$A:$A,0),1)</f>
        <v>1.1486856676492798</v>
      </c>
      <c r="P261">
        <f>INDEX(Data!AH:AH,MATCH($G261,Data!$A:$A,0),1)</f>
        <v>1.7068864766411047</v>
      </c>
      <c r="Q261">
        <f>IFERROR(IF(MATCH(B261,#REF!,0)&gt;0,1),0)</f>
        <v>0</v>
      </c>
    </row>
    <row r="262" spans="1:17" x14ac:dyDescent="0.2">
      <c r="A262" t="s">
        <v>10</v>
      </c>
      <c r="B262" t="s">
        <v>46</v>
      </c>
      <c r="C262" t="s">
        <v>44</v>
      </c>
      <c r="D262" t="s">
        <v>45</v>
      </c>
      <c r="E262" t="s">
        <v>45</v>
      </c>
      <c r="F262">
        <v>74</v>
      </c>
      <c r="G262" t="s">
        <v>325</v>
      </c>
      <c r="H262" s="2">
        <f>INDEX(Data!G:G,MATCH(G262,Data!A:A,0),1)</f>
        <v>5.79E-2</v>
      </c>
      <c r="I262" s="2">
        <f>INDEX(Data!J:J,MATCH(G262,Data!A:A,0),1)</f>
        <v>4.2599999999999999E-2</v>
      </c>
      <c r="J262" s="2">
        <f>INDEX(Data!R:R,MATCH(G262,Data!A:A,0),1)</f>
        <v>1</v>
      </c>
      <c r="K262" s="2">
        <f>INDEX(Data!S:S,MATCH(G262,Data!A:A,0),1)</f>
        <v>0</v>
      </c>
      <c r="L262" t="str">
        <f t="shared" si="4"/>
        <v>Combustion of fuels_Distribution of gaseous fuels through mains</v>
      </c>
      <c r="M262">
        <f>INDEX(Data!AD:AD,MATCH($G262,Data!$A:$A,0),1)</f>
        <v>0.78200000000000003</v>
      </c>
      <c r="N262">
        <f>INDEX(Data!AE:AE,MATCH($G262,Data!$A:$A,0),1)</f>
        <v>0.63500000000000001</v>
      </c>
      <c r="O262">
        <f>INDEX(Data!AG:AG,MATCH($G262,Data!$A:$A,0),1)</f>
        <v>1.1486856676492798</v>
      </c>
      <c r="P262">
        <f>INDEX(Data!AH:AH,MATCH($G262,Data!$A:$A,0),1)</f>
        <v>1.7068864766411047</v>
      </c>
      <c r="Q262">
        <f>IFERROR(IF(MATCH(B262,#REF!,0)&gt;0,1),0)</f>
        <v>0</v>
      </c>
    </row>
    <row r="263" spans="1:17" x14ac:dyDescent="0.2">
      <c r="A263" t="s">
        <v>10</v>
      </c>
      <c r="B263" t="s">
        <v>47</v>
      </c>
      <c r="C263" t="s">
        <v>44</v>
      </c>
      <c r="D263" t="s">
        <v>45</v>
      </c>
      <c r="E263" t="s">
        <v>45</v>
      </c>
      <c r="F263">
        <v>168</v>
      </c>
      <c r="G263" t="s">
        <v>325</v>
      </c>
      <c r="H263" s="2">
        <f>INDEX(Data!G:G,MATCH(G263,Data!A:A,0),1)</f>
        <v>5.79E-2</v>
      </c>
      <c r="I263" s="2">
        <f>INDEX(Data!J:J,MATCH(G263,Data!A:A,0),1)</f>
        <v>4.2599999999999999E-2</v>
      </c>
      <c r="J263" s="2">
        <f>INDEX(Data!R:R,MATCH(G263,Data!A:A,0),1)</f>
        <v>1</v>
      </c>
      <c r="K263" s="2">
        <f>INDEX(Data!S:S,MATCH(G263,Data!A:A,0),1)</f>
        <v>0</v>
      </c>
      <c r="L263" t="str">
        <f t="shared" si="4"/>
        <v>Combustion of fuels_Electric power generation, transmission and distribution</v>
      </c>
      <c r="M263">
        <f>INDEX(Data!AD:AD,MATCH($G263,Data!$A:$A,0),1)</f>
        <v>0.78200000000000003</v>
      </c>
      <c r="N263">
        <f>INDEX(Data!AE:AE,MATCH($G263,Data!$A:$A,0),1)</f>
        <v>0.63500000000000001</v>
      </c>
      <c r="O263">
        <f>INDEX(Data!AG:AG,MATCH($G263,Data!$A:$A,0),1)</f>
        <v>1.1486856676492798</v>
      </c>
      <c r="P263">
        <f>INDEX(Data!AH:AH,MATCH($G263,Data!$A:$A,0),1)</f>
        <v>1.7068864766411047</v>
      </c>
      <c r="Q263">
        <f>IFERROR(IF(MATCH(B263,#REF!,0)&gt;0,1),0)</f>
        <v>0</v>
      </c>
    </row>
    <row r="264" spans="1:17" x14ac:dyDescent="0.2">
      <c r="A264" t="s">
        <v>10</v>
      </c>
      <c r="B264" t="s">
        <v>44</v>
      </c>
      <c r="C264" t="s">
        <v>44</v>
      </c>
      <c r="D264" t="s">
        <v>45</v>
      </c>
      <c r="E264" t="s">
        <v>45</v>
      </c>
      <c r="F264">
        <v>76</v>
      </c>
      <c r="G264" t="s">
        <v>329</v>
      </c>
      <c r="H264" s="2">
        <f>INDEX(Data!G:G,MATCH(G264,Data!A:A,0),1)</f>
        <v>7.6799999999999993E-2</v>
      </c>
      <c r="I264" s="2">
        <f>INDEX(Data!J:J,MATCH(G264,Data!A:A,0),1)</f>
        <v>4.7300000000000002E-2</v>
      </c>
      <c r="J264" s="2">
        <f>INDEX(Data!R:R,MATCH(G264,Data!A:A,0),1)</f>
        <v>1</v>
      </c>
      <c r="K264" s="2">
        <f>INDEX(Data!S:S,MATCH(G264,Data!A:A,0),1)</f>
        <v>0</v>
      </c>
      <c r="L264" t="str">
        <f t="shared" si="4"/>
        <v>Combustion of fuels_Electricity, gas, steam and air conditioning supply</v>
      </c>
      <c r="M264">
        <f>INDEX(Data!AD:AD,MATCH($G264,Data!$A:$A,0),1)</f>
        <v>0.78200000000000003</v>
      </c>
      <c r="N264">
        <f>INDEX(Data!AE:AE,MATCH($G264,Data!$A:$A,0),1)</f>
        <v>0.63500000000000001</v>
      </c>
      <c r="O264">
        <f>INDEX(Data!AG:AG,MATCH($G264,Data!$A:$A,0),1)</f>
        <v>1.1486856676492798</v>
      </c>
      <c r="P264">
        <f>INDEX(Data!AH:AH,MATCH($G264,Data!$A:$A,0),1)</f>
        <v>1.7068864766411047</v>
      </c>
      <c r="Q264">
        <f>IFERROR(IF(MATCH(B264,#REF!,0)&gt;0,1),0)</f>
        <v>0</v>
      </c>
    </row>
    <row r="265" spans="1:17" x14ac:dyDescent="0.2">
      <c r="A265" t="s">
        <v>10</v>
      </c>
      <c r="B265" t="s">
        <v>140</v>
      </c>
      <c r="C265" t="s">
        <v>44</v>
      </c>
      <c r="D265" t="s">
        <v>45</v>
      </c>
      <c r="E265" t="s">
        <v>45</v>
      </c>
      <c r="F265">
        <v>14</v>
      </c>
      <c r="G265" t="s">
        <v>325</v>
      </c>
      <c r="H265" s="2">
        <f>INDEX(Data!G:G,MATCH(G265,Data!A:A,0),1)</f>
        <v>5.79E-2</v>
      </c>
      <c r="I265" s="2">
        <f>INDEX(Data!J:J,MATCH(G265,Data!A:A,0),1)</f>
        <v>4.2599999999999999E-2</v>
      </c>
      <c r="J265" s="2">
        <f>INDEX(Data!R:R,MATCH(G265,Data!A:A,0),1)</f>
        <v>1</v>
      </c>
      <c r="K265" s="2">
        <f>INDEX(Data!S:S,MATCH(G265,Data!A:A,0),1)</f>
        <v>0</v>
      </c>
      <c r="L265" t="str">
        <f t="shared" si="4"/>
        <v>Combustion of fuels_Manufacture of gas</v>
      </c>
      <c r="M265">
        <f>INDEX(Data!AD:AD,MATCH($G265,Data!$A:$A,0),1)</f>
        <v>0.78200000000000003</v>
      </c>
      <c r="N265">
        <f>INDEX(Data!AE:AE,MATCH($G265,Data!$A:$A,0),1)</f>
        <v>0.63500000000000001</v>
      </c>
      <c r="O265">
        <f>INDEX(Data!AG:AG,MATCH($G265,Data!$A:$A,0),1)</f>
        <v>1.1486856676492798</v>
      </c>
      <c r="P265">
        <f>INDEX(Data!AH:AH,MATCH($G265,Data!$A:$A,0),1)</f>
        <v>1.7068864766411047</v>
      </c>
      <c r="Q265">
        <f>IFERROR(IF(MATCH(B265,#REF!,0)&gt;0,1),0)</f>
        <v>0</v>
      </c>
    </row>
    <row r="266" spans="1:17" x14ac:dyDescent="0.2">
      <c r="A266" t="s">
        <v>10</v>
      </c>
      <c r="B266" t="s">
        <v>282</v>
      </c>
      <c r="C266" t="s">
        <v>44</v>
      </c>
      <c r="D266" t="s">
        <v>45</v>
      </c>
      <c r="E266" t="s">
        <v>45</v>
      </c>
      <c r="F266">
        <v>769</v>
      </c>
      <c r="G266" t="s">
        <v>325</v>
      </c>
      <c r="H266" s="2">
        <f>INDEX(Data!G:G,MATCH(G266,Data!A:A,0),1)</f>
        <v>5.79E-2</v>
      </c>
      <c r="I266" s="2">
        <f>INDEX(Data!J:J,MATCH(G266,Data!A:A,0),1)</f>
        <v>4.2599999999999999E-2</v>
      </c>
      <c r="J266" s="2">
        <f>INDEX(Data!R:R,MATCH(G266,Data!A:A,0),1)</f>
        <v>1</v>
      </c>
      <c r="K266" s="2">
        <f>INDEX(Data!S:S,MATCH(G266,Data!A:A,0),1)</f>
        <v>0</v>
      </c>
      <c r="L266" t="str">
        <f t="shared" si="4"/>
        <v>Combustion of fuels_Production of electricity</v>
      </c>
      <c r="M266">
        <f>INDEX(Data!AD:AD,MATCH($G266,Data!$A:$A,0),1)</f>
        <v>0.78200000000000003</v>
      </c>
      <c r="N266">
        <f>INDEX(Data!AE:AE,MATCH($G266,Data!$A:$A,0),1)</f>
        <v>0.63500000000000001</v>
      </c>
      <c r="O266">
        <f>INDEX(Data!AG:AG,MATCH($G266,Data!$A:$A,0),1)</f>
        <v>1.1486856676492798</v>
      </c>
      <c r="P266">
        <f>INDEX(Data!AH:AH,MATCH($G266,Data!$A:$A,0),1)</f>
        <v>1.7068864766411047</v>
      </c>
      <c r="Q266">
        <f>IFERROR(IF(MATCH(B266,#REF!,0)&gt;0,1),0)</f>
        <v>0</v>
      </c>
    </row>
    <row r="267" spans="1:17" x14ac:dyDescent="0.2">
      <c r="A267" t="s">
        <v>10</v>
      </c>
      <c r="B267" t="s">
        <v>301</v>
      </c>
      <c r="C267" t="s">
        <v>44</v>
      </c>
      <c r="D267" t="s">
        <v>45</v>
      </c>
      <c r="E267" t="s">
        <v>45</v>
      </c>
      <c r="F267">
        <v>1855</v>
      </c>
      <c r="G267" t="s">
        <v>329</v>
      </c>
      <c r="H267" s="2">
        <f>INDEX(Data!G:G,MATCH(G267,Data!A:A,0),1)</f>
        <v>7.6799999999999993E-2</v>
      </c>
      <c r="I267" s="2">
        <f>INDEX(Data!J:J,MATCH(G267,Data!A:A,0),1)</f>
        <v>4.7300000000000002E-2</v>
      </c>
      <c r="J267" s="2">
        <f>INDEX(Data!R:R,MATCH(G267,Data!A:A,0),1)</f>
        <v>1</v>
      </c>
      <c r="K267" s="2">
        <f>INDEX(Data!S:S,MATCH(G267,Data!A:A,0),1)</f>
        <v>0</v>
      </c>
      <c r="L267" t="str">
        <f t="shared" si="4"/>
        <v>Combustion of fuels_Steam and air conditioning supply</v>
      </c>
      <c r="M267">
        <f>INDEX(Data!AD:AD,MATCH($G267,Data!$A:$A,0),1)</f>
        <v>0.78200000000000003</v>
      </c>
      <c r="N267">
        <f>INDEX(Data!AE:AE,MATCH($G267,Data!$A:$A,0),1)</f>
        <v>0.63500000000000001</v>
      </c>
      <c r="O267">
        <f>INDEX(Data!AG:AG,MATCH($G267,Data!$A:$A,0),1)</f>
        <v>1.1486856676492798</v>
      </c>
      <c r="P267">
        <f>INDEX(Data!AH:AH,MATCH($G267,Data!$A:$A,0),1)</f>
        <v>1.7068864766411047</v>
      </c>
      <c r="Q267">
        <f>IFERROR(IF(MATCH(B267,#REF!,0)&gt;0,1),0)</f>
        <v>0</v>
      </c>
    </row>
    <row r="268" spans="1:17" x14ac:dyDescent="0.2">
      <c r="A268" t="s">
        <v>10</v>
      </c>
      <c r="B268" t="s">
        <v>310</v>
      </c>
      <c r="C268" t="s">
        <v>44</v>
      </c>
      <c r="D268" t="s">
        <v>45</v>
      </c>
      <c r="E268" t="s">
        <v>45</v>
      </c>
      <c r="F268">
        <v>2</v>
      </c>
      <c r="G268" t="s">
        <v>325</v>
      </c>
      <c r="H268" s="2">
        <f>INDEX(Data!G:G,MATCH(G268,Data!A:A,0),1)</f>
        <v>5.79E-2</v>
      </c>
      <c r="I268" s="2">
        <f>INDEX(Data!J:J,MATCH(G268,Data!A:A,0),1)</f>
        <v>4.2599999999999999E-2</v>
      </c>
      <c r="J268" s="2">
        <f>INDEX(Data!R:R,MATCH(G268,Data!A:A,0),1)</f>
        <v>1</v>
      </c>
      <c r="K268" s="2">
        <f>INDEX(Data!S:S,MATCH(G268,Data!A:A,0),1)</f>
        <v>0</v>
      </c>
      <c r="L268" t="str">
        <f t="shared" si="4"/>
        <v>Combustion of fuels_Trade of electricity</v>
      </c>
      <c r="M268">
        <f>INDEX(Data!AD:AD,MATCH($G268,Data!$A:$A,0),1)</f>
        <v>0.78200000000000003</v>
      </c>
      <c r="N268">
        <f>INDEX(Data!AE:AE,MATCH($G268,Data!$A:$A,0),1)</f>
        <v>0.63500000000000001</v>
      </c>
      <c r="O268">
        <f>INDEX(Data!AG:AG,MATCH($G268,Data!$A:$A,0),1)</f>
        <v>1.1486856676492798</v>
      </c>
      <c r="P268">
        <f>INDEX(Data!AH:AH,MATCH($G268,Data!$A:$A,0),1)</f>
        <v>1.7068864766411047</v>
      </c>
      <c r="Q268">
        <f>IFERROR(IF(MATCH(B268,#REF!,0)&gt;0,1),0)</f>
        <v>0</v>
      </c>
    </row>
    <row r="269" spans="1:17" x14ac:dyDescent="0.2">
      <c r="A269" t="s">
        <v>10</v>
      </c>
      <c r="B269" t="s">
        <v>311</v>
      </c>
      <c r="C269" t="s">
        <v>44</v>
      </c>
      <c r="D269" t="s">
        <v>45</v>
      </c>
      <c r="E269" t="s">
        <v>45</v>
      </c>
      <c r="F269">
        <v>3</v>
      </c>
      <c r="G269" t="s">
        <v>325</v>
      </c>
      <c r="H269" s="2">
        <f>INDEX(Data!G:G,MATCH(G269,Data!A:A,0),1)</f>
        <v>5.79E-2</v>
      </c>
      <c r="I269" s="2">
        <f>INDEX(Data!J:J,MATCH(G269,Data!A:A,0),1)</f>
        <v>4.2599999999999999E-2</v>
      </c>
      <c r="J269" s="2">
        <f>INDEX(Data!R:R,MATCH(G269,Data!A:A,0),1)</f>
        <v>1</v>
      </c>
      <c r="K269" s="2">
        <f>INDEX(Data!S:S,MATCH(G269,Data!A:A,0),1)</f>
        <v>0</v>
      </c>
      <c r="L269" t="str">
        <f t="shared" si="4"/>
        <v>Combustion of fuels_Trade of gas through mains</v>
      </c>
      <c r="M269">
        <f>INDEX(Data!AD:AD,MATCH($G269,Data!$A:$A,0),1)</f>
        <v>0.78200000000000003</v>
      </c>
      <c r="N269">
        <f>INDEX(Data!AE:AE,MATCH($G269,Data!$A:$A,0),1)</f>
        <v>0.63500000000000001</v>
      </c>
      <c r="O269">
        <f>INDEX(Data!AG:AG,MATCH($G269,Data!$A:$A,0),1)</f>
        <v>1.1486856676492798</v>
      </c>
      <c r="P269">
        <f>INDEX(Data!AH:AH,MATCH($G269,Data!$A:$A,0),1)</f>
        <v>1.7068864766411047</v>
      </c>
      <c r="Q269">
        <f>IFERROR(IF(MATCH(B269,#REF!,0)&gt;0,1),0)</f>
        <v>0</v>
      </c>
    </row>
    <row r="270" spans="1:17" x14ac:dyDescent="0.2">
      <c r="A270" t="s">
        <v>10</v>
      </c>
      <c r="B270" t="s">
        <v>312</v>
      </c>
      <c r="C270" t="s">
        <v>269</v>
      </c>
      <c r="D270" t="s">
        <v>45</v>
      </c>
      <c r="E270" t="s">
        <v>45</v>
      </c>
      <c r="F270">
        <v>71</v>
      </c>
      <c r="G270" t="s">
        <v>325</v>
      </c>
      <c r="H270" s="2">
        <f>INDEX(Data!G:G,MATCH(G270,Data!A:A,0),1)</f>
        <v>5.79E-2</v>
      </c>
      <c r="I270" s="2">
        <f>INDEX(Data!J:J,MATCH(G270,Data!A:A,0),1)</f>
        <v>4.2599999999999999E-2</v>
      </c>
      <c r="J270" s="2">
        <f>INDEX(Data!R:R,MATCH(G270,Data!A:A,0),1)</f>
        <v>1</v>
      </c>
      <c r="K270" s="2">
        <f>INDEX(Data!S:S,MATCH(G270,Data!A:A,0),1)</f>
        <v>0</v>
      </c>
      <c r="L270" t="str">
        <f t="shared" si="4"/>
        <v>Combustion of fuels_Transport via pipeline</v>
      </c>
      <c r="M270">
        <f>INDEX(Data!AD:AD,MATCH($G270,Data!$A:$A,0),1)</f>
        <v>0.78200000000000003</v>
      </c>
      <c r="N270">
        <f>INDEX(Data!AE:AE,MATCH($G270,Data!$A:$A,0),1)</f>
        <v>0.63500000000000001</v>
      </c>
      <c r="O270">
        <f>INDEX(Data!AG:AG,MATCH($G270,Data!$A:$A,0),1)</f>
        <v>1.1486856676492798</v>
      </c>
      <c r="P270">
        <f>INDEX(Data!AH:AH,MATCH($G270,Data!$A:$A,0),1)</f>
        <v>1.7068864766411047</v>
      </c>
      <c r="Q270">
        <f>IFERROR(IF(MATCH(B270,#REF!,0)&gt;0,1),0)</f>
        <v>0</v>
      </c>
    </row>
    <row r="271" spans="1:17" x14ac:dyDescent="0.2">
      <c r="A271" t="s">
        <v>10</v>
      </c>
      <c r="B271" t="s">
        <v>223</v>
      </c>
      <c r="C271" t="s">
        <v>115</v>
      </c>
      <c r="D271" t="s">
        <v>224</v>
      </c>
      <c r="E271" t="s">
        <v>224</v>
      </c>
      <c r="F271">
        <v>4</v>
      </c>
      <c r="G271" t="s">
        <v>333</v>
      </c>
      <c r="H271" s="2">
        <f>INDEX(Data!G:G,MATCH(G271,Data!A:A,0),1)</f>
        <v>0.55000000000000004</v>
      </c>
      <c r="I271" s="2">
        <f>INDEX(Data!J:J,MATCH(G271,Data!A:A,0),1)</f>
        <v>0.40714285714285714</v>
      </c>
      <c r="J271" s="2">
        <f>INDEX(Data!R:R,MATCH(G271,Data!A:A,0),1)</f>
        <v>0</v>
      </c>
      <c r="K271" s="2">
        <f>INDEX(Data!S:S,MATCH(G271,Data!A:A,0),1)</f>
        <v>0.432</v>
      </c>
      <c r="L271" t="str">
        <f t="shared" si="4"/>
        <v>Combustion of fuels_Manufacture of refined petroleum products</v>
      </c>
      <c r="M271">
        <f>INDEX(Data!AD:AD,MATCH($G271,Data!$A:$A,0),1)</f>
        <v>0.72599999999999998</v>
      </c>
      <c r="N271">
        <f>INDEX(Data!AE:AE,MATCH($G271,Data!$A:$A,0),1)</f>
        <v>0.30499999999999999</v>
      </c>
      <c r="O271">
        <f>INDEX(Data!AG:AG,MATCH($G271,Data!$A:$A,0),1)</f>
        <v>0.63412830119313213</v>
      </c>
      <c r="P271">
        <f>INDEX(Data!AH:AH,MATCH($G271,Data!$A:$A,0),1)</f>
        <v>8.240093553846331E-2</v>
      </c>
      <c r="Q271">
        <f>IFERROR(IF(MATCH(B271,#REF!,0)&gt;0,1),0)</f>
        <v>0</v>
      </c>
    </row>
    <row r="272" spans="1:17" x14ac:dyDescent="0.2">
      <c r="A272" t="s">
        <v>10</v>
      </c>
      <c r="B272" t="s">
        <v>225</v>
      </c>
      <c r="C272" t="s">
        <v>81</v>
      </c>
      <c r="D272" t="s">
        <v>409</v>
      </c>
      <c r="E272" t="s">
        <v>331</v>
      </c>
      <c r="F272">
        <v>5</v>
      </c>
      <c r="G272" t="s">
        <v>332</v>
      </c>
      <c r="H272" s="2">
        <f>INDEX(Data!G:G,MATCH(G272,Data!A:A,0),1)</f>
        <v>1.8</v>
      </c>
      <c r="I272" s="2">
        <f>INDEX(Data!J:J,MATCH(G272,Data!A:A,0),1)</f>
        <v>1.8</v>
      </c>
      <c r="J272" s="2">
        <f>INDEX(Data!R:R,MATCH(G272,Data!A:A,0),1)</f>
        <v>5.378400000000001</v>
      </c>
      <c r="K272" s="2">
        <f>INDEX(Data!S:S,MATCH(G272,Data!A:A,0),1)</f>
        <v>0</v>
      </c>
      <c r="L272" t="str">
        <f t="shared" si="4"/>
        <v>Combustion of fuels_Manufacture of refractory products</v>
      </c>
      <c r="M272">
        <f>INDEX(Data!AD:AD,MATCH($G272,Data!$A:$A,0),1)</f>
        <v>0.6</v>
      </c>
      <c r="N272">
        <f>INDEX(Data!AE:AE,MATCH($G272,Data!$A:$A,0),1)</f>
        <v>0.59799999999999998</v>
      </c>
      <c r="O272">
        <f>INDEX(Data!AG:AG,MATCH($G272,Data!$A:$A,0),1)</f>
        <v>1.2551691331611463</v>
      </c>
      <c r="P272">
        <f>INDEX(Data!AH:AH,MATCH($G272,Data!$A:$A,0),1)</f>
        <v>2.4027505261813573</v>
      </c>
      <c r="Q272">
        <f>IFERROR(IF(MATCH(B272,#REF!,0)&gt;0,1),0)</f>
        <v>0</v>
      </c>
    </row>
    <row r="273" spans="1:17" x14ac:dyDescent="0.2">
      <c r="A273" t="s">
        <v>10</v>
      </c>
      <c r="B273" t="s">
        <v>197</v>
      </c>
      <c r="C273" t="s">
        <v>198</v>
      </c>
      <c r="D273" t="s">
        <v>95</v>
      </c>
      <c r="E273" t="s">
        <v>95</v>
      </c>
      <c r="F273">
        <v>2</v>
      </c>
      <c r="G273" t="s">
        <v>335</v>
      </c>
      <c r="H273" s="2">
        <f>INDEX(Data!G:G,MATCH(G273,Data!A:A,0),1)</f>
        <v>0.49494039340491602</v>
      </c>
      <c r="I273" s="2">
        <f>INDEX(Data!J:J,MATCH(G273,Data!A:A,0),1)</f>
        <v>0.76276347235126118</v>
      </c>
      <c r="J273" s="2">
        <f>INDEX(Data!R:R,MATCH(G273,Data!A:A,0),1)</f>
        <v>6.0728236366858992</v>
      </c>
      <c r="K273" s="2">
        <f>INDEX(Data!S:S,MATCH(G273,Data!A:A,0),1)</f>
        <v>0</v>
      </c>
      <c r="L273" t="str">
        <f t="shared" si="4"/>
        <v>Combustion of fuels_Manufacture of other plastic products</v>
      </c>
      <c r="M273">
        <f>INDEX(Data!AD:AD,MATCH($G273,Data!$A:$A,0),1)</f>
        <v>0.81200000000000017</v>
      </c>
      <c r="N273">
        <f>INDEX(Data!AE:AE,MATCH($G273,Data!$A:$A,0),1)</f>
        <v>0.73900000000000021</v>
      </c>
      <c r="O273">
        <f>INDEX(Data!AG:AG,MATCH($G273,Data!$A:$A,0),1)</f>
        <v>1.298319184889499</v>
      </c>
      <c r="P273">
        <f>INDEX(Data!AH:AH,MATCH($G273,Data!$A:$A,0),1)</f>
        <v>4.8395672422172114</v>
      </c>
      <c r="Q273">
        <f>IFERROR(IF(MATCH(B273,#REF!,0)&gt;0,1),0)</f>
        <v>0</v>
      </c>
    </row>
    <row r="274" spans="1:17" x14ac:dyDescent="0.2">
      <c r="A274" t="s">
        <v>10</v>
      </c>
      <c r="B274" t="s">
        <v>202</v>
      </c>
      <c r="C274" t="s">
        <v>198</v>
      </c>
      <c r="D274" t="s">
        <v>95</v>
      </c>
      <c r="E274" t="s">
        <v>95</v>
      </c>
      <c r="F274">
        <v>4</v>
      </c>
      <c r="G274" t="s">
        <v>335</v>
      </c>
      <c r="H274" s="2">
        <f>INDEX(Data!G:G,MATCH(G274,Data!A:A,0),1)</f>
        <v>0.49494039340491602</v>
      </c>
      <c r="I274" s="2">
        <f>INDEX(Data!J:J,MATCH(G274,Data!A:A,0),1)</f>
        <v>0.76276347235126118</v>
      </c>
      <c r="J274" s="2">
        <f>INDEX(Data!R:R,MATCH(G274,Data!A:A,0),1)</f>
        <v>6.0728236366858992</v>
      </c>
      <c r="K274" s="2">
        <f>INDEX(Data!S:S,MATCH(G274,Data!A:A,0),1)</f>
        <v>0</v>
      </c>
      <c r="L274" t="str">
        <f t="shared" si="4"/>
        <v>Combustion of fuels_Manufacture of other rubber products</v>
      </c>
      <c r="M274">
        <f>INDEX(Data!AD:AD,MATCH($G274,Data!$A:$A,0),1)</f>
        <v>0.81200000000000017</v>
      </c>
      <c r="N274">
        <f>INDEX(Data!AE:AE,MATCH($G274,Data!$A:$A,0),1)</f>
        <v>0.73900000000000021</v>
      </c>
      <c r="O274">
        <f>INDEX(Data!AG:AG,MATCH($G274,Data!$A:$A,0),1)</f>
        <v>1.298319184889499</v>
      </c>
      <c r="P274">
        <f>INDEX(Data!AH:AH,MATCH($G274,Data!$A:$A,0),1)</f>
        <v>4.8395672422172114</v>
      </c>
      <c r="Q274">
        <f>IFERROR(IF(MATCH(B274,#REF!,0)&gt;0,1),0)</f>
        <v>0</v>
      </c>
    </row>
    <row r="275" spans="1:17" x14ac:dyDescent="0.2">
      <c r="A275" t="s">
        <v>10</v>
      </c>
      <c r="B275" t="s">
        <v>214</v>
      </c>
      <c r="C275" t="s">
        <v>198</v>
      </c>
      <c r="D275" t="s">
        <v>95</v>
      </c>
      <c r="E275" t="s">
        <v>95</v>
      </c>
      <c r="F275">
        <v>2</v>
      </c>
      <c r="G275" t="s">
        <v>335</v>
      </c>
      <c r="H275" s="2">
        <f>INDEX(Data!G:G,MATCH(G275,Data!A:A,0),1)</f>
        <v>0.49494039340491602</v>
      </c>
      <c r="I275" s="2">
        <f>INDEX(Data!J:J,MATCH(G275,Data!A:A,0),1)</f>
        <v>0.76276347235126118</v>
      </c>
      <c r="J275" s="2">
        <f>INDEX(Data!R:R,MATCH(G275,Data!A:A,0),1)</f>
        <v>6.0728236366858992</v>
      </c>
      <c r="K275" s="2">
        <f>INDEX(Data!S:S,MATCH(G275,Data!A:A,0),1)</f>
        <v>0</v>
      </c>
      <c r="L275" t="str">
        <f t="shared" si="4"/>
        <v>Combustion of fuels_Manufacture of plastic packing goods</v>
      </c>
      <c r="M275">
        <f>INDEX(Data!AD:AD,MATCH($G275,Data!$A:$A,0),1)</f>
        <v>0.81200000000000017</v>
      </c>
      <c r="N275">
        <f>INDEX(Data!AE:AE,MATCH($G275,Data!$A:$A,0),1)</f>
        <v>0.73900000000000021</v>
      </c>
      <c r="O275">
        <f>INDEX(Data!AG:AG,MATCH($G275,Data!$A:$A,0),1)</f>
        <v>1.298319184889499</v>
      </c>
      <c r="P275">
        <f>INDEX(Data!AH:AH,MATCH($G275,Data!$A:$A,0),1)</f>
        <v>4.8395672422172114</v>
      </c>
      <c r="Q275">
        <f>IFERROR(IF(MATCH(B275,#REF!,0)&gt;0,1),0)</f>
        <v>0</v>
      </c>
    </row>
    <row r="276" spans="1:17" x14ac:dyDescent="0.2">
      <c r="A276" t="s">
        <v>10</v>
      </c>
      <c r="B276" t="s">
        <v>215</v>
      </c>
      <c r="C276" t="s">
        <v>198</v>
      </c>
      <c r="D276" t="s">
        <v>95</v>
      </c>
      <c r="E276" t="s">
        <v>95</v>
      </c>
      <c r="F276">
        <v>4</v>
      </c>
      <c r="G276" t="s">
        <v>335</v>
      </c>
      <c r="H276" s="2">
        <f>INDEX(Data!G:G,MATCH(G276,Data!A:A,0),1)</f>
        <v>0.49494039340491602</v>
      </c>
      <c r="I276" s="2">
        <f>INDEX(Data!J:J,MATCH(G276,Data!A:A,0),1)</f>
        <v>0.76276347235126118</v>
      </c>
      <c r="J276" s="2">
        <f>INDEX(Data!R:R,MATCH(G276,Data!A:A,0),1)</f>
        <v>6.0728236366858992</v>
      </c>
      <c r="K276" s="2">
        <f>INDEX(Data!S:S,MATCH(G276,Data!A:A,0),1)</f>
        <v>0</v>
      </c>
      <c r="L276" t="str">
        <f t="shared" si="4"/>
        <v>Combustion of fuels_Manufacture of plastic plates, sheets, tubes and profiles</v>
      </c>
      <c r="M276">
        <f>INDEX(Data!AD:AD,MATCH($G276,Data!$A:$A,0),1)</f>
        <v>0.81200000000000017</v>
      </c>
      <c r="N276">
        <f>INDEX(Data!AE:AE,MATCH($G276,Data!$A:$A,0),1)</f>
        <v>0.73900000000000021</v>
      </c>
      <c r="O276">
        <f>INDEX(Data!AG:AG,MATCH($G276,Data!$A:$A,0),1)</f>
        <v>1.298319184889499</v>
      </c>
      <c r="P276">
        <f>INDEX(Data!AH:AH,MATCH($G276,Data!$A:$A,0),1)</f>
        <v>4.8395672422172114</v>
      </c>
      <c r="Q276">
        <f>IFERROR(IF(MATCH(B276,#REF!,0)&gt;0,1),0)</f>
        <v>0</v>
      </c>
    </row>
    <row r="277" spans="1:17" x14ac:dyDescent="0.2">
      <c r="A277" t="s">
        <v>10</v>
      </c>
      <c r="B277" t="s">
        <v>226</v>
      </c>
      <c r="C277" t="s">
        <v>198</v>
      </c>
      <c r="D277" t="s">
        <v>95</v>
      </c>
      <c r="E277" t="s">
        <v>95</v>
      </c>
      <c r="F277">
        <v>23</v>
      </c>
      <c r="G277" t="s">
        <v>335</v>
      </c>
      <c r="H277" s="2">
        <f>INDEX(Data!G:G,MATCH(G277,Data!A:A,0),1)</f>
        <v>0.49494039340491602</v>
      </c>
      <c r="I277" s="2">
        <f>INDEX(Data!J:J,MATCH(G277,Data!A:A,0),1)</f>
        <v>0.76276347235126118</v>
      </c>
      <c r="J277" s="2">
        <f>INDEX(Data!R:R,MATCH(G277,Data!A:A,0),1)</f>
        <v>6.0728236366858992</v>
      </c>
      <c r="K277" s="2">
        <f>INDEX(Data!S:S,MATCH(G277,Data!A:A,0),1)</f>
        <v>0</v>
      </c>
      <c r="L277" t="str">
        <f t="shared" si="4"/>
        <v>Combustion of fuels_Manufacture of rubber tyres and tubes</v>
      </c>
      <c r="M277">
        <f>INDEX(Data!AD:AD,MATCH($G277,Data!$A:$A,0),1)</f>
        <v>0.81200000000000017</v>
      </c>
      <c r="N277">
        <f>INDEX(Data!AE:AE,MATCH($G277,Data!$A:$A,0),1)</f>
        <v>0.73900000000000021</v>
      </c>
      <c r="O277">
        <f>INDEX(Data!AG:AG,MATCH($G277,Data!$A:$A,0),1)</f>
        <v>1.298319184889499</v>
      </c>
      <c r="P277">
        <f>INDEX(Data!AH:AH,MATCH($G277,Data!$A:$A,0),1)</f>
        <v>4.8395672422172114</v>
      </c>
      <c r="Q277">
        <f>IFERROR(IF(MATCH(B277,#REF!,0)&gt;0,1),0)</f>
        <v>0</v>
      </c>
    </row>
    <row r="278" spans="1:17" x14ac:dyDescent="0.2">
      <c r="A278" s="2" t="s">
        <v>10</v>
      </c>
      <c r="D278" t="s">
        <v>403</v>
      </c>
      <c r="E278" t="s">
        <v>15</v>
      </c>
      <c r="G278" t="s">
        <v>325</v>
      </c>
      <c r="H278" s="2">
        <f>INDEX(Data!G:G,MATCH(G278,Data!A:A,0),1)</f>
        <v>5.79E-2</v>
      </c>
      <c r="I278" s="2">
        <f>INDEX(Data!J:J,MATCH(G278,Data!A:A,0),1)</f>
        <v>4.2599999999999999E-2</v>
      </c>
      <c r="J278" s="2">
        <f>INDEX(Data!R:R,MATCH(G278,Data!A:A,0),1)</f>
        <v>1</v>
      </c>
      <c r="K278" s="2">
        <f>INDEX(Data!S:S,MATCH(G278,Data!A:A,0),1)</f>
        <v>0</v>
      </c>
      <c r="L278" t="str">
        <f t="shared" si="4"/>
        <v>Combustion of fuels</v>
      </c>
      <c r="M278">
        <f>INDEX(Data!AD:AD,MATCH($G278,Data!$A:$A,0),1)</f>
        <v>0.78200000000000003</v>
      </c>
      <c r="N278">
        <f>INDEX(Data!AE:AE,MATCH($G278,Data!$A:$A,0),1)</f>
        <v>0.63500000000000001</v>
      </c>
      <c r="O278">
        <f>INDEX(Data!AG:AG,MATCH($G278,Data!$A:$A,0),1)</f>
        <v>1.1486856676492798</v>
      </c>
      <c r="P278">
        <f>INDEX(Data!AH:AH,MATCH($G278,Data!$A:$A,0),1)</f>
        <v>1.7068864766411047</v>
      </c>
      <c r="Q278">
        <f>IFERROR(IF(MATCH(B278,#REF!,0)&gt;0,1),0)</f>
        <v>0</v>
      </c>
    </row>
    <row r="279" spans="1:17" x14ac:dyDescent="0.2">
      <c r="A279" t="s">
        <v>50</v>
      </c>
      <c r="B279" t="s">
        <v>208</v>
      </c>
      <c r="C279" t="s">
        <v>122</v>
      </c>
      <c r="D279" t="s">
        <v>410</v>
      </c>
      <c r="E279" t="s">
        <v>173</v>
      </c>
      <c r="F279">
        <v>70</v>
      </c>
      <c r="G279" t="s">
        <v>356</v>
      </c>
      <c r="H279" s="2">
        <f>INDEX(Data!G:G,MATCH(G279,Data!A:A,0),1)</f>
        <v>0.2201185822484337</v>
      </c>
      <c r="I279" s="2">
        <f>INDEX(Data!J:J,MATCH(G279,Data!A:A,0),1)</f>
        <v>0.22144473697589778</v>
      </c>
      <c r="J279" s="2">
        <f>INDEX(Data!R:R,MATCH(G279,Data!A:A,0),1)</f>
        <v>6.1071928683366004</v>
      </c>
      <c r="K279" s="2">
        <f>INDEX(Data!S:S,MATCH(G279,Data!A:A,0),1)</f>
        <v>0</v>
      </c>
      <c r="L279" t="str">
        <f t="shared" si="4"/>
        <v>Industrial plants for the production of (a) pulp from timber or other fibrous materials (b) paper and board_Manufacture of paper and paperboard</v>
      </c>
      <c r="M279">
        <f>INDEX(Data!AD:AD,MATCH($G279,Data!$A:$A,0),1)</f>
        <v>0.79800000000000015</v>
      </c>
      <c r="N279">
        <f>INDEX(Data!AE:AE,MATCH($G279,Data!$A:$A,0),1)</f>
        <v>0.92100000000000015</v>
      </c>
      <c r="O279">
        <f>INDEX(Data!AG:AG,MATCH($G279,Data!$A:$A,0),1)</f>
        <v>1.2809090316655365</v>
      </c>
      <c r="P279">
        <f>INDEX(Data!AH:AH,MATCH($G279,Data!$A:$A,0),1)</f>
        <v>4.1862577628706559</v>
      </c>
      <c r="Q279">
        <f>IFERROR(IF(MATCH(B279,#REF!,0)&gt;0,1),0)</f>
        <v>0</v>
      </c>
    </row>
    <row r="280" spans="1:17" x14ac:dyDescent="0.2">
      <c r="A280" t="s">
        <v>50</v>
      </c>
      <c r="B280" t="s">
        <v>47</v>
      </c>
      <c r="C280" t="s">
        <v>44</v>
      </c>
      <c r="D280" t="s">
        <v>45</v>
      </c>
      <c r="E280" t="s">
        <v>45</v>
      </c>
      <c r="F280">
        <v>1</v>
      </c>
      <c r="G280" t="s">
        <v>325</v>
      </c>
      <c r="H280" s="2">
        <f>INDEX(Data!G:G,MATCH(G280,Data!A:A,0),1)</f>
        <v>5.79E-2</v>
      </c>
      <c r="I280" s="2">
        <f>INDEX(Data!J:J,MATCH(G280,Data!A:A,0),1)</f>
        <v>4.2599999999999999E-2</v>
      </c>
      <c r="J280" s="2">
        <f>INDEX(Data!R:R,MATCH(G280,Data!A:A,0),1)</f>
        <v>1</v>
      </c>
      <c r="K280" s="2">
        <f>INDEX(Data!S:S,MATCH(G280,Data!A:A,0),1)</f>
        <v>0</v>
      </c>
      <c r="L280" t="str">
        <f t="shared" si="4"/>
        <v>Industrial plants for the production of (a) pulp from timber or other fibrous materials (b) paper and board_Electric power generation, transmission and distribution</v>
      </c>
      <c r="M280">
        <f>INDEX(Data!AD:AD,MATCH($G280,Data!$A:$A,0),1)</f>
        <v>0.78200000000000003</v>
      </c>
      <c r="N280">
        <f>INDEX(Data!AE:AE,MATCH($G280,Data!$A:$A,0),1)</f>
        <v>0.63500000000000001</v>
      </c>
      <c r="O280">
        <f>INDEX(Data!AG:AG,MATCH($G280,Data!$A:$A,0),1)</f>
        <v>1.1486856676492798</v>
      </c>
      <c r="P280">
        <f>INDEX(Data!AH:AH,MATCH($G280,Data!$A:$A,0),1)</f>
        <v>1.7068864766411047</v>
      </c>
      <c r="Q280">
        <f>IFERROR(IF(MATCH(B280,#REF!,0)&gt;0,1),0)</f>
        <v>0</v>
      </c>
    </row>
    <row r="281" spans="1:17" x14ac:dyDescent="0.2">
      <c r="A281" t="s">
        <v>50</v>
      </c>
      <c r="B281" t="s">
        <v>44</v>
      </c>
      <c r="C281" t="s">
        <v>44</v>
      </c>
      <c r="D281" t="s">
        <v>45</v>
      </c>
      <c r="E281" t="s">
        <v>45</v>
      </c>
      <c r="F281">
        <v>1</v>
      </c>
      <c r="G281" t="s">
        <v>329</v>
      </c>
      <c r="H281" s="2">
        <f>INDEX(Data!G:G,MATCH(G281,Data!A:A,0),1)</f>
        <v>7.6799999999999993E-2</v>
      </c>
      <c r="I281" s="2">
        <f>INDEX(Data!J:J,MATCH(G281,Data!A:A,0),1)</f>
        <v>4.7300000000000002E-2</v>
      </c>
      <c r="J281" s="2">
        <f>INDEX(Data!R:R,MATCH(G281,Data!A:A,0),1)</f>
        <v>1</v>
      </c>
      <c r="K281" s="2">
        <f>INDEX(Data!S:S,MATCH(G281,Data!A:A,0),1)</f>
        <v>0</v>
      </c>
      <c r="L281" t="str">
        <f t="shared" si="4"/>
        <v>Industrial plants for the production of (a) pulp from timber or other fibrous materials (b) paper and board_Electricity, gas, steam and air conditioning supply</v>
      </c>
      <c r="M281">
        <f>INDEX(Data!AD:AD,MATCH($G281,Data!$A:$A,0),1)</f>
        <v>0.78200000000000003</v>
      </c>
      <c r="N281">
        <f>INDEX(Data!AE:AE,MATCH($G281,Data!$A:$A,0),1)</f>
        <v>0.63500000000000001</v>
      </c>
      <c r="O281">
        <f>INDEX(Data!AG:AG,MATCH($G281,Data!$A:$A,0),1)</f>
        <v>1.1486856676492798</v>
      </c>
      <c r="P281">
        <f>INDEX(Data!AH:AH,MATCH($G281,Data!$A:$A,0),1)</f>
        <v>1.7068864766411047</v>
      </c>
      <c r="Q281">
        <f>IFERROR(IF(MATCH(B281,#REF!,0)&gt;0,1),0)</f>
        <v>0</v>
      </c>
    </row>
    <row r="282" spans="1:17" x14ac:dyDescent="0.2">
      <c r="A282" t="s">
        <v>50</v>
      </c>
      <c r="B282" t="s">
        <v>220</v>
      </c>
      <c r="C282" t="s">
        <v>122</v>
      </c>
      <c r="D282" t="s">
        <v>410</v>
      </c>
      <c r="E282" t="s">
        <v>221</v>
      </c>
      <c r="F282">
        <v>9</v>
      </c>
      <c r="G282" t="s">
        <v>330</v>
      </c>
      <c r="H282" s="2">
        <f>INDEX(Data!G:G,MATCH(G282,Data!A:A,0),1)</f>
        <v>7.0004406322813018E-2</v>
      </c>
      <c r="I282" s="2">
        <f>INDEX(Data!J:J,MATCH(G282,Data!A:A,0),1)</f>
        <v>4.658929294687298E-2</v>
      </c>
      <c r="J282" s="2">
        <f>INDEX(Data!R:R,MATCH(G282,Data!A:A,0),1)</f>
        <v>3.2582614424994669</v>
      </c>
      <c r="K282" s="2">
        <f>INDEX(Data!S:S,MATCH(G282,Data!A:A,0),1)</f>
        <v>0</v>
      </c>
      <c r="L282" t="str">
        <f t="shared" si="4"/>
        <v>Industrial plants for the production of (a) pulp from timber or other fibrous materials (b) paper and board_Manufacture of pulp</v>
      </c>
      <c r="M282">
        <f>INDEX(Data!AD:AD,MATCH($G282,Data!$A:$A,0),1)</f>
        <v>0.79800000000000015</v>
      </c>
      <c r="N282">
        <f>INDEX(Data!AE:AE,MATCH($G282,Data!$A:$A,0),1)</f>
        <v>0.92100000000000015</v>
      </c>
      <c r="O282">
        <f>INDEX(Data!AG:AG,MATCH($G282,Data!$A:$A,0),1)</f>
        <v>1.2809090316655367</v>
      </c>
      <c r="P282">
        <f>INDEX(Data!AH:AH,MATCH($G282,Data!$A:$A,0),1)</f>
        <v>4.1862577628706568</v>
      </c>
      <c r="Q282">
        <f>IFERROR(IF(MATCH(B282,#REF!,0)&gt;0,1),0)</f>
        <v>0</v>
      </c>
    </row>
    <row r="283" spans="1:17" x14ac:dyDescent="0.2">
      <c r="A283" t="s">
        <v>50</v>
      </c>
      <c r="B283" t="s">
        <v>148</v>
      </c>
      <c r="C283" t="s">
        <v>122</v>
      </c>
      <c r="D283" t="s">
        <v>410</v>
      </c>
      <c r="E283" t="s">
        <v>173</v>
      </c>
      <c r="F283">
        <v>1</v>
      </c>
      <c r="G283" t="s">
        <v>356</v>
      </c>
      <c r="H283" s="2">
        <f>INDEX(Data!G:G,MATCH(G283,Data!A:A,0),1)</f>
        <v>0.2201185822484337</v>
      </c>
      <c r="I283" s="2">
        <f>INDEX(Data!J:J,MATCH(G283,Data!A:A,0),1)</f>
        <v>0.22144473697589778</v>
      </c>
      <c r="J283" s="2">
        <f>INDEX(Data!R:R,MATCH(G283,Data!A:A,0),1)</f>
        <v>6.1071928683366004</v>
      </c>
      <c r="K283" s="2">
        <f>INDEX(Data!S:S,MATCH(G283,Data!A:A,0),1)</f>
        <v>0</v>
      </c>
      <c r="L283" t="str">
        <f t="shared" si="4"/>
        <v>Industrial plants for the production of (a) pulp from timber or other fibrous materials (b) paper and board_Manufacture of household and sanitary goods and of toilet requisites</v>
      </c>
      <c r="M283">
        <f>INDEX(Data!AD:AD,MATCH($G283,Data!$A:$A,0),1)</f>
        <v>0.79800000000000015</v>
      </c>
      <c r="N283">
        <f>INDEX(Data!AE:AE,MATCH($G283,Data!$A:$A,0),1)</f>
        <v>0.92100000000000015</v>
      </c>
      <c r="O283">
        <f>INDEX(Data!AG:AG,MATCH($G283,Data!$A:$A,0),1)</f>
        <v>1.2809090316655365</v>
      </c>
      <c r="P283">
        <f>INDEX(Data!AH:AH,MATCH($G283,Data!$A:$A,0),1)</f>
        <v>4.1862577628706559</v>
      </c>
      <c r="Q283">
        <f>IFERROR(IF(MATCH(B283,#REF!,0)&gt;0,1),0)</f>
        <v>0</v>
      </c>
    </row>
    <row r="284" spans="1:17" x14ac:dyDescent="0.2">
      <c r="A284" s="2" t="s">
        <v>50</v>
      </c>
      <c r="D284" t="s">
        <v>410</v>
      </c>
      <c r="E284">
        <v>0</v>
      </c>
      <c r="G284" s="2" t="s">
        <v>405</v>
      </c>
      <c r="H284" s="2">
        <f>INDEX(Data!G:G,MATCH(G284,Data!A:A,0),1)</f>
        <v>0.19771476467585747</v>
      </c>
      <c r="I284" s="2">
        <f>INDEX(Data!J:J,MATCH(G284,Data!A:A,0),1)</f>
        <v>0.20319123541476034</v>
      </c>
      <c r="J284" s="2">
        <f>INDEX(Data!R:R,MATCH(G284,Data!A:A,0),1)</f>
        <v>4.9612621516345303</v>
      </c>
      <c r="K284" s="2">
        <f>INDEX(Data!S:S,MATCH(G284,Data!A:A,0),1)</f>
        <v>0</v>
      </c>
      <c r="L284" t="str">
        <f t="shared" si="4"/>
        <v>Industrial plants for the production of (a) pulp from timber or other fibrous materials (b) paper and board</v>
      </c>
      <c r="M284">
        <f>INDEX(Data!AD:AD,MATCH($G284,Data!$A:$A,0),1)</f>
        <v>0.79800000000000004</v>
      </c>
      <c r="N284">
        <f>INDEX(Data!AE:AE,MATCH($G284,Data!$A:$A,0),1)</f>
        <v>0.92099999999999993</v>
      </c>
      <c r="O284">
        <f>INDEX(Data!AG:AG,MATCH($G284,Data!$A:$A,0),1)</f>
        <v>1.2809090316655369</v>
      </c>
      <c r="P284">
        <f>INDEX(Data!AH:AH,MATCH($G284,Data!$A:$A,0),1)</f>
        <v>4.1862577628706559</v>
      </c>
      <c r="Q284">
        <f>IFERROR(IF(MATCH(B284,#REF!,0)&gt;0,1),0)</f>
        <v>0</v>
      </c>
    </row>
    <row r="285" spans="1:17" x14ac:dyDescent="0.2">
      <c r="A285" t="s">
        <v>102</v>
      </c>
      <c r="B285" t="s">
        <v>119</v>
      </c>
      <c r="C285" t="s">
        <v>81</v>
      </c>
      <c r="D285" t="s">
        <v>409</v>
      </c>
      <c r="E285" t="s">
        <v>106</v>
      </c>
      <c r="F285">
        <v>1</v>
      </c>
      <c r="G285" t="s">
        <v>327</v>
      </c>
      <c r="H285" s="2">
        <f>INDEX(Data!G:G,MATCH(G285,Data!A:A,0),1)</f>
        <v>0.81745070728588098</v>
      </c>
      <c r="I285" s="2">
        <f>INDEX(Data!J:J,MATCH(G285,Data!A:A,0),1)</f>
        <v>0.6991394038416423</v>
      </c>
      <c r="J285" s="2">
        <f>INDEX(Data!R:R,MATCH(G285,Data!A:A,0),1)</f>
        <v>4.3200000000000021</v>
      </c>
      <c r="K285" s="2">
        <f>INDEX(Data!S:S,MATCH(G285,Data!A:A,0),1)</f>
        <v>0</v>
      </c>
      <c r="L285" t="str">
        <f t="shared" si="4"/>
        <v>Installations for the manufacture of ceramic products by firing, in particular roofing tiles, bricks, refractory bricks, tiles, stoneware or porcelain_Manufacture of concrete products for construction purposes</v>
      </c>
      <c r="M285">
        <f>INDEX(Data!AD:AD,MATCH($G285,Data!$A:$A,0),1)</f>
        <v>0.6</v>
      </c>
      <c r="N285">
        <f>INDEX(Data!AE:AE,MATCH($G285,Data!$A:$A,0),1)</f>
        <v>0.59799999999999998</v>
      </c>
      <c r="O285">
        <f>INDEX(Data!AG:AG,MATCH($G285,Data!$A:$A,0),1)</f>
        <v>1.7474276218071669</v>
      </c>
      <c r="P285">
        <f>INDEX(Data!AH:AH,MATCH($G285,Data!$A:$A,0),1)</f>
        <v>11.543912994239886</v>
      </c>
      <c r="Q285">
        <f>IFERROR(IF(MATCH(B285,#REF!,0)&gt;0,1),0)</f>
        <v>0</v>
      </c>
    </row>
    <row r="286" spans="1:17" x14ac:dyDescent="0.2">
      <c r="A286" t="s">
        <v>102</v>
      </c>
      <c r="B286" t="s">
        <v>100</v>
      </c>
      <c r="C286" t="s">
        <v>81</v>
      </c>
      <c r="D286" t="s">
        <v>409</v>
      </c>
      <c r="E286" t="s">
        <v>101</v>
      </c>
      <c r="F286">
        <v>59</v>
      </c>
      <c r="G286" t="s">
        <v>326</v>
      </c>
      <c r="H286" s="2">
        <f>INDEX(Data!G:G,MATCH(G286,Data!A:A,0),1)</f>
        <v>0.12876363322314929</v>
      </c>
      <c r="I286" s="2">
        <f>INDEX(Data!J:J,MATCH(G286,Data!A:A,0),1)</f>
        <v>9.509036148184509E-2</v>
      </c>
      <c r="J286" s="2">
        <f>INDEX(Data!R:R,MATCH(G286,Data!A:A,0),1)</f>
        <v>3.0746807959647584</v>
      </c>
      <c r="K286" s="2">
        <f>INDEX(Data!S:S,MATCH(G286,Data!A:A,0),1)</f>
        <v>0</v>
      </c>
      <c r="L286" t="str">
        <f t="shared" si="4"/>
        <v>Installations for the manufacture of ceramic products by firing, in particular roofing tiles, bricks, refractory bricks, tiles, stoneware or porcelain_Manufacture of bricks, tiles and construction products, in baked clay</v>
      </c>
      <c r="M286">
        <f>INDEX(Data!AD:AD,MATCH($G286,Data!$A:$A,0),1)</f>
        <v>0.6</v>
      </c>
      <c r="N286">
        <f>INDEX(Data!AE:AE,MATCH($G286,Data!$A:$A,0),1)</f>
        <v>0.59799999999999998</v>
      </c>
      <c r="O286">
        <f>INDEX(Data!AG:AG,MATCH($G286,Data!$A:$A,0),1)</f>
        <v>1.1022133959071165</v>
      </c>
      <c r="P286">
        <f>INDEX(Data!AH:AH,MATCH($G286,Data!$A:$A,0),1)</f>
        <v>1.455542145135519</v>
      </c>
      <c r="Q286">
        <f>IFERROR(IF(MATCH(B286,#REF!,0)&gt;0,1),0)</f>
        <v>0</v>
      </c>
    </row>
    <row r="287" spans="1:17" x14ac:dyDescent="0.2">
      <c r="A287" t="s">
        <v>102</v>
      </c>
      <c r="B287" t="s">
        <v>108</v>
      </c>
      <c r="C287" t="s">
        <v>81</v>
      </c>
      <c r="D287" t="s">
        <v>409</v>
      </c>
      <c r="E287" t="s">
        <v>101</v>
      </c>
      <c r="F287">
        <v>89</v>
      </c>
      <c r="G287" t="s">
        <v>326</v>
      </c>
      <c r="H287" s="2">
        <f>INDEX(Data!G:G,MATCH(G287,Data!A:A,0),1)</f>
        <v>0.12876363322314929</v>
      </c>
      <c r="I287" s="2">
        <f>INDEX(Data!J:J,MATCH(G287,Data!A:A,0),1)</f>
        <v>9.509036148184509E-2</v>
      </c>
      <c r="J287" s="2">
        <f>INDEX(Data!R:R,MATCH(G287,Data!A:A,0),1)</f>
        <v>3.0746807959647584</v>
      </c>
      <c r="K287" s="2">
        <f>INDEX(Data!S:S,MATCH(G287,Data!A:A,0),1)</f>
        <v>0</v>
      </c>
      <c r="L287" t="str">
        <f t="shared" si="4"/>
        <v>Installations for the manufacture of ceramic products by firing, in particular roofing tiles, bricks, refractory bricks, tiles, stoneware or porcelain_Manufacture of ceramic household and ornamental articles</v>
      </c>
      <c r="M287">
        <f>INDEX(Data!AD:AD,MATCH($G287,Data!$A:$A,0),1)</f>
        <v>0.6</v>
      </c>
      <c r="N287">
        <f>INDEX(Data!AE:AE,MATCH($G287,Data!$A:$A,0),1)</f>
        <v>0.59799999999999998</v>
      </c>
      <c r="O287">
        <f>INDEX(Data!AG:AG,MATCH($G287,Data!$A:$A,0),1)</f>
        <v>1.1022133959071165</v>
      </c>
      <c r="P287">
        <f>INDEX(Data!AH:AH,MATCH($G287,Data!$A:$A,0),1)</f>
        <v>1.455542145135519</v>
      </c>
      <c r="Q287">
        <f>IFERROR(IF(MATCH(B287,#REF!,0)&gt;0,1),0)</f>
        <v>0</v>
      </c>
    </row>
    <row r="288" spans="1:17" x14ac:dyDescent="0.2">
      <c r="A288" t="s">
        <v>102</v>
      </c>
      <c r="B288" t="s">
        <v>110</v>
      </c>
      <c r="C288" t="s">
        <v>81</v>
      </c>
      <c r="D288" t="s">
        <v>409</v>
      </c>
      <c r="E288" t="s">
        <v>101</v>
      </c>
      <c r="F288">
        <v>3</v>
      </c>
      <c r="G288" t="s">
        <v>326</v>
      </c>
      <c r="H288" s="2">
        <f>INDEX(Data!G:G,MATCH(G288,Data!A:A,0),1)</f>
        <v>0.12876363322314929</v>
      </c>
      <c r="I288" s="2">
        <f>INDEX(Data!J:J,MATCH(G288,Data!A:A,0),1)</f>
        <v>9.509036148184509E-2</v>
      </c>
      <c r="J288" s="2">
        <f>INDEX(Data!R:R,MATCH(G288,Data!A:A,0),1)</f>
        <v>3.0746807959647584</v>
      </c>
      <c r="K288" s="2">
        <f>INDEX(Data!S:S,MATCH(G288,Data!A:A,0),1)</f>
        <v>0</v>
      </c>
      <c r="L288" t="str">
        <f t="shared" si="4"/>
        <v>Installations for the manufacture of ceramic products by firing, in particular roofing tiles, bricks, refractory bricks, tiles, stoneware or porcelain_Manufacture of ceramic sanitary fixtures</v>
      </c>
      <c r="M288">
        <f>INDEX(Data!AD:AD,MATCH($G288,Data!$A:$A,0),1)</f>
        <v>0.6</v>
      </c>
      <c r="N288">
        <f>INDEX(Data!AE:AE,MATCH($G288,Data!$A:$A,0),1)</f>
        <v>0.59799999999999998</v>
      </c>
      <c r="O288">
        <f>INDEX(Data!AG:AG,MATCH($G288,Data!$A:$A,0),1)</f>
        <v>1.1022133959071165</v>
      </c>
      <c r="P288">
        <f>INDEX(Data!AH:AH,MATCH($G288,Data!$A:$A,0),1)</f>
        <v>1.455542145135519</v>
      </c>
      <c r="Q288">
        <f>IFERROR(IF(MATCH(B288,#REF!,0)&gt;0,1),0)</f>
        <v>0</v>
      </c>
    </row>
    <row r="289" spans="1:17" x14ac:dyDescent="0.2">
      <c r="A289" t="s">
        <v>102</v>
      </c>
      <c r="B289" t="s">
        <v>111</v>
      </c>
      <c r="C289" t="s">
        <v>81</v>
      </c>
      <c r="D289" t="s">
        <v>409</v>
      </c>
      <c r="E289" t="s">
        <v>101</v>
      </c>
      <c r="F289">
        <v>24</v>
      </c>
      <c r="G289" t="s">
        <v>326</v>
      </c>
      <c r="H289" s="2">
        <f>INDEX(Data!G:G,MATCH(G289,Data!A:A,0),1)</f>
        <v>0.12876363322314929</v>
      </c>
      <c r="I289" s="2">
        <f>INDEX(Data!J:J,MATCH(G289,Data!A:A,0),1)</f>
        <v>9.509036148184509E-2</v>
      </c>
      <c r="J289" s="2">
        <f>INDEX(Data!R:R,MATCH(G289,Data!A:A,0),1)</f>
        <v>3.0746807959647584</v>
      </c>
      <c r="K289" s="2">
        <f>INDEX(Data!S:S,MATCH(G289,Data!A:A,0),1)</f>
        <v>0</v>
      </c>
      <c r="L289" t="str">
        <f t="shared" si="4"/>
        <v>Installations for the manufacture of ceramic products by firing, in particular roofing tiles, bricks, refractory bricks, tiles, stoneware or porcelain_Manufacture of ceramic tiles and flags</v>
      </c>
      <c r="M289">
        <f>INDEX(Data!AD:AD,MATCH($G289,Data!$A:$A,0),1)</f>
        <v>0.6</v>
      </c>
      <c r="N289">
        <f>INDEX(Data!AE:AE,MATCH($G289,Data!$A:$A,0),1)</f>
        <v>0.59799999999999998</v>
      </c>
      <c r="O289">
        <f>INDEX(Data!AG:AG,MATCH($G289,Data!$A:$A,0),1)</f>
        <v>1.1022133959071165</v>
      </c>
      <c r="P289">
        <f>INDEX(Data!AH:AH,MATCH($G289,Data!$A:$A,0),1)</f>
        <v>1.455542145135519</v>
      </c>
      <c r="Q289">
        <f>IFERROR(IF(MATCH(B289,#REF!,0)&gt;0,1),0)</f>
        <v>0</v>
      </c>
    </row>
    <row r="290" spans="1:17" x14ac:dyDescent="0.2">
      <c r="A290" t="s">
        <v>102</v>
      </c>
      <c r="B290" t="s">
        <v>205</v>
      </c>
      <c r="C290" t="s">
        <v>81</v>
      </c>
      <c r="D290" t="s">
        <v>409</v>
      </c>
      <c r="E290" t="s">
        <v>101</v>
      </c>
      <c r="F290">
        <v>1</v>
      </c>
      <c r="G290" t="s">
        <v>326</v>
      </c>
      <c r="H290" s="2">
        <f>INDEX(Data!G:G,MATCH(G290,Data!A:A,0),1)</f>
        <v>0.12876363322314929</v>
      </c>
      <c r="I290" s="2">
        <f>INDEX(Data!J:J,MATCH(G290,Data!A:A,0),1)</f>
        <v>9.509036148184509E-2</v>
      </c>
      <c r="J290" s="2">
        <f>INDEX(Data!R:R,MATCH(G290,Data!A:A,0),1)</f>
        <v>3.0746807959647584</v>
      </c>
      <c r="K290" s="2">
        <f>INDEX(Data!S:S,MATCH(G290,Data!A:A,0),1)</f>
        <v>0</v>
      </c>
      <c r="L290" t="str">
        <f t="shared" si="4"/>
        <v>Installations for the manufacture of ceramic products by firing, in particular roofing tiles, bricks, refractory bricks, tiles, stoneware or porcelain_Manufacture of other technical ceramic products</v>
      </c>
      <c r="M290">
        <f>INDEX(Data!AD:AD,MATCH($G290,Data!$A:$A,0),1)</f>
        <v>0.6</v>
      </c>
      <c r="N290">
        <f>INDEX(Data!AE:AE,MATCH($G290,Data!$A:$A,0),1)</f>
        <v>0.59799999999999998</v>
      </c>
      <c r="O290">
        <f>INDEX(Data!AG:AG,MATCH($G290,Data!$A:$A,0),1)</f>
        <v>1.1022133959071165</v>
      </c>
      <c r="P290">
        <f>INDEX(Data!AH:AH,MATCH($G290,Data!$A:$A,0),1)</f>
        <v>1.455542145135519</v>
      </c>
      <c r="Q290">
        <f>IFERROR(IF(MATCH(B290,#REF!,0)&gt;0,1),0)</f>
        <v>0</v>
      </c>
    </row>
    <row r="291" spans="1:17" x14ac:dyDescent="0.2">
      <c r="A291" t="s">
        <v>102</v>
      </c>
      <c r="B291" t="s">
        <v>281</v>
      </c>
      <c r="C291" t="s">
        <v>81</v>
      </c>
      <c r="D291" t="s">
        <v>409</v>
      </c>
      <c r="E291" t="s">
        <v>101</v>
      </c>
      <c r="F291">
        <v>1</v>
      </c>
      <c r="G291" t="s">
        <v>326</v>
      </c>
      <c r="H291" s="2">
        <f>INDEX(Data!G:G,MATCH(G291,Data!A:A,0),1)</f>
        <v>0.12876363322314929</v>
      </c>
      <c r="I291" s="2">
        <f>INDEX(Data!J:J,MATCH(G291,Data!A:A,0),1)</f>
        <v>9.509036148184509E-2</v>
      </c>
      <c r="J291" s="2">
        <f>INDEX(Data!R:R,MATCH(G291,Data!A:A,0),1)</f>
        <v>3.0746807959647584</v>
      </c>
      <c r="K291" s="2">
        <f>INDEX(Data!S:S,MATCH(G291,Data!A:A,0),1)</f>
        <v>0</v>
      </c>
      <c r="L291" t="str">
        <f t="shared" si="4"/>
        <v>Installations for the manufacture of ceramic products by firing, in particular roofing tiles, bricks, refractory bricks, tiles, stoneware or porcelain_Production of abrasive products</v>
      </c>
      <c r="M291">
        <f>INDEX(Data!AD:AD,MATCH($G291,Data!$A:$A,0),1)</f>
        <v>0.6</v>
      </c>
      <c r="N291">
        <f>INDEX(Data!AE:AE,MATCH($G291,Data!$A:$A,0),1)</f>
        <v>0.59799999999999998</v>
      </c>
      <c r="O291">
        <f>INDEX(Data!AG:AG,MATCH($G291,Data!$A:$A,0),1)</f>
        <v>1.1022133959071165</v>
      </c>
      <c r="P291">
        <f>INDEX(Data!AH:AH,MATCH($G291,Data!$A:$A,0),1)</f>
        <v>1.455542145135519</v>
      </c>
      <c r="Q291">
        <f>IFERROR(IF(MATCH(B291,#REF!,0)&gt;0,1),0)</f>
        <v>0</v>
      </c>
    </row>
    <row r="292" spans="1:17" x14ac:dyDescent="0.2">
      <c r="A292" t="s">
        <v>102</v>
      </c>
      <c r="B292" t="s">
        <v>250</v>
      </c>
      <c r="C292" t="s">
        <v>58</v>
      </c>
      <c r="D292" t="s">
        <v>403</v>
      </c>
      <c r="E292" t="s">
        <v>242</v>
      </c>
      <c r="F292">
        <v>1</v>
      </c>
      <c r="G292" t="s">
        <v>325</v>
      </c>
      <c r="H292" s="2">
        <f>INDEX(Data!G:G,MATCH(G292,Data!A:A,0),1)</f>
        <v>5.79E-2</v>
      </c>
      <c r="I292" s="2">
        <f>INDEX(Data!J:J,MATCH(G292,Data!A:A,0),1)</f>
        <v>4.2599999999999999E-2</v>
      </c>
      <c r="J292" s="2">
        <f>INDEX(Data!R:R,MATCH(G292,Data!A:A,0),1)</f>
        <v>1</v>
      </c>
      <c r="K292" s="2">
        <f>INDEX(Data!S:S,MATCH(G292,Data!A:A,0),1)</f>
        <v>0</v>
      </c>
      <c r="L292" t="str">
        <f t="shared" si="4"/>
        <v>Installations for the manufacture of ceramic products by firing, in particular roofing tiles, bricks, refractory bricks, tiles, stoneware or porcelain_Operation of gravel and sand pits</v>
      </c>
      <c r="M292">
        <f>INDEX(Data!AD:AD,MATCH($G292,Data!$A:$A,0),1)</f>
        <v>0.78200000000000003</v>
      </c>
      <c r="N292">
        <f>INDEX(Data!AE:AE,MATCH($G292,Data!$A:$A,0),1)</f>
        <v>0.63500000000000001</v>
      </c>
      <c r="O292">
        <f>INDEX(Data!AG:AG,MATCH($G292,Data!$A:$A,0),1)</f>
        <v>1.1486856676492798</v>
      </c>
      <c r="P292">
        <f>INDEX(Data!AH:AH,MATCH($G292,Data!$A:$A,0),1)</f>
        <v>1.7068864766411047</v>
      </c>
      <c r="Q292">
        <f>IFERROR(IF(MATCH(B292,#REF!,0)&gt;0,1),0)</f>
        <v>0</v>
      </c>
    </row>
    <row r="293" spans="1:17" x14ac:dyDescent="0.2">
      <c r="A293" t="s">
        <v>102</v>
      </c>
      <c r="B293" t="s">
        <v>189</v>
      </c>
      <c r="C293" t="s">
        <v>81</v>
      </c>
      <c r="D293" t="s">
        <v>409</v>
      </c>
      <c r="E293" t="s">
        <v>190</v>
      </c>
      <c r="F293">
        <v>2</v>
      </c>
      <c r="G293" t="s">
        <v>326</v>
      </c>
      <c r="H293" s="2">
        <f>INDEX(Data!G:G,MATCH(G293,Data!A:A,0),1)</f>
        <v>0.12876363322314929</v>
      </c>
      <c r="I293" s="2">
        <f>INDEX(Data!J:J,MATCH(G293,Data!A:A,0),1)</f>
        <v>9.509036148184509E-2</v>
      </c>
      <c r="J293" s="2">
        <f>INDEX(Data!R:R,MATCH(G293,Data!A:A,0),1)</f>
        <v>3.0746807959647584</v>
      </c>
      <c r="K293" s="2">
        <f>INDEX(Data!S:S,MATCH(G293,Data!A:A,0),1)</f>
        <v>0</v>
      </c>
      <c r="L293" t="str">
        <f t="shared" si="4"/>
        <v>Installations for the manufacture of ceramic products by firing, in particular roofing tiles, bricks, refractory bricks, tiles, stoneware or porcelain_Manufacture of other non-metallic mineral products n.e.c.</v>
      </c>
      <c r="M293">
        <f>INDEX(Data!AD:AD,MATCH($G293,Data!$A:$A,0),1)</f>
        <v>0.6</v>
      </c>
      <c r="N293">
        <f>INDEX(Data!AE:AE,MATCH($G293,Data!$A:$A,0),1)</f>
        <v>0.59799999999999998</v>
      </c>
      <c r="O293">
        <f>INDEX(Data!AG:AG,MATCH($G293,Data!$A:$A,0),1)</f>
        <v>1.1022133959071165</v>
      </c>
      <c r="P293">
        <f>INDEX(Data!AH:AH,MATCH($G293,Data!$A:$A,0),1)</f>
        <v>1.455542145135519</v>
      </c>
      <c r="Q293">
        <f>IFERROR(IF(MATCH(B293,#REF!,0)&gt;0,1),0)</f>
        <v>0</v>
      </c>
    </row>
    <row r="294" spans="1:17" x14ac:dyDescent="0.2">
      <c r="A294" t="s">
        <v>102</v>
      </c>
      <c r="B294" t="s">
        <v>200</v>
      </c>
      <c r="C294" t="s">
        <v>89</v>
      </c>
      <c r="D294" t="s">
        <v>403</v>
      </c>
      <c r="E294" t="s">
        <v>15</v>
      </c>
      <c r="F294">
        <v>1</v>
      </c>
      <c r="G294" t="s">
        <v>325</v>
      </c>
      <c r="H294" s="2">
        <f>INDEX(Data!G:G,MATCH(G294,Data!A:A,0),1)</f>
        <v>5.79E-2</v>
      </c>
      <c r="I294" s="2">
        <f>INDEX(Data!J:J,MATCH(G294,Data!A:A,0),1)</f>
        <v>4.2599999999999999E-2</v>
      </c>
      <c r="J294" s="2">
        <f>INDEX(Data!R:R,MATCH(G294,Data!A:A,0),1)</f>
        <v>1</v>
      </c>
      <c r="K294" s="2">
        <f>INDEX(Data!S:S,MATCH(G294,Data!A:A,0),1)</f>
        <v>0</v>
      </c>
      <c r="L294" t="str">
        <f t="shared" si="4"/>
        <v>Installations for the manufacture of ceramic products by firing, in particular roofing tiles, bricks, refractory bricks, tiles, stoneware or porcelain_Manufacture of other products of wood</v>
      </c>
      <c r="M294">
        <f>INDEX(Data!AD:AD,MATCH($G294,Data!$A:$A,0),1)</f>
        <v>0.78200000000000003</v>
      </c>
      <c r="N294">
        <f>INDEX(Data!AE:AE,MATCH($G294,Data!$A:$A,0),1)</f>
        <v>0.63500000000000001</v>
      </c>
      <c r="O294">
        <f>INDEX(Data!AG:AG,MATCH($G294,Data!$A:$A,0),1)</f>
        <v>1.1486856676492798</v>
      </c>
      <c r="P294">
        <f>INDEX(Data!AH:AH,MATCH($G294,Data!$A:$A,0),1)</f>
        <v>1.7068864766411047</v>
      </c>
      <c r="Q294">
        <f>IFERROR(IF(MATCH(B294,#REF!,0)&gt;0,1),0)</f>
        <v>0</v>
      </c>
    </row>
    <row r="295" spans="1:17" x14ac:dyDescent="0.2">
      <c r="A295" t="s">
        <v>102</v>
      </c>
      <c r="B295" t="s">
        <v>225</v>
      </c>
      <c r="C295" t="s">
        <v>81</v>
      </c>
      <c r="D295" t="s">
        <v>409</v>
      </c>
      <c r="E295" t="s">
        <v>331</v>
      </c>
      <c r="F295">
        <v>14</v>
      </c>
      <c r="G295" t="s">
        <v>332</v>
      </c>
      <c r="H295" s="2">
        <f>INDEX(Data!G:G,MATCH(G295,Data!A:A,0),1)</f>
        <v>1.8</v>
      </c>
      <c r="I295" s="2">
        <f>INDEX(Data!J:J,MATCH(G295,Data!A:A,0),1)</f>
        <v>1.8</v>
      </c>
      <c r="J295" s="2">
        <f>INDEX(Data!R:R,MATCH(G295,Data!A:A,0),1)</f>
        <v>5.378400000000001</v>
      </c>
      <c r="K295" s="2">
        <f>INDEX(Data!S:S,MATCH(G295,Data!A:A,0),1)</f>
        <v>0</v>
      </c>
      <c r="L295" t="str">
        <f t="shared" si="4"/>
        <v>Installations for the manufacture of ceramic products by firing, in particular roofing tiles, bricks, refractory bricks, tiles, stoneware or porcelain_Manufacture of refractory products</v>
      </c>
      <c r="M295">
        <f>INDEX(Data!AD:AD,MATCH($G295,Data!$A:$A,0),1)</f>
        <v>0.6</v>
      </c>
      <c r="N295">
        <f>INDEX(Data!AE:AE,MATCH($G295,Data!$A:$A,0),1)</f>
        <v>0.59799999999999998</v>
      </c>
      <c r="O295">
        <f>INDEX(Data!AG:AG,MATCH($G295,Data!$A:$A,0),1)</f>
        <v>1.2551691331611463</v>
      </c>
      <c r="P295">
        <f>INDEX(Data!AH:AH,MATCH($G295,Data!$A:$A,0),1)</f>
        <v>2.4027505261813573</v>
      </c>
      <c r="Q295">
        <f>IFERROR(IF(MATCH(B295,#REF!,0)&gt;0,1),0)</f>
        <v>0</v>
      </c>
    </row>
    <row r="296" spans="1:17" x14ac:dyDescent="0.2">
      <c r="A296" s="2" t="s">
        <v>102</v>
      </c>
      <c r="D296" t="s">
        <v>409</v>
      </c>
      <c r="E296">
        <v>0</v>
      </c>
      <c r="G296" t="s">
        <v>326</v>
      </c>
      <c r="H296" s="2">
        <f>INDEX(Data!G:G,MATCH(G296,Data!A:A,0),1)</f>
        <v>0.12876363322314929</v>
      </c>
      <c r="I296" s="2">
        <f>INDEX(Data!J:J,MATCH(G296,Data!A:A,0),1)</f>
        <v>9.509036148184509E-2</v>
      </c>
      <c r="J296" s="2">
        <f>INDEX(Data!R:R,MATCH(G296,Data!A:A,0),1)</f>
        <v>3.0746807959647584</v>
      </c>
      <c r="K296" s="2">
        <f>INDEX(Data!S:S,MATCH(G296,Data!A:A,0),1)</f>
        <v>0</v>
      </c>
      <c r="L296" t="str">
        <f t="shared" si="4"/>
        <v>Installations for the manufacture of ceramic products by firing, in particular roofing tiles, bricks, refractory bricks, tiles, stoneware or porcelain</v>
      </c>
      <c r="M296">
        <f>INDEX(Data!AD:AD,MATCH($G296,Data!$A:$A,0),1)</f>
        <v>0.6</v>
      </c>
      <c r="N296">
        <f>INDEX(Data!AE:AE,MATCH($G296,Data!$A:$A,0),1)</f>
        <v>0.59799999999999998</v>
      </c>
      <c r="O296">
        <f>INDEX(Data!AG:AG,MATCH($G296,Data!$A:$A,0),1)</f>
        <v>1.1022133959071165</v>
      </c>
      <c r="P296">
        <f>INDEX(Data!AH:AH,MATCH($G296,Data!$A:$A,0),1)</f>
        <v>1.455542145135519</v>
      </c>
      <c r="Q296">
        <f>IFERROR(IF(MATCH(B296,#REF!,0)&gt;0,1),0)</f>
        <v>0</v>
      </c>
    </row>
    <row r="297" spans="1:17" x14ac:dyDescent="0.2">
      <c r="A297" t="s">
        <v>83</v>
      </c>
      <c r="B297" t="s">
        <v>205</v>
      </c>
      <c r="C297" t="s">
        <v>81</v>
      </c>
      <c r="D297" t="s">
        <v>409</v>
      </c>
      <c r="E297" t="s">
        <v>101</v>
      </c>
      <c r="F297">
        <v>1</v>
      </c>
      <c r="G297" t="s">
        <v>326</v>
      </c>
      <c r="H297" s="2">
        <f>INDEX(Data!G:G,MATCH(G297,Data!A:A,0),1)</f>
        <v>0.12876363322314929</v>
      </c>
      <c r="I297" s="2">
        <f>INDEX(Data!J:J,MATCH(G297,Data!A:A,0),1)</f>
        <v>9.509036148184509E-2</v>
      </c>
      <c r="J297" s="2">
        <f>INDEX(Data!R:R,MATCH(G297,Data!A:A,0),1)</f>
        <v>3.0746807959647584</v>
      </c>
      <c r="K297" s="2">
        <f>INDEX(Data!S:S,MATCH(G297,Data!A:A,0),1)</f>
        <v>0</v>
      </c>
      <c r="L297" t="str">
        <f t="shared" si="4"/>
        <v>Installations for the manufacture of glass including glass fibre_Manufacture of other technical ceramic products</v>
      </c>
      <c r="M297">
        <f>INDEX(Data!AD:AD,MATCH($G297,Data!$A:$A,0),1)</f>
        <v>0.6</v>
      </c>
      <c r="N297">
        <f>INDEX(Data!AE:AE,MATCH($G297,Data!$A:$A,0),1)</f>
        <v>0.59799999999999998</v>
      </c>
      <c r="O297">
        <f>INDEX(Data!AG:AG,MATCH($G297,Data!$A:$A,0),1)</f>
        <v>1.1022133959071165</v>
      </c>
      <c r="P297">
        <f>INDEX(Data!AH:AH,MATCH($G297,Data!$A:$A,0),1)</f>
        <v>1.455542145135519</v>
      </c>
      <c r="Q297">
        <f>IFERROR(IF(MATCH(B297,#REF!,0)&gt;0,1),0)</f>
        <v>0</v>
      </c>
    </row>
    <row r="298" spans="1:17" x14ac:dyDescent="0.2">
      <c r="A298" t="s">
        <v>83</v>
      </c>
      <c r="B298" t="s">
        <v>80</v>
      </c>
      <c r="C298" t="s">
        <v>81</v>
      </c>
      <c r="D298" t="s">
        <v>409</v>
      </c>
      <c r="E298" t="s">
        <v>82</v>
      </c>
      <c r="F298">
        <v>2</v>
      </c>
      <c r="G298" t="s">
        <v>351</v>
      </c>
      <c r="H298" s="2">
        <f>INDEX(Data!G:G,MATCH(G298,Data!A:A,0),1)</f>
        <v>0.44693420519106453</v>
      </c>
      <c r="I298" s="2">
        <f>INDEX(Data!J:J,MATCH(G298,Data!A:A,0),1)</f>
        <v>0.32449753999236403</v>
      </c>
      <c r="J298" s="2">
        <f>INDEX(Data!R:R,MATCH(G298,Data!A:A,0),1)</f>
        <v>8.3851770965800991</v>
      </c>
      <c r="K298" s="2">
        <f>INDEX(Data!S:S,MATCH(G298,Data!A:A,0),1)</f>
        <v>0</v>
      </c>
      <c r="L298" t="str">
        <f t="shared" si="4"/>
        <v>Installations for the manufacture of glass including glass fibre_Manufacture and processing of other glass, including technical glassware</v>
      </c>
      <c r="M298">
        <f>INDEX(Data!AD:AD,MATCH($G298,Data!$A:$A,0),1)</f>
        <v>0.6</v>
      </c>
      <c r="N298">
        <f>INDEX(Data!AE:AE,MATCH($G298,Data!$A:$A,0),1)</f>
        <v>0.59799999999999998</v>
      </c>
      <c r="O298">
        <f>INDEX(Data!AG:AG,MATCH($G298,Data!$A:$A,0),1)</f>
        <v>1.1805916207174112</v>
      </c>
      <c r="P298">
        <f>INDEX(Data!AH:AH,MATCH($G298,Data!$A:$A,0),1)</f>
        <v>1.6217124671972132</v>
      </c>
      <c r="Q298">
        <f>IFERROR(IF(MATCH(B298,#REF!,0)&gt;0,1),0)</f>
        <v>0</v>
      </c>
    </row>
    <row r="299" spans="1:17" x14ac:dyDescent="0.2">
      <c r="A299" t="s">
        <v>83</v>
      </c>
      <c r="B299" t="s">
        <v>138</v>
      </c>
      <c r="C299" t="s">
        <v>81</v>
      </c>
      <c r="D299" t="s">
        <v>409</v>
      </c>
      <c r="E299" t="s">
        <v>82</v>
      </c>
      <c r="F299">
        <v>10</v>
      </c>
      <c r="G299" t="s">
        <v>351</v>
      </c>
      <c r="H299" s="2">
        <f>INDEX(Data!G:G,MATCH(G299,Data!A:A,0),1)</f>
        <v>0.44693420519106453</v>
      </c>
      <c r="I299" s="2">
        <f>INDEX(Data!J:J,MATCH(G299,Data!A:A,0),1)</f>
        <v>0.32449753999236403</v>
      </c>
      <c r="J299" s="2">
        <f>INDEX(Data!R:R,MATCH(G299,Data!A:A,0),1)</f>
        <v>8.3851770965800991</v>
      </c>
      <c r="K299" s="2">
        <f>INDEX(Data!S:S,MATCH(G299,Data!A:A,0),1)</f>
        <v>0</v>
      </c>
      <c r="L299" t="str">
        <f t="shared" si="4"/>
        <v>Installations for the manufacture of glass including glass fibre_Manufacture of flat glass</v>
      </c>
      <c r="M299">
        <f>INDEX(Data!AD:AD,MATCH($G299,Data!$A:$A,0),1)</f>
        <v>0.6</v>
      </c>
      <c r="N299">
        <f>INDEX(Data!AE:AE,MATCH($G299,Data!$A:$A,0),1)</f>
        <v>0.59799999999999998</v>
      </c>
      <c r="O299">
        <f>INDEX(Data!AG:AG,MATCH($G299,Data!$A:$A,0),1)</f>
        <v>1.1805916207174112</v>
      </c>
      <c r="P299">
        <f>INDEX(Data!AH:AH,MATCH($G299,Data!$A:$A,0),1)</f>
        <v>1.6217124671972132</v>
      </c>
      <c r="Q299">
        <f>IFERROR(IF(MATCH(B299,#REF!,0)&gt;0,1),0)</f>
        <v>0</v>
      </c>
    </row>
    <row r="300" spans="1:17" x14ac:dyDescent="0.2">
      <c r="A300" t="s">
        <v>83</v>
      </c>
      <c r="B300" t="s">
        <v>146</v>
      </c>
      <c r="C300" t="s">
        <v>81</v>
      </c>
      <c r="D300" t="s">
        <v>409</v>
      </c>
      <c r="E300" t="s">
        <v>82</v>
      </c>
      <c r="F300">
        <v>10</v>
      </c>
      <c r="G300" t="s">
        <v>351</v>
      </c>
      <c r="H300" s="2">
        <f>INDEX(Data!G:G,MATCH(G300,Data!A:A,0),1)</f>
        <v>0.44693420519106453</v>
      </c>
      <c r="I300" s="2">
        <f>INDEX(Data!J:J,MATCH(G300,Data!A:A,0),1)</f>
        <v>0.32449753999236403</v>
      </c>
      <c r="J300" s="2">
        <f>INDEX(Data!R:R,MATCH(G300,Data!A:A,0),1)</f>
        <v>8.3851770965800991</v>
      </c>
      <c r="K300" s="2">
        <f>INDEX(Data!S:S,MATCH(G300,Data!A:A,0),1)</f>
        <v>0</v>
      </c>
      <c r="L300" t="str">
        <f t="shared" si="4"/>
        <v>Installations for the manufacture of glass including glass fibre_Manufacture of hollow glass</v>
      </c>
      <c r="M300">
        <f>INDEX(Data!AD:AD,MATCH($G300,Data!$A:$A,0),1)</f>
        <v>0.6</v>
      </c>
      <c r="N300">
        <f>INDEX(Data!AE:AE,MATCH($G300,Data!$A:$A,0),1)</f>
        <v>0.59799999999999998</v>
      </c>
      <c r="O300">
        <f>INDEX(Data!AG:AG,MATCH($G300,Data!$A:$A,0),1)</f>
        <v>1.1805916207174112</v>
      </c>
      <c r="P300">
        <f>INDEX(Data!AH:AH,MATCH($G300,Data!$A:$A,0),1)</f>
        <v>1.6217124671972132</v>
      </c>
      <c r="Q300">
        <f>IFERROR(IF(MATCH(B300,#REF!,0)&gt;0,1),0)</f>
        <v>0</v>
      </c>
    </row>
    <row r="301" spans="1:17" x14ac:dyDescent="0.2">
      <c r="A301" t="s">
        <v>83</v>
      </c>
      <c r="B301" t="s">
        <v>207</v>
      </c>
      <c r="C301" t="s">
        <v>95</v>
      </c>
      <c r="D301" t="s">
        <v>409</v>
      </c>
      <c r="E301" t="s">
        <v>82</v>
      </c>
      <c r="F301">
        <v>2</v>
      </c>
      <c r="G301" t="s">
        <v>351</v>
      </c>
      <c r="H301" s="2">
        <f>INDEX(Data!G:G,MATCH(G301,Data!A:A,0),1)</f>
        <v>0.44693420519106453</v>
      </c>
      <c r="I301" s="2">
        <f>INDEX(Data!J:J,MATCH(G301,Data!A:A,0),1)</f>
        <v>0.32449753999236403</v>
      </c>
      <c r="J301" s="2">
        <f>INDEX(Data!R:R,MATCH(G301,Data!A:A,0),1)</f>
        <v>8.3851770965800991</v>
      </c>
      <c r="K301" s="2">
        <f>INDEX(Data!S:S,MATCH(G301,Data!A:A,0),1)</f>
        <v>0</v>
      </c>
      <c r="L301" t="str">
        <f t="shared" si="4"/>
        <v>Installations for the manufacture of glass including glass fibre_Manufacture of paints, varnishes and similar coatings, printing ink and mastics</v>
      </c>
      <c r="M301">
        <f>INDEX(Data!AD:AD,MATCH($G301,Data!$A:$A,0),1)</f>
        <v>0.6</v>
      </c>
      <c r="N301">
        <f>INDEX(Data!AE:AE,MATCH($G301,Data!$A:$A,0),1)</f>
        <v>0.59799999999999998</v>
      </c>
      <c r="O301">
        <f>INDEX(Data!AG:AG,MATCH($G301,Data!$A:$A,0),1)</f>
        <v>1.1805916207174112</v>
      </c>
      <c r="P301">
        <f>INDEX(Data!AH:AH,MATCH($G301,Data!$A:$A,0),1)</f>
        <v>1.6217124671972132</v>
      </c>
      <c r="Q301">
        <f>IFERROR(IF(MATCH(B301,#REF!,0)&gt;0,1),0)</f>
        <v>0</v>
      </c>
    </row>
    <row r="302" spans="1:17" x14ac:dyDescent="0.2">
      <c r="A302" t="s">
        <v>83</v>
      </c>
      <c r="B302" t="s">
        <v>141</v>
      </c>
      <c r="C302" t="s">
        <v>81</v>
      </c>
      <c r="D302" t="s">
        <v>409</v>
      </c>
      <c r="E302" t="s">
        <v>142</v>
      </c>
      <c r="F302">
        <v>4</v>
      </c>
      <c r="G302" t="s">
        <v>350</v>
      </c>
      <c r="H302" s="2">
        <f>INDEX(Data!G:G,MATCH(G302,Data!A:A,0),1)</f>
        <v>0.73925352948672385</v>
      </c>
      <c r="I302" s="2">
        <f>INDEX(Data!J:J,MATCH(G302,Data!A:A,0),1)</f>
        <v>0.50052641550481702</v>
      </c>
      <c r="J302" s="2">
        <f>INDEX(Data!R:R,MATCH(G302,Data!A:A,0),1)</f>
        <v>4.9320000000000004</v>
      </c>
      <c r="K302" s="2">
        <f>INDEX(Data!S:S,MATCH(G302,Data!A:A,0),1)</f>
        <v>0</v>
      </c>
      <c r="L302" t="str">
        <f t="shared" si="4"/>
        <v>Installations for the manufacture of glass including glass fibre_Manufacture of glass fibres</v>
      </c>
      <c r="M302">
        <f>INDEX(Data!AD:AD,MATCH($G302,Data!$A:$A,0),1)</f>
        <v>0.6</v>
      </c>
      <c r="N302">
        <f>INDEX(Data!AE:AE,MATCH($G302,Data!$A:$A,0),1)</f>
        <v>0.59799999999999998</v>
      </c>
      <c r="O302">
        <f>INDEX(Data!AG:AG,MATCH($G302,Data!$A:$A,0),1)</f>
        <v>1.1208357193825378</v>
      </c>
      <c r="P302">
        <f>INDEX(Data!AH:AH,MATCH($G302,Data!$A:$A,0),1)</f>
        <v>1.4950234870125214</v>
      </c>
      <c r="Q302">
        <f>IFERROR(IF(MATCH(B302,#REF!,0)&gt;0,1),0)</f>
        <v>0</v>
      </c>
    </row>
    <row r="303" spans="1:17" x14ac:dyDescent="0.2">
      <c r="A303" t="s">
        <v>83</v>
      </c>
      <c r="B303" t="s">
        <v>238</v>
      </c>
      <c r="C303" t="s">
        <v>89</v>
      </c>
      <c r="D303" t="s">
        <v>403</v>
      </c>
      <c r="E303" t="s">
        <v>15</v>
      </c>
      <c r="F303">
        <v>1</v>
      </c>
      <c r="G303" t="s">
        <v>325</v>
      </c>
      <c r="H303" s="2">
        <f>INDEX(Data!G:G,MATCH(G303,Data!A:A,0),1)</f>
        <v>5.79E-2</v>
      </c>
      <c r="I303" s="2">
        <f>INDEX(Data!J:J,MATCH(G303,Data!A:A,0),1)</f>
        <v>4.2599999999999999E-2</v>
      </c>
      <c r="J303" s="2">
        <f>INDEX(Data!R:R,MATCH(G303,Data!A:A,0),1)</f>
        <v>1</v>
      </c>
      <c r="K303" s="2">
        <f>INDEX(Data!S:S,MATCH(G303,Data!A:A,0),1)</f>
        <v>0</v>
      </c>
      <c r="L303" t="str">
        <f t="shared" si="4"/>
        <v>Installations for the manufacture of glass including glass fibre_Manufacture of veneer sheets and wood-based panels</v>
      </c>
      <c r="M303">
        <f>INDEX(Data!AD:AD,MATCH($G303,Data!$A:$A,0),1)</f>
        <v>0.78200000000000003</v>
      </c>
      <c r="N303">
        <f>INDEX(Data!AE:AE,MATCH($G303,Data!$A:$A,0),1)</f>
        <v>0.63500000000000001</v>
      </c>
      <c r="O303">
        <f>INDEX(Data!AG:AG,MATCH($G303,Data!$A:$A,0),1)</f>
        <v>1.1486856676492798</v>
      </c>
      <c r="P303">
        <f>INDEX(Data!AH:AH,MATCH($G303,Data!$A:$A,0),1)</f>
        <v>1.7068864766411047</v>
      </c>
      <c r="Q303">
        <f>IFERROR(IF(MATCH(B303,#REF!,0)&gt;0,1),0)</f>
        <v>0</v>
      </c>
    </row>
    <row r="304" spans="1:17" x14ac:dyDescent="0.2">
      <c r="A304" s="2" t="s">
        <v>83</v>
      </c>
      <c r="D304" t="s">
        <v>409</v>
      </c>
      <c r="E304">
        <v>0</v>
      </c>
      <c r="G304" t="s">
        <v>351</v>
      </c>
      <c r="H304" s="2">
        <f>INDEX(Data!G:G,MATCH(G304,Data!A:A,0),1)</f>
        <v>0.44693420519106453</v>
      </c>
      <c r="I304" s="2">
        <f>INDEX(Data!J:J,MATCH(G304,Data!A:A,0),1)</f>
        <v>0.32449753999236403</v>
      </c>
      <c r="J304" s="2">
        <f>INDEX(Data!R:R,MATCH(G304,Data!A:A,0),1)</f>
        <v>8.3851770965800991</v>
      </c>
      <c r="K304" s="2">
        <f>INDEX(Data!S:S,MATCH(G304,Data!A:A,0),1)</f>
        <v>0</v>
      </c>
      <c r="L304" t="str">
        <f t="shared" si="4"/>
        <v>Installations for the manufacture of glass including glass fibre</v>
      </c>
      <c r="M304">
        <f>INDEX(Data!AD:AD,MATCH($G304,Data!$A:$A,0),1)</f>
        <v>0.6</v>
      </c>
      <c r="N304">
        <f>INDEX(Data!AE:AE,MATCH($G304,Data!$A:$A,0),1)</f>
        <v>0.59799999999999998</v>
      </c>
      <c r="O304">
        <f>INDEX(Data!AG:AG,MATCH($G304,Data!$A:$A,0),1)</f>
        <v>1.1805916207174112</v>
      </c>
      <c r="P304">
        <f>INDEX(Data!AH:AH,MATCH($G304,Data!$A:$A,0),1)</f>
        <v>1.6217124671972132</v>
      </c>
      <c r="Q304">
        <f>IFERROR(IF(MATCH(B304,#REF!,0)&gt;0,1),0)</f>
        <v>0</v>
      </c>
    </row>
    <row r="305" spans="1:17" x14ac:dyDescent="0.2">
      <c r="A305" t="s">
        <v>107</v>
      </c>
      <c r="B305" t="s">
        <v>105</v>
      </c>
      <c r="C305" t="s">
        <v>81</v>
      </c>
      <c r="D305" t="s">
        <v>409</v>
      </c>
      <c r="E305" t="s">
        <v>106</v>
      </c>
      <c r="F305">
        <v>14</v>
      </c>
      <c r="G305" t="s">
        <v>327</v>
      </c>
      <c r="H305" s="2">
        <f>INDEX(Data!G:G,MATCH(G305,Data!A:A,0),1)</f>
        <v>0.81745070728588098</v>
      </c>
      <c r="I305" s="2">
        <f>INDEX(Data!J:J,MATCH(G305,Data!A:A,0),1)</f>
        <v>0.6991394038416423</v>
      </c>
      <c r="J305" s="2">
        <f>INDEX(Data!R:R,MATCH(G305,Data!A:A,0),1)</f>
        <v>4.3200000000000021</v>
      </c>
      <c r="K305" s="2">
        <f>INDEX(Data!S:S,MATCH(G305,Data!A:A,0),1)</f>
        <v>0</v>
      </c>
      <c r="L305" t="str">
        <f t="shared" si="4"/>
        <v>Installations for the production of cement clinker in rotary kilns or lime in rotary kilns or in other furnaces_Manufacture of cement</v>
      </c>
      <c r="M305">
        <f>INDEX(Data!AD:AD,MATCH($G305,Data!$A:$A,0),1)</f>
        <v>0.6</v>
      </c>
      <c r="N305">
        <f>INDEX(Data!AE:AE,MATCH($G305,Data!$A:$A,0),1)</f>
        <v>0.59799999999999998</v>
      </c>
      <c r="O305">
        <f>INDEX(Data!AG:AG,MATCH($G305,Data!$A:$A,0),1)</f>
        <v>1.7474276218071669</v>
      </c>
      <c r="P305">
        <f>INDEX(Data!AH:AH,MATCH($G305,Data!$A:$A,0),1)</f>
        <v>11.543912994239886</v>
      </c>
      <c r="Q305">
        <f>IFERROR(IF(MATCH(B305,#REF!,0)&gt;0,1),0)</f>
        <v>0</v>
      </c>
    </row>
    <row r="306" spans="1:17" x14ac:dyDescent="0.2">
      <c r="A306" t="s">
        <v>107</v>
      </c>
      <c r="B306" t="s">
        <v>154</v>
      </c>
      <c r="C306" t="s">
        <v>81</v>
      </c>
      <c r="D306" t="s">
        <v>409</v>
      </c>
      <c r="E306" t="s">
        <v>155</v>
      </c>
      <c r="F306">
        <v>12</v>
      </c>
      <c r="G306" t="s">
        <v>337</v>
      </c>
      <c r="H306" s="2">
        <f>INDEX(Data!G:G,MATCH(G306,Data!A:A,0),1)</f>
        <v>1.0858855073623837</v>
      </c>
      <c r="I306" s="2">
        <f>INDEX(Data!J:J,MATCH(G306,Data!A:A,0),1)</f>
        <v>0.76053043758401917</v>
      </c>
      <c r="J306" s="2">
        <f>INDEX(Data!R:R,MATCH(G306,Data!A:A,0),1)</f>
        <v>3.7079999999999997</v>
      </c>
      <c r="K306" s="2">
        <f>INDEX(Data!S:S,MATCH(G306,Data!A:A,0),1)</f>
        <v>0</v>
      </c>
      <c r="L306" t="str">
        <f t="shared" si="4"/>
        <v>Installations for the production of cement clinker in rotary kilns or lime in rotary kilns or in other furnaces_Manufacture of lime and plaster</v>
      </c>
      <c r="M306">
        <f>INDEX(Data!AD:AD,MATCH($G306,Data!$A:$A,0),1)</f>
        <v>0.6</v>
      </c>
      <c r="N306">
        <f>INDEX(Data!AE:AE,MATCH($G306,Data!$A:$A,0),1)</f>
        <v>0.59799999999999998</v>
      </c>
      <c r="O306">
        <f>INDEX(Data!AG:AG,MATCH($G306,Data!$A:$A,0),1)</f>
        <v>1.948717100000001</v>
      </c>
      <c r="P306">
        <f>INDEX(Data!AH:AH,MATCH($G306,Data!$A:$A,0),1)</f>
        <v>118.49939476920679</v>
      </c>
      <c r="Q306">
        <f>IFERROR(IF(MATCH(B306,#REF!,0)&gt;0,1),0)</f>
        <v>0</v>
      </c>
    </row>
    <row r="307" spans="1:17" x14ac:dyDescent="0.2">
      <c r="A307" t="s">
        <v>107</v>
      </c>
      <c r="B307" t="s">
        <v>230</v>
      </c>
      <c r="C307" t="s">
        <v>113</v>
      </c>
      <c r="D307" t="s">
        <v>403</v>
      </c>
      <c r="E307" t="s">
        <v>15</v>
      </c>
      <c r="F307">
        <v>2</v>
      </c>
      <c r="G307" t="s">
        <v>325</v>
      </c>
      <c r="H307" s="2">
        <f>INDEX(Data!G:G,MATCH(G307,Data!A:A,0),1)</f>
        <v>5.79E-2</v>
      </c>
      <c r="I307" s="2">
        <f>INDEX(Data!J:J,MATCH(G307,Data!A:A,0),1)</f>
        <v>4.2599999999999999E-2</v>
      </c>
      <c r="J307" s="2">
        <f>INDEX(Data!R:R,MATCH(G307,Data!A:A,0),1)</f>
        <v>1</v>
      </c>
      <c r="K307" s="2">
        <f>INDEX(Data!S:S,MATCH(G307,Data!A:A,0),1)</f>
        <v>0</v>
      </c>
      <c r="L307" t="str">
        <f t="shared" si="4"/>
        <v>Installations for the production of cement clinker in rotary kilns or lime in rotary kilns or in other furnaces_Manufacture of sugar</v>
      </c>
      <c r="M307">
        <f>INDEX(Data!AD:AD,MATCH($G307,Data!$A:$A,0),1)</f>
        <v>0.78200000000000003</v>
      </c>
      <c r="N307">
        <f>INDEX(Data!AE:AE,MATCH($G307,Data!$A:$A,0),1)</f>
        <v>0.63500000000000001</v>
      </c>
      <c r="O307">
        <f>INDEX(Data!AG:AG,MATCH($G307,Data!$A:$A,0),1)</f>
        <v>1.1486856676492798</v>
      </c>
      <c r="P307">
        <f>INDEX(Data!AH:AH,MATCH($G307,Data!$A:$A,0),1)</f>
        <v>1.7068864766411047</v>
      </c>
      <c r="Q307">
        <f>IFERROR(IF(MATCH(B307,#REF!,0)&gt;0,1),0)</f>
        <v>0</v>
      </c>
    </row>
    <row r="308" spans="1:17" x14ac:dyDescent="0.2">
      <c r="A308" s="2" t="s">
        <v>107</v>
      </c>
      <c r="D308" t="s">
        <v>409</v>
      </c>
      <c r="E308">
        <v>0</v>
      </c>
      <c r="G308" t="s">
        <v>327</v>
      </c>
      <c r="H308" s="2">
        <f>INDEX(Data!G:G,MATCH(G308,Data!A:A,0),1)</f>
        <v>0.81745070728588098</v>
      </c>
      <c r="I308" s="2">
        <f>INDEX(Data!J:J,MATCH(G308,Data!A:A,0),1)</f>
        <v>0.6991394038416423</v>
      </c>
      <c r="J308" s="2">
        <f>INDEX(Data!R:R,MATCH(G308,Data!A:A,0),1)</f>
        <v>4.3200000000000021</v>
      </c>
      <c r="K308" s="2">
        <f>INDEX(Data!S:S,MATCH(G308,Data!A:A,0),1)</f>
        <v>0</v>
      </c>
      <c r="L308" t="str">
        <f t="shared" si="4"/>
        <v>Installations for the production of cement clinker in rotary kilns or lime in rotary kilns or in other furnaces</v>
      </c>
      <c r="M308">
        <f>INDEX(Data!AD:AD,MATCH($G308,Data!$A:$A,0),1)</f>
        <v>0.6</v>
      </c>
      <c r="N308">
        <f>INDEX(Data!AE:AE,MATCH($G308,Data!$A:$A,0),1)</f>
        <v>0.59799999999999998</v>
      </c>
      <c r="O308">
        <f>INDEX(Data!AG:AG,MATCH($G308,Data!$A:$A,0),1)</f>
        <v>1.7474276218071669</v>
      </c>
      <c r="P308">
        <f>INDEX(Data!AH:AH,MATCH($G308,Data!$A:$A,0),1)</f>
        <v>11.543912994239886</v>
      </c>
      <c r="Q308">
        <f>IFERROR(IF(MATCH(B308,#REF!,0)&gt;0,1),0)</f>
        <v>0</v>
      </c>
    </row>
    <row r="309" spans="1:17" x14ac:dyDescent="0.2">
      <c r="A309" t="s">
        <v>91</v>
      </c>
      <c r="B309" t="s">
        <v>90</v>
      </c>
      <c r="C309" t="s">
        <v>6</v>
      </c>
      <c r="D309" t="s">
        <v>237</v>
      </c>
      <c r="E309" t="s">
        <v>237</v>
      </c>
      <c r="F309">
        <v>13</v>
      </c>
      <c r="G309" s="2" t="s">
        <v>377</v>
      </c>
      <c r="H309" s="2">
        <f>INDEX(Data!G:G,MATCH(G309,Data!A:A,0),1)</f>
        <v>1.4950000000000001</v>
      </c>
      <c r="I309" s="2">
        <f>INDEX(Data!J:J,MATCH(G309,Data!A:A,0),1)</f>
        <v>1.288</v>
      </c>
      <c r="J309" s="2">
        <f>INDEX(Data!R:R,MATCH(G309,Data!A:A,0),1)</f>
        <v>14.976000000000001</v>
      </c>
      <c r="K309" s="2">
        <f>INDEX(Data!S:S,MATCH(G309,Data!A:A,0),1)</f>
        <v>6.8039999999999985</v>
      </c>
      <c r="L309" t="str">
        <f t="shared" si="4"/>
        <v>Installations for the production of pig iron or steel (primary or secondary fusion) including continuous casting_Manufacture of basic iron and steel and of ferro-alloys</v>
      </c>
      <c r="M309">
        <f>INDEX(Data!AD:AD,MATCH($G309,Data!$A:$A,0),1)</f>
        <v>0.48099999999999998</v>
      </c>
      <c r="N309">
        <f>INDEX(Data!AE:AE,MATCH($G309,Data!$A:$A,0),1)</f>
        <v>0.41199999999999992</v>
      </c>
      <c r="O309">
        <f>INDEX(Data!AG:AG,MATCH($G309,Data!$A:$A,0),1)</f>
        <v>1.2895889249131132</v>
      </c>
      <c r="P309">
        <f>INDEX(Data!AH:AH,MATCH($G309,Data!$A:$A,0),1)</f>
        <v>0.59422748497442568</v>
      </c>
      <c r="Q309">
        <f>IFERROR(IF(MATCH(B309,#REF!,0)&gt;0,1),0)</f>
        <v>0</v>
      </c>
    </row>
    <row r="310" spans="1:17" x14ac:dyDescent="0.2">
      <c r="A310" t="s">
        <v>91</v>
      </c>
      <c r="B310" t="s">
        <v>196</v>
      </c>
      <c r="C310" t="s">
        <v>99</v>
      </c>
      <c r="D310" t="s">
        <v>403</v>
      </c>
      <c r="E310" t="s">
        <v>15</v>
      </c>
      <c r="F310">
        <v>1</v>
      </c>
      <c r="G310" t="s">
        <v>325</v>
      </c>
      <c r="H310" s="2">
        <f>INDEX(Data!G:G,MATCH(G310,Data!A:A,0),1)</f>
        <v>5.79E-2</v>
      </c>
      <c r="I310" s="2">
        <f>INDEX(Data!J:J,MATCH(G310,Data!A:A,0),1)</f>
        <v>4.2599999999999999E-2</v>
      </c>
      <c r="J310" s="2">
        <f>INDEX(Data!R:R,MATCH(G310,Data!A:A,0),1)</f>
        <v>1</v>
      </c>
      <c r="K310" s="2">
        <f>INDEX(Data!S:S,MATCH(G310,Data!A:A,0),1)</f>
        <v>0</v>
      </c>
      <c r="L310" t="str">
        <f t="shared" si="4"/>
        <v>Installations for the production of pig iron or steel (primary or secondary fusion) including continuous casting_Manufacture of other parts and accessories for motor vehicles</v>
      </c>
      <c r="M310">
        <f>INDEX(Data!AD:AD,MATCH($G310,Data!$A:$A,0),1)</f>
        <v>0.78200000000000003</v>
      </c>
      <c r="N310">
        <f>INDEX(Data!AE:AE,MATCH($G310,Data!$A:$A,0),1)</f>
        <v>0.63500000000000001</v>
      </c>
      <c r="O310">
        <f>INDEX(Data!AG:AG,MATCH($G310,Data!$A:$A,0),1)</f>
        <v>1.1486856676492798</v>
      </c>
      <c r="P310">
        <f>INDEX(Data!AH:AH,MATCH($G310,Data!$A:$A,0),1)</f>
        <v>1.7068864766411047</v>
      </c>
      <c r="Q310">
        <f>IFERROR(IF(MATCH(B310,#REF!,0)&gt;0,1),0)</f>
        <v>0</v>
      </c>
    </row>
    <row r="311" spans="1:17" x14ac:dyDescent="0.2">
      <c r="A311" s="2" t="s">
        <v>91</v>
      </c>
      <c r="D311" t="s">
        <v>237</v>
      </c>
      <c r="E311">
        <v>0</v>
      </c>
      <c r="G311" t="s">
        <v>377</v>
      </c>
      <c r="H311" s="2">
        <f>INDEX(Data!G:G,MATCH(G311,Data!A:A,0),1)</f>
        <v>1.4950000000000001</v>
      </c>
      <c r="I311" s="2">
        <f>INDEX(Data!J:J,MATCH(G311,Data!A:A,0),1)</f>
        <v>1.288</v>
      </c>
      <c r="J311" s="2">
        <f>INDEX(Data!R:R,MATCH(G311,Data!A:A,0),1)</f>
        <v>14.976000000000001</v>
      </c>
      <c r="K311" s="2">
        <f>INDEX(Data!S:S,MATCH(G311,Data!A:A,0),1)</f>
        <v>6.8039999999999985</v>
      </c>
      <c r="L311" t="str">
        <f t="shared" si="4"/>
        <v>Installations for the production of pig iron or steel (primary or secondary fusion) including continuous casting</v>
      </c>
      <c r="M311">
        <f>INDEX(Data!AD:AD,MATCH($G311,Data!$A:$A,0),1)</f>
        <v>0.48099999999999998</v>
      </c>
      <c r="N311">
        <f>INDEX(Data!AE:AE,MATCH($G311,Data!$A:$A,0),1)</f>
        <v>0.41199999999999992</v>
      </c>
      <c r="O311">
        <f>INDEX(Data!AG:AG,MATCH($G311,Data!$A:$A,0),1)</f>
        <v>1.2895889249131132</v>
      </c>
      <c r="P311">
        <f>INDEX(Data!AH:AH,MATCH($G311,Data!$A:$A,0),1)</f>
        <v>0.59422748497442568</v>
      </c>
      <c r="Q311">
        <f>IFERROR(IF(MATCH(B311,#REF!,0)&gt;0,1),0)</f>
        <v>0</v>
      </c>
    </row>
    <row r="312" spans="1:17" x14ac:dyDescent="0.2">
      <c r="A312" t="s">
        <v>12</v>
      </c>
      <c r="B312" t="s">
        <v>5</v>
      </c>
      <c r="C312" t="s">
        <v>6</v>
      </c>
      <c r="D312" t="s">
        <v>256</v>
      </c>
      <c r="E312" t="s">
        <v>7</v>
      </c>
      <c r="F312">
        <v>1</v>
      </c>
      <c r="G312" t="s">
        <v>324</v>
      </c>
      <c r="H312" s="2">
        <f>INDEX(Data!G:G,MATCH(G312,Data!A:A,0),1)</f>
        <v>1.641</v>
      </c>
      <c r="I312" s="2">
        <f>INDEX(Data!J:J,MATCH(G312,Data!A:A,0),1)</f>
        <v>1.464</v>
      </c>
      <c r="J312" s="2">
        <f>INDEX(Data!R:R,MATCH(G312,Data!A:A,0),1)</f>
        <v>12.024000000000001</v>
      </c>
      <c r="K312" s="2">
        <f>INDEX(Data!S:S,MATCH(G312,Data!A:A,0),1)</f>
        <v>0</v>
      </c>
      <c r="L312" t="str">
        <f t="shared" si="4"/>
        <v>Manufacture of ceramics_Aluminium production</v>
      </c>
      <c r="M312">
        <f>INDEX(Data!AD:AD,MATCH($G312,Data!$A:$A,0),1)</f>
        <v>0.80400000000000005</v>
      </c>
      <c r="N312">
        <f>INDEX(Data!AE:AE,MATCH($G312,Data!$A:$A,0),1)</f>
        <v>0.85799999999999998</v>
      </c>
      <c r="O312">
        <f>INDEX(Data!AG:AG,MATCH($G312,Data!$A:$A,0),1)</f>
        <v>1.3517721377141791</v>
      </c>
      <c r="P312">
        <f>INDEX(Data!AH:AH,MATCH($G312,Data!$A:$A,0),1)</f>
        <v>3.1982577724511621</v>
      </c>
      <c r="Q312">
        <f>IFERROR(IF(MATCH(B312,#REF!,0)&gt;0,1),0)</f>
        <v>0</v>
      </c>
    </row>
    <row r="313" spans="1:17" x14ac:dyDescent="0.2">
      <c r="A313" t="s">
        <v>12</v>
      </c>
      <c r="B313" t="s">
        <v>100</v>
      </c>
      <c r="C313" t="s">
        <v>81</v>
      </c>
      <c r="D313" t="s">
        <v>409</v>
      </c>
      <c r="E313" t="s">
        <v>101</v>
      </c>
      <c r="F313">
        <v>473</v>
      </c>
      <c r="G313" t="s">
        <v>326</v>
      </c>
      <c r="H313" s="2">
        <f>INDEX(Data!G:G,MATCH(G313,Data!A:A,0),1)</f>
        <v>0.12876363322314929</v>
      </c>
      <c r="I313" s="2">
        <f>INDEX(Data!J:J,MATCH(G313,Data!A:A,0),1)</f>
        <v>9.509036148184509E-2</v>
      </c>
      <c r="J313" s="2">
        <f>INDEX(Data!R:R,MATCH(G313,Data!A:A,0),1)</f>
        <v>3.0746807959647584</v>
      </c>
      <c r="K313" s="2">
        <f>INDEX(Data!S:S,MATCH(G313,Data!A:A,0),1)</f>
        <v>0</v>
      </c>
      <c r="L313" t="str">
        <f t="shared" si="4"/>
        <v>Manufacture of ceramics_Manufacture of bricks, tiles and construction products, in baked clay</v>
      </c>
      <c r="M313">
        <f>INDEX(Data!AD:AD,MATCH($G313,Data!$A:$A,0),1)</f>
        <v>0.6</v>
      </c>
      <c r="N313">
        <f>INDEX(Data!AE:AE,MATCH($G313,Data!$A:$A,0),1)</f>
        <v>0.59799999999999998</v>
      </c>
      <c r="O313">
        <f>INDEX(Data!AG:AG,MATCH($G313,Data!$A:$A,0),1)</f>
        <v>1.1022133959071165</v>
      </c>
      <c r="P313">
        <f>INDEX(Data!AH:AH,MATCH($G313,Data!$A:$A,0),1)</f>
        <v>1.455542145135519</v>
      </c>
      <c r="Q313">
        <f>IFERROR(IF(MATCH(B313,#REF!,0)&gt;0,1),0)</f>
        <v>0</v>
      </c>
    </row>
    <row r="314" spans="1:17" x14ac:dyDescent="0.2">
      <c r="A314" t="s">
        <v>12</v>
      </c>
      <c r="B314" t="s">
        <v>108</v>
      </c>
      <c r="C314" t="s">
        <v>81</v>
      </c>
      <c r="D314" t="s">
        <v>409</v>
      </c>
      <c r="E314" t="s">
        <v>101</v>
      </c>
      <c r="F314">
        <v>5</v>
      </c>
      <c r="G314" t="s">
        <v>326</v>
      </c>
      <c r="H314" s="2">
        <f>INDEX(Data!G:G,MATCH(G314,Data!A:A,0),1)</f>
        <v>0.12876363322314929</v>
      </c>
      <c r="I314" s="2">
        <f>INDEX(Data!J:J,MATCH(G314,Data!A:A,0),1)</f>
        <v>9.509036148184509E-2</v>
      </c>
      <c r="J314" s="2">
        <f>INDEX(Data!R:R,MATCH(G314,Data!A:A,0),1)</f>
        <v>3.0746807959647584</v>
      </c>
      <c r="K314" s="2">
        <f>INDEX(Data!S:S,MATCH(G314,Data!A:A,0),1)</f>
        <v>0</v>
      </c>
      <c r="L314" t="str">
        <f t="shared" si="4"/>
        <v>Manufacture of ceramics_Manufacture of ceramic household and ornamental articles</v>
      </c>
      <c r="M314">
        <f>INDEX(Data!AD:AD,MATCH($G314,Data!$A:$A,0),1)</f>
        <v>0.6</v>
      </c>
      <c r="N314">
        <f>INDEX(Data!AE:AE,MATCH($G314,Data!$A:$A,0),1)</f>
        <v>0.59799999999999998</v>
      </c>
      <c r="O314">
        <f>INDEX(Data!AG:AG,MATCH($G314,Data!$A:$A,0),1)</f>
        <v>1.1022133959071165</v>
      </c>
      <c r="P314">
        <f>INDEX(Data!AH:AH,MATCH($G314,Data!$A:$A,0),1)</f>
        <v>1.455542145135519</v>
      </c>
      <c r="Q314">
        <f>IFERROR(IF(MATCH(B314,#REF!,0)&gt;0,1),0)</f>
        <v>0</v>
      </c>
    </row>
    <row r="315" spans="1:17" x14ac:dyDescent="0.2">
      <c r="A315" t="s">
        <v>12</v>
      </c>
      <c r="B315" t="s">
        <v>110</v>
      </c>
      <c r="C315" t="s">
        <v>81</v>
      </c>
      <c r="D315" t="s">
        <v>409</v>
      </c>
      <c r="E315" t="s">
        <v>101</v>
      </c>
      <c r="F315">
        <v>9</v>
      </c>
      <c r="G315" t="s">
        <v>326</v>
      </c>
      <c r="H315" s="2">
        <f>INDEX(Data!G:G,MATCH(G315,Data!A:A,0),1)</f>
        <v>0.12876363322314929</v>
      </c>
      <c r="I315" s="2">
        <f>INDEX(Data!J:J,MATCH(G315,Data!A:A,0),1)</f>
        <v>9.509036148184509E-2</v>
      </c>
      <c r="J315" s="2">
        <f>INDEX(Data!R:R,MATCH(G315,Data!A:A,0),1)</f>
        <v>3.0746807959647584</v>
      </c>
      <c r="K315" s="2">
        <f>INDEX(Data!S:S,MATCH(G315,Data!A:A,0),1)</f>
        <v>0</v>
      </c>
      <c r="L315" t="str">
        <f t="shared" si="4"/>
        <v>Manufacture of ceramics_Manufacture of ceramic sanitary fixtures</v>
      </c>
      <c r="M315">
        <f>INDEX(Data!AD:AD,MATCH($G315,Data!$A:$A,0),1)</f>
        <v>0.6</v>
      </c>
      <c r="N315">
        <f>INDEX(Data!AE:AE,MATCH($G315,Data!$A:$A,0),1)</f>
        <v>0.59799999999999998</v>
      </c>
      <c r="O315">
        <f>INDEX(Data!AG:AG,MATCH($G315,Data!$A:$A,0),1)</f>
        <v>1.1022133959071165</v>
      </c>
      <c r="P315">
        <f>INDEX(Data!AH:AH,MATCH($G315,Data!$A:$A,0),1)</f>
        <v>1.455542145135519</v>
      </c>
      <c r="Q315">
        <f>IFERROR(IF(MATCH(B315,#REF!,0)&gt;0,1),0)</f>
        <v>0</v>
      </c>
    </row>
    <row r="316" spans="1:17" x14ac:dyDescent="0.2">
      <c r="A316" t="s">
        <v>12</v>
      </c>
      <c r="B316" t="s">
        <v>111</v>
      </c>
      <c r="C316" t="s">
        <v>81</v>
      </c>
      <c r="D316" t="s">
        <v>409</v>
      </c>
      <c r="E316" t="s">
        <v>101</v>
      </c>
      <c r="F316">
        <v>235</v>
      </c>
      <c r="G316" t="s">
        <v>326</v>
      </c>
      <c r="H316" s="2">
        <f>INDEX(Data!G:G,MATCH(G316,Data!A:A,0),1)</f>
        <v>0.12876363322314929</v>
      </c>
      <c r="I316" s="2">
        <f>INDEX(Data!J:J,MATCH(G316,Data!A:A,0),1)</f>
        <v>9.509036148184509E-2</v>
      </c>
      <c r="J316" s="2">
        <f>INDEX(Data!R:R,MATCH(G316,Data!A:A,0),1)</f>
        <v>3.0746807959647584</v>
      </c>
      <c r="K316" s="2">
        <f>INDEX(Data!S:S,MATCH(G316,Data!A:A,0),1)</f>
        <v>0</v>
      </c>
      <c r="L316" t="str">
        <f t="shared" si="4"/>
        <v>Manufacture of ceramics_Manufacture of ceramic tiles and flags</v>
      </c>
      <c r="M316">
        <f>INDEX(Data!AD:AD,MATCH($G316,Data!$A:$A,0),1)</f>
        <v>0.6</v>
      </c>
      <c r="N316">
        <f>INDEX(Data!AE:AE,MATCH($G316,Data!$A:$A,0),1)</f>
        <v>0.59799999999999998</v>
      </c>
      <c r="O316">
        <f>INDEX(Data!AG:AG,MATCH($G316,Data!$A:$A,0),1)</f>
        <v>1.1022133959071165</v>
      </c>
      <c r="P316">
        <f>INDEX(Data!AH:AH,MATCH($G316,Data!$A:$A,0),1)</f>
        <v>1.455542145135519</v>
      </c>
      <c r="Q316">
        <f>IFERROR(IF(MATCH(B316,#REF!,0)&gt;0,1),0)</f>
        <v>0</v>
      </c>
    </row>
    <row r="317" spans="1:17" x14ac:dyDescent="0.2">
      <c r="A317" t="s">
        <v>12</v>
      </c>
      <c r="B317" t="s">
        <v>166</v>
      </c>
      <c r="C317" t="s">
        <v>81</v>
      </c>
      <c r="D317" t="s">
        <v>409</v>
      </c>
      <c r="E317" t="s">
        <v>101</v>
      </c>
      <c r="F317">
        <v>2</v>
      </c>
      <c r="G317" t="s">
        <v>326</v>
      </c>
      <c r="H317" s="2">
        <f>INDEX(Data!G:G,MATCH(G317,Data!A:A,0),1)</f>
        <v>0.12876363322314929</v>
      </c>
      <c r="I317" s="2">
        <f>INDEX(Data!J:J,MATCH(G317,Data!A:A,0),1)</f>
        <v>9.509036148184509E-2</v>
      </c>
      <c r="J317" s="2">
        <f>INDEX(Data!R:R,MATCH(G317,Data!A:A,0),1)</f>
        <v>3.0746807959647584</v>
      </c>
      <c r="K317" s="2">
        <f>INDEX(Data!S:S,MATCH(G317,Data!A:A,0),1)</f>
        <v>0</v>
      </c>
      <c r="L317" t="str">
        <f t="shared" si="4"/>
        <v>Manufacture of ceramics_Manufacture of mortars</v>
      </c>
      <c r="M317">
        <f>INDEX(Data!AD:AD,MATCH($G317,Data!$A:$A,0),1)</f>
        <v>0.6</v>
      </c>
      <c r="N317">
        <f>INDEX(Data!AE:AE,MATCH($G317,Data!$A:$A,0),1)</f>
        <v>0.59799999999999998</v>
      </c>
      <c r="O317">
        <f>INDEX(Data!AG:AG,MATCH($G317,Data!$A:$A,0),1)</f>
        <v>1.1022133959071165</v>
      </c>
      <c r="P317">
        <f>INDEX(Data!AH:AH,MATCH($G317,Data!$A:$A,0),1)</f>
        <v>1.455542145135519</v>
      </c>
      <c r="Q317">
        <f>IFERROR(IF(MATCH(B317,#REF!,0)&gt;0,1),0)</f>
        <v>0</v>
      </c>
    </row>
    <row r="318" spans="1:17" x14ac:dyDescent="0.2">
      <c r="A318" t="s">
        <v>12</v>
      </c>
      <c r="B318" t="s">
        <v>199</v>
      </c>
      <c r="C318" t="s">
        <v>81</v>
      </c>
      <c r="D318" t="s">
        <v>409</v>
      </c>
      <c r="E318" t="s">
        <v>101</v>
      </c>
      <c r="F318">
        <v>1</v>
      </c>
      <c r="G318" t="s">
        <v>326</v>
      </c>
      <c r="H318" s="2">
        <f>INDEX(Data!G:G,MATCH(G318,Data!A:A,0),1)</f>
        <v>0.12876363322314929</v>
      </c>
      <c r="I318" s="2">
        <f>INDEX(Data!J:J,MATCH(G318,Data!A:A,0),1)</f>
        <v>9.509036148184509E-2</v>
      </c>
      <c r="J318" s="2">
        <f>INDEX(Data!R:R,MATCH(G318,Data!A:A,0),1)</f>
        <v>3.0746807959647584</v>
      </c>
      <c r="K318" s="2">
        <f>INDEX(Data!S:S,MATCH(G318,Data!A:A,0),1)</f>
        <v>0</v>
      </c>
      <c r="L318" t="str">
        <f t="shared" si="4"/>
        <v>Manufacture of ceramics_Manufacture of other porcelain and ceramic products</v>
      </c>
      <c r="M318">
        <f>INDEX(Data!AD:AD,MATCH($G318,Data!$A:$A,0),1)</f>
        <v>0.6</v>
      </c>
      <c r="N318">
        <f>INDEX(Data!AE:AE,MATCH($G318,Data!$A:$A,0),1)</f>
        <v>0.59799999999999998</v>
      </c>
      <c r="O318">
        <f>INDEX(Data!AG:AG,MATCH($G318,Data!$A:$A,0),1)</f>
        <v>1.1022133959071165</v>
      </c>
      <c r="P318">
        <f>INDEX(Data!AH:AH,MATCH($G318,Data!$A:$A,0),1)</f>
        <v>1.455542145135519</v>
      </c>
      <c r="Q318">
        <f>IFERROR(IF(MATCH(B318,#REF!,0)&gt;0,1),0)</f>
        <v>0</v>
      </c>
    </row>
    <row r="319" spans="1:17" x14ac:dyDescent="0.2">
      <c r="A319" t="s">
        <v>12</v>
      </c>
      <c r="B319" t="s">
        <v>205</v>
      </c>
      <c r="C319" t="s">
        <v>81</v>
      </c>
      <c r="D319" t="s">
        <v>409</v>
      </c>
      <c r="E319" t="s">
        <v>101</v>
      </c>
      <c r="F319">
        <v>3</v>
      </c>
      <c r="G319" t="s">
        <v>326</v>
      </c>
      <c r="H319" s="2">
        <f>INDEX(Data!G:G,MATCH(G319,Data!A:A,0),1)</f>
        <v>0.12876363322314929</v>
      </c>
      <c r="I319" s="2">
        <f>INDEX(Data!J:J,MATCH(G319,Data!A:A,0),1)</f>
        <v>9.509036148184509E-2</v>
      </c>
      <c r="J319" s="2">
        <f>INDEX(Data!R:R,MATCH(G319,Data!A:A,0),1)</f>
        <v>3.0746807959647584</v>
      </c>
      <c r="K319" s="2">
        <f>INDEX(Data!S:S,MATCH(G319,Data!A:A,0),1)</f>
        <v>0</v>
      </c>
      <c r="L319" t="str">
        <f t="shared" si="4"/>
        <v>Manufacture of ceramics_Manufacture of other technical ceramic products</v>
      </c>
      <c r="M319">
        <f>INDEX(Data!AD:AD,MATCH($G319,Data!$A:$A,0),1)</f>
        <v>0.6</v>
      </c>
      <c r="N319">
        <f>INDEX(Data!AE:AE,MATCH($G319,Data!$A:$A,0),1)</f>
        <v>0.59799999999999998</v>
      </c>
      <c r="O319">
        <f>INDEX(Data!AG:AG,MATCH($G319,Data!$A:$A,0),1)</f>
        <v>1.1022133959071165</v>
      </c>
      <c r="P319">
        <f>INDEX(Data!AH:AH,MATCH($G319,Data!$A:$A,0),1)</f>
        <v>1.455542145135519</v>
      </c>
      <c r="Q319">
        <f>IFERROR(IF(MATCH(B319,#REF!,0)&gt;0,1),0)</f>
        <v>0</v>
      </c>
    </row>
    <row r="320" spans="1:17" x14ac:dyDescent="0.2">
      <c r="A320" t="s">
        <v>12</v>
      </c>
      <c r="B320" t="s">
        <v>185</v>
      </c>
      <c r="C320" t="s">
        <v>95</v>
      </c>
      <c r="D320" t="s">
        <v>95</v>
      </c>
      <c r="E320" t="s">
        <v>95</v>
      </c>
      <c r="F320">
        <v>1</v>
      </c>
      <c r="G320" t="s">
        <v>349</v>
      </c>
      <c r="H320" s="2">
        <f>INDEX(Data!G:G,MATCH(G320,Data!A:A,0),1)</f>
        <v>1.5967631163208207</v>
      </c>
      <c r="I320" s="2">
        <f>INDEX(Data!J:J,MATCH(G320,Data!A:A,0),1)</f>
        <v>1.2656396050839946</v>
      </c>
      <c r="J320" s="2">
        <f>INDEX(Data!R:R,MATCH(G320,Data!A:A,0),1)</f>
        <v>3.2911730425008185</v>
      </c>
      <c r="K320" s="2">
        <f>INDEX(Data!S:S,MATCH(G320,Data!A:A,0),1)</f>
        <v>10.213571642020407</v>
      </c>
      <c r="L320" t="str">
        <f t="shared" si="4"/>
        <v>Manufacture of ceramics_Manufacture of other inorganic basic chemicals</v>
      </c>
      <c r="M320">
        <f>INDEX(Data!AD:AD,MATCH($G320,Data!$A:$A,0),1)</f>
        <v>0.81200000000000028</v>
      </c>
      <c r="N320">
        <f>INDEX(Data!AE:AE,MATCH($G320,Data!$A:$A,0),1)</f>
        <v>0.73899999999999999</v>
      </c>
      <c r="O320">
        <f>INDEX(Data!AG:AG,MATCH($G320,Data!$A:$A,0),1)</f>
        <v>1.3556812573212713</v>
      </c>
      <c r="P320">
        <f>INDEX(Data!AH:AH,MATCH($G320,Data!$A:$A,0),1)</f>
        <v>3.2322103139373444</v>
      </c>
      <c r="Q320">
        <f>IFERROR(IF(MATCH(B320,#REF!,0)&gt;0,1),0)</f>
        <v>0</v>
      </c>
    </row>
    <row r="321" spans="1:17" x14ac:dyDescent="0.2">
      <c r="A321" t="s">
        <v>12</v>
      </c>
      <c r="B321" t="s">
        <v>80</v>
      </c>
      <c r="C321" t="s">
        <v>81</v>
      </c>
      <c r="D321" t="s">
        <v>409</v>
      </c>
      <c r="E321" t="s">
        <v>82</v>
      </c>
      <c r="F321">
        <v>1</v>
      </c>
      <c r="G321" t="s">
        <v>351</v>
      </c>
      <c r="H321" s="2">
        <f>INDEX(Data!G:G,MATCH(G321,Data!A:A,0),1)</f>
        <v>0.44693420519106453</v>
      </c>
      <c r="I321" s="2">
        <f>INDEX(Data!J:J,MATCH(G321,Data!A:A,0),1)</f>
        <v>0.32449753999236403</v>
      </c>
      <c r="J321" s="2">
        <f>INDEX(Data!R:R,MATCH(G321,Data!A:A,0),1)</f>
        <v>8.3851770965800991</v>
      </c>
      <c r="K321" s="2">
        <f>INDEX(Data!S:S,MATCH(G321,Data!A:A,0),1)</f>
        <v>0</v>
      </c>
      <c r="L321" t="str">
        <f t="shared" si="4"/>
        <v>Manufacture of ceramics_Manufacture and processing of other glass, including technical glassware</v>
      </c>
      <c r="M321">
        <f>INDEX(Data!AD:AD,MATCH($G321,Data!$A:$A,0),1)</f>
        <v>0.6</v>
      </c>
      <c r="N321">
        <f>INDEX(Data!AE:AE,MATCH($G321,Data!$A:$A,0),1)</f>
        <v>0.59799999999999998</v>
      </c>
      <c r="O321">
        <f>INDEX(Data!AG:AG,MATCH($G321,Data!$A:$A,0),1)</f>
        <v>1.1805916207174112</v>
      </c>
      <c r="P321">
        <f>INDEX(Data!AH:AH,MATCH($G321,Data!$A:$A,0),1)</f>
        <v>1.6217124671972132</v>
      </c>
      <c r="Q321">
        <f>IFERROR(IF(MATCH(B321,#REF!,0)&gt;0,1),0)</f>
        <v>0</v>
      </c>
    </row>
    <row r="322" spans="1:17" x14ac:dyDescent="0.2">
      <c r="A322" t="s">
        <v>12</v>
      </c>
      <c r="B322" t="s">
        <v>254</v>
      </c>
      <c r="C322" t="s">
        <v>58</v>
      </c>
      <c r="D322" t="s">
        <v>403</v>
      </c>
      <c r="E322" t="s">
        <v>242</v>
      </c>
      <c r="F322">
        <v>2</v>
      </c>
      <c r="G322" t="s">
        <v>325</v>
      </c>
      <c r="H322" s="2">
        <f>INDEX(Data!G:G,MATCH(G322,Data!A:A,0),1)</f>
        <v>5.79E-2</v>
      </c>
      <c r="I322" s="2">
        <f>INDEX(Data!J:J,MATCH(G322,Data!A:A,0),1)</f>
        <v>4.2599999999999999E-2</v>
      </c>
      <c r="J322" s="2">
        <f>INDEX(Data!R:R,MATCH(G322,Data!A:A,0),1)</f>
        <v>1</v>
      </c>
      <c r="K322" s="2">
        <f>INDEX(Data!S:S,MATCH(G322,Data!A:A,0),1)</f>
        <v>0</v>
      </c>
      <c r="L322" t="str">
        <f t="shared" ref="L322:L385" si="5">IF(B322="",A322,A322&amp;"_"&amp;B322)</f>
        <v>Manufacture of ceramics_Other mining and quarrying n.e.c.</v>
      </c>
      <c r="M322">
        <f>INDEX(Data!AD:AD,MATCH($G322,Data!$A:$A,0),1)</f>
        <v>0.78200000000000003</v>
      </c>
      <c r="N322">
        <f>INDEX(Data!AE:AE,MATCH($G322,Data!$A:$A,0),1)</f>
        <v>0.63500000000000001</v>
      </c>
      <c r="O322">
        <f>INDEX(Data!AG:AG,MATCH($G322,Data!$A:$A,0),1)</f>
        <v>1.1486856676492798</v>
      </c>
      <c r="P322">
        <f>INDEX(Data!AH:AH,MATCH($G322,Data!$A:$A,0),1)</f>
        <v>1.7068864766411047</v>
      </c>
      <c r="Q322">
        <f>IFERROR(IF(MATCH(B322,#REF!,0)&gt;0,1),0)</f>
        <v>0</v>
      </c>
    </row>
    <row r="323" spans="1:17" x14ac:dyDescent="0.2">
      <c r="A323" t="s">
        <v>12</v>
      </c>
      <c r="B323" t="s">
        <v>189</v>
      </c>
      <c r="C323" t="s">
        <v>81</v>
      </c>
      <c r="D323" t="s">
        <v>409</v>
      </c>
      <c r="E323" t="s">
        <v>190</v>
      </c>
      <c r="F323">
        <v>9</v>
      </c>
      <c r="G323" t="s">
        <v>326</v>
      </c>
      <c r="H323" s="2">
        <f>INDEX(Data!G:G,MATCH(G323,Data!A:A,0),1)</f>
        <v>0.12876363322314929</v>
      </c>
      <c r="I323" s="2">
        <f>INDEX(Data!J:J,MATCH(G323,Data!A:A,0),1)</f>
        <v>9.509036148184509E-2</v>
      </c>
      <c r="J323" s="2">
        <f>INDEX(Data!R:R,MATCH(G323,Data!A:A,0),1)</f>
        <v>3.0746807959647584</v>
      </c>
      <c r="K323" s="2">
        <f>INDEX(Data!S:S,MATCH(G323,Data!A:A,0),1)</f>
        <v>0</v>
      </c>
      <c r="L323" t="str">
        <f t="shared" si="5"/>
        <v>Manufacture of ceramics_Manufacture of other non-metallic mineral products n.e.c.</v>
      </c>
      <c r="M323">
        <f>INDEX(Data!AD:AD,MATCH($G323,Data!$A:$A,0),1)</f>
        <v>0.6</v>
      </c>
      <c r="N323">
        <f>INDEX(Data!AE:AE,MATCH($G323,Data!$A:$A,0),1)</f>
        <v>0.59799999999999998</v>
      </c>
      <c r="O323">
        <f>INDEX(Data!AG:AG,MATCH($G323,Data!$A:$A,0),1)</f>
        <v>1.1022133959071165</v>
      </c>
      <c r="P323">
        <f>INDEX(Data!AH:AH,MATCH($G323,Data!$A:$A,0),1)</f>
        <v>1.455542145135519</v>
      </c>
      <c r="Q323">
        <f>IFERROR(IF(MATCH(B323,#REF!,0)&gt;0,1),0)</f>
        <v>0</v>
      </c>
    </row>
    <row r="324" spans="1:17" x14ac:dyDescent="0.2">
      <c r="A324" t="s">
        <v>12</v>
      </c>
      <c r="B324" t="s">
        <v>175</v>
      </c>
      <c r="C324" t="s">
        <v>81</v>
      </c>
      <c r="D324" t="s">
        <v>403</v>
      </c>
      <c r="E324" t="s">
        <v>15</v>
      </c>
      <c r="F324">
        <v>2</v>
      </c>
      <c r="G324" t="s">
        <v>325</v>
      </c>
      <c r="H324" s="2">
        <f>INDEX(Data!G:G,MATCH(G324,Data!A:A,0),1)</f>
        <v>5.79E-2</v>
      </c>
      <c r="I324" s="2">
        <f>INDEX(Data!J:J,MATCH(G324,Data!A:A,0),1)</f>
        <v>4.2599999999999999E-2</v>
      </c>
      <c r="J324" s="2">
        <f>INDEX(Data!R:R,MATCH(G324,Data!A:A,0),1)</f>
        <v>1</v>
      </c>
      <c r="K324" s="2">
        <f>INDEX(Data!S:S,MATCH(G324,Data!A:A,0),1)</f>
        <v>0</v>
      </c>
      <c r="L324" t="str">
        <f t="shared" si="5"/>
        <v>Manufacture of ceramics_Manufacture of other ceramic products</v>
      </c>
      <c r="M324">
        <f>INDEX(Data!AD:AD,MATCH($G324,Data!$A:$A,0),1)</f>
        <v>0.78200000000000003</v>
      </c>
      <c r="N324">
        <f>INDEX(Data!AE:AE,MATCH($G324,Data!$A:$A,0),1)</f>
        <v>0.63500000000000001</v>
      </c>
      <c r="O324">
        <f>INDEX(Data!AG:AG,MATCH($G324,Data!$A:$A,0),1)</f>
        <v>1.1486856676492798</v>
      </c>
      <c r="P324">
        <f>INDEX(Data!AH:AH,MATCH($G324,Data!$A:$A,0),1)</f>
        <v>1.7068864766411047</v>
      </c>
      <c r="Q324">
        <f>IFERROR(IF(MATCH(B324,#REF!,0)&gt;0,1),0)</f>
        <v>0</v>
      </c>
    </row>
    <row r="325" spans="1:17" x14ac:dyDescent="0.2">
      <c r="A325" t="s">
        <v>12</v>
      </c>
      <c r="B325" t="s">
        <v>47</v>
      </c>
      <c r="C325" t="s">
        <v>44</v>
      </c>
      <c r="D325" t="s">
        <v>45</v>
      </c>
      <c r="E325" t="s">
        <v>45</v>
      </c>
      <c r="F325">
        <v>1</v>
      </c>
      <c r="G325" t="s">
        <v>325</v>
      </c>
      <c r="H325" s="2">
        <f>INDEX(Data!G:G,MATCH(G325,Data!A:A,0),1)</f>
        <v>5.79E-2</v>
      </c>
      <c r="I325" s="2">
        <f>INDEX(Data!J:J,MATCH(G325,Data!A:A,0),1)</f>
        <v>4.2599999999999999E-2</v>
      </c>
      <c r="J325" s="2">
        <f>INDEX(Data!R:R,MATCH(G325,Data!A:A,0),1)</f>
        <v>1</v>
      </c>
      <c r="K325" s="2">
        <f>INDEX(Data!S:S,MATCH(G325,Data!A:A,0),1)</f>
        <v>0</v>
      </c>
      <c r="L325" t="str">
        <f t="shared" si="5"/>
        <v>Manufacture of ceramics_Electric power generation, transmission and distribution</v>
      </c>
      <c r="M325">
        <f>INDEX(Data!AD:AD,MATCH($G325,Data!$A:$A,0),1)</f>
        <v>0.78200000000000003</v>
      </c>
      <c r="N325">
        <f>INDEX(Data!AE:AE,MATCH($G325,Data!$A:$A,0),1)</f>
        <v>0.63500000000000001</v>
      </c>
      <c r="O325">
        <f>INDEX(Data!AG:AG,MATCH($G325,Data!$A:$A,0),1)</f>
        <v>1.1486856676492798</v>
      </c>
      <c r="P325">
        <f>INDEX(Data!AH:AH,MATCH($G325,Data!$A:$A,0),1)</f>
        <v>1.7068864766411047</v>
      </c>
      <c r="Q325">
        <f>IFERROR(IF(MATCH(B325,#REF!,0)&gt;0,1),0)</f>
        <v>0</v>
      </c>
    </row>
    <row r="326" spans="1:17" x14ac:dyDescent="0.2">
      <c r="A326" t="s">
        <v>12</v>
      </c>
      <c r="B326" t="s">
        <v>44</v>
      </c>
      <c r="C326" t="s">
        <v>44</v>
      </c>
      <c r="D326" t="s">
        <v>45</v>
      </c>
      <c r="E326" t="s">
        <v>45</v>
      </c>
      <c r="F326">
        <v>2</v>
      </c>
      <c r="G326" t="s">
        <v>329</v>
      </c>
      <c r="H326" s="2">
        <f>INDEX(Data!G:G,MATCH(G326,Data!A:A,0),1)</f>
        <v>7.6799999999999993E-2</v>
      </c>
      <c r="I326" s="2">
        <f>INDEX(Data!J:J,MATCH(G326,Data!A:A,0),1)</f>
        <v>4.7300000000000002E-2</v>
      </c>
      <c r="J326" s="2">
        <f>INDEX(Data!R:R,MATCH(G326,Data!A:A,0),1)</f>
        <v>1</v>
      </c>
      <c r="K326" s="2">
        <f>INDEX(Data!S:S,MATCH(G326,Data!A:A,0),1)</f>
        <v>0</v>
      </c>
      <c r="L326" t="str">
        <f t="shared" si="5"/>
        <v>Manufacture of ceramics_Electricity, gas, steam and air conditioning supply</v>
      </c>
      <c r="M326">
        <f>INDEX(Data!AD:AD,MATCH($G326,Data!$A:$A,0),1)</f>
        <v>0.78200000000000003</v>
      </c>
      <c r="N326">
        <f>INDEX(Data!AE:AE,MATCH($G326,Data!$A:$A,0),1)</f>
        <v>0.63500000000000001</v>
      </c>
      <c r="O326">
        <f>INDEX(Data!AG:AG,MATCH($G326,Data!$A:$A,0),1)</f>
        <v>1.1486856676492798</v>
      </c>
      <c r="P326">
        <f>INDEX(Data!AH:AH,MATCH($G326,Data!$A:$A,0),1)</f>
        <v>1.7068864766411047</v>
      </c>
      <c r="Q326">
        <f>IFERROR(IF(MATCH(B326,#REF!,0)&gt;0,1),0)</f>
        <v>0</v>
      </c>
    </row>
    <row r="327" spans="1:17" x14ac:dyDescent="0.2">
      <c r="A327" t="s">
        <v>12</v>
      </c>
      <c r="B327" t="s">
        <v>225</v>
      </c>
      <c r="C327" t="s">
        <v>81</v>
      </c>
      <c r="D327" t="s">
        <v>409</v>
      </c>
      <c r="E327" t="s">
        <v>331</v>
      </c>
      <c r="F327">
        <v>32</v>
      </c>
      <c r="G327" t="s">
        <v>332</v>
      </c>
      <c r="H327" s="2">
        <f>INDEX(Data!G:G,MATCH(G327,Data!A:A,0),1)</f>
        <v>1.8</v>
      </c>
      <c r="I327" s="2">
        <f>INDEX(Data!J:J,MATCH(G327,Data!A:A,0),1)</f>
        <v>1.8</v>
      </c>
      <c r="J327" s="2">
        <f>INDEX(Data!R:R,MATCH(G327,Data!A:A,0),1)</f>
        <v>5.378400000000001</v>
      </c>
      <c r="K327" s="2">
        <f>INDEX(Data!S:S,MATCH(G327,Data!A:A,0),1)</f>
        <v>0</v>
      </c>
      <c r="L327" t="str">
        <f t="shared" si="5"/>
        <v>Manufacture of ceramics_Manufacture of refractory products</v>
      </c>
      <c r="M327">
        <f>INDEX(Data!AD:AD,MATCH($G327,Data!$A:$A,0),1)</f>
        <v>0.6</v>
      </c>
      <c r="N327">
        <f>INDEX(Data!AE:AE,MATCH($G327,Data!$A:$A,0),1)</f>
        <v>0.59799999999999998</v>
      </c>
      <c r="O327">
        <f>INDEX(Data!AG:AG,MATCH($G327,Data!$A:$A,0),1)</f>
        <v>1.2551691331611463</v>
      </c>
      <c r="P327">
        <f>INDEX(Data!AH:AH,MATCH($G327,Data!$A:$A,0),1)</f>
        <v>2.4027505261813573</v>
      </c>
      <c r="Q327">
        <f>IFERROR(IF(MATCH(B327,#REF!,0)&gt;0,1),0)</f>
        <v>0</v>
      </c>
    </row>
    <row r="328" spans="1:17" x14ac:dyDescent="0.2">
      <c r="A328" s="2" t="s">
        <v>12</v>
      </c>
      <c r="D328" t="s">
        <v>409</v>
      </c>
      <c r="E328">
        <v>0</v>
      </c>
      <c r="G328" t="s">
        <v>326</v>
      </c>
      <c r="H328" s="2">
        <f>INDEX(Data!G:G,MATCH(G328,Data!A:A,0),1)</f>
        <v>0.12876363322314929</v>
      </c>
      <c r="I328" s="2">
        <f>INDEX(Data!J:J,MATCH(G328,Data!A:A,0),1)</f>
        <v>9.509036148184509E-2</v>
      </c>
      <c r="J328" s="2">
        <f>INDEX(Data!R:R,MATCH(G328,Data!A:A,0),1)</f>
        <v>3.0746807959647584</v>
      </c>
      <c r="K328" s="2">
        <f>INDEX(Data!S:S,MATCH(G328,Data!A:A,0),1)</f>
        <v>0</v>
      </c>
      <c r="L328" t="str">
        <f t="shared" si="5"/>
        <v>Manufacture of ceramics</v>
      </c>
      <c r="M328">
        <f>INDEX(Data!AD:AD,MATCH($G328,Data!$A:$A,0),1)</f>
        <v>0.6</v>
      </c>
      <c r="N328">
        <f>INDEX(Data!AE:AE,MATCH($G328,Data!$A:$A,0),1)</f>
        <v>0.59799999999999998</v>
      </c>
      <c r="O328">
        <f>INDEX(Data!AG:AG,MATCH($G328,Data!$A:$A,0),1)</f>
        <v>1.1022133959071165</v>
      </c>
      <c r="P328">
        <f>INDEX(Data!AH:AH,MATCH($G328,Data!$A:$A,0),1)</f>
        <v>1.455542145135519</v>
      </c>
      <c r="Q328">
        <f>IFERROR(IF(MATCH(B328,#REF!,0)&gt;0,1),0)</f>
        <v>0</v>
      </c>
    </row>
    <row r="329" spans="1:17" x14ac:dyDescent="0.2">
      <c r="A329" t="s">
        <v>79</v>
      </c>
      <c r="B329" t="s">
        <v>119</v>
      </c>
      <c r="C329" t="s">
        <v>81</v>
      </c>
      <c r="D329" t="s">
        <v>409</v>
      </c>
      <c r="E329" t="s">
        <v>106</v>
      </c>
      <c r="F329">
        <v>1</v>
      </c>
      <c r="G329" t="s">
        <v>327</v>
      </c>
      <c r="H329" s="2">
        <f>INDEX(Data!G:G,MATCH(G329,Data!A:A,0),1)</f>
        <v>0.81745070728588098</v>
      </c>
      <c r="I329" s="2">
        <f>INDEX(Data!J:J,MATCH(G329,Data!A:A,0),1)</f>
        <v>0.6991394038416423</v>
      </c>
      <c r="J329" s="2">
        <f>INDEX(Data!R:R,MATCH(G329,Data!A:A,0),1)</f>
        <v>4.3200000000000021</v>
      </c>
      <c r="K329" s="2">
        <f>INDEX(Data!S:S,MATCH(G329,Data!A:A,0),1)</f>
        <v>0</v>
      </c>
      <c r="L329" t="str">
        <f t="shared" si="5"/>
        <v>Manufacture of glass_Manufacture of concrete products for construction purposes</v>
      </c>
      <c r="M329">
        <f>INDEX(Data!AD:AD,MATCH($G329,Data!$A:$A,0),1)</f>
        <v>0.6</v>
      </c>
      <c r="N329">
        <f>INDEX(Data!AE:AE,MATCH($G329,Data!$A:$A,0),1)</f>
        <v>0.59799999999999998</v>
      </c>
      <c r="O329">
        <f>INDEX(Data!AG:AG,MATCH($G329,Data!$A:$A,0),1)</f>
        <v>1.7474276218071669</v>
      </c>
      <c r="P329">
        <f>INDEX(Data!AH:AH,MATCH($G329,Data!$A:$A,0),1)</f>
        <v>11.543912994239886</v>
      </c>
      <c r="Q329">
        <f>IFERROR(IF(MATCH(B329,#REF!,0)&gt;0,1),0)</f>
        <v>0</v>
      </c>
    </row>
    <row r="330" spans="1:17" x14ac:dyDescent="0.2">
      <c r="A330" t="s">
        <v>79</v>
      </c>
      <c r="B330" t="s">
        <v>185</v>
      </c>
      <c r="C330" t="s">
        <v>95</v>
      </c>
      <c r="D330" t="s">
        <v>95</v>
      </c>
      <c r="E330" t="s">
        <v>95</v>
      </c>
      <c r="F330">
        <v>3</v>
      </c>
      <c r="G330" t="s">
        <v>349</v>
      </c>
      <c r="H330" s="2">
        <f>INDEX(Data!G:G,MATCH(G330,Data!A:A,0),1)</f>
        <v>1.5967631163208207</v>
      </c>
      <c r="I330" s="2">
        <f>INDEX(Data!J:J,MATCH(G330,Data!A:A,0),1)</f>
        <v>1.2656396050839946</v>
      </c>
      <c r="J330" s="2">
        <f>INDEX(Data!R:R,MATCH(G330,Data!A:A,0),1)</f>
        <v>3.2911730425008185</v>
      </c>
      <c r="K330" s="2">
        <f>INDEX(Data!S:S,MATCH(G330,Data!A:A,0),1)</f>
        <v>10.213571642020407</v>
      </c>
      <c r="L330" t="str">
        <f t="shared" si="5"/>
        <v>Manufacture of glass_Manufacture of other inorganic basic chemicals</v>
      </c>
      <c r="M330">
        <f>INDEX(Data!AD:AD,MATCH($G330,Data!$A:$A,0),1)</f>
        <v>0.81200000000000028</v>
      </c>
      <c r="N330">
        <f>INDEX(Data!AE:AE,MATCH($G330,Data!$A:$A,0),1)</f>
        <v>0.73899999999999999</v>
      </c>
      <c r="O330">
        <f>INDEX(Data!AG:AG,MATCH($G330,Data!$A:$A,0),1)</f>
        <v>1.3556812573212713</v>
      </c>
      <c r="P330">
        <f>INDEX(Data!AH:AH,MATCH($G330,Data!$A:$A,0),1)</f>
        <v>3.2322103139373444</v>
      </c>
      <c r="Q330">
        <f>IFERROR(IF(MATCH(B330,#REF!,0)&gt;0,1),0)</f>
        <v>0</v>
      </c>
    </row>
    <row r="331" spans="1:17" x14ac:dyDescent="0.2">
      <c r="A331" t="s">
        <v>79</v>
      </c>
      <c r="B331" t="s">
        <v>80</v>
      </c>
      <c r="C331" t="s">
        <v>81</v>
      </c>
      <c r="D331" t="s">
        <v>409</v>
      </c>
      <c r="E331" t="s">
        <v>82</v>
      </c>
      <c r="F331">
        <v>28</v>
      </c>
      <c r="G331" t="s">
        <v>351</v>
      </c>
      <c r="H331" s="2">
        <f>INDEX(Data!G:G,MATCH(G331,Data!A:A,0),1)</f>
        <v>0.44693420519106453</v>
      </c>
      <c r="I331" s="2">
        <f>INDEX(Data!J:J,MATCH(G331,Data!A:A,0),1)</f>
        <v>0.32449753999236403</v>
      </c>
      <c r="J331" s="2">
        <f>INDEX(Data!R:R,MATCH(G331,Data!A:A,0),1)</f>
        <v>8.3851770965800991</v>
      </c>
      <c r="K331" s="2">
        <f>INDEX(Data!S:S,MATCH(G331,Data!A:A,0),1)</f>
        <v>0</v>
      </c>
      <c r="L331" t="str">
        <f t="shared" si="5"/>
        <v>Manufacture of glass_Manufacture and processing of other glass, including technical glassware</v>
      </c>
      <c r="M331">
        <f>INDEX(Data!AD:AD,MATCH($G331,Data!$A:$A,0),1)</f>
        <v>0.6</v>
      </c>
      <c r="N331">
        <f>INDEX(Data!AE:AE,MATCH($G331,Data!$A:$A,0),1)</f>
        <v>0.59799999999999998</v>
      </c>
      <c r="O331">
        <f>INDEX(Data!AG:AG,MATCH($G331,Data!$A:$A,0),1)</f>
        <v>1.1805916207174112</v>
      </c>
      <c r="P331">
        <f>INDEX(Data!AH:AH,MATCH($G331,Data!$A:$A,0),1)</f>
        <v>1.6217124671972132</v>
      </c>
      <c r="Q331">
        <f>IFERROR(IF(MATCH(B331,#REF!,0)&gt;0,1),0)</f>
        <v>0</v>
      </c>
    </row>
    <row r="332" spans="1:17" x14ac:dyDescent="0.2">
      <c r="A332" t="s">
        <v>79</v>
      </c>
      <c r="B332" t="s">
        <v>138</v>
      </c>
      <c r="C332" t="s">
        <v>81</v>
      </c>
      <c r="D332" t="s">
        <v>409</v>
      </c>
      <c r="E332" t="s">
        <v>82</v>
      </c>
      <c r="F332">
        <v>42</v>
      </c>
      <c r="G332" t="s">
        <v>351</v>
      </c>
      <c r="H332" s="2">
        <f>INDEX(Data!G:G,MATCH(G332,Data!A:A,0),1)</f>
        <v>0.44693420519106453</v>
      </c>
      <c r="I332" s="2">
        <f>INDEX(Data!J:J,MATCH(G332,Data!A:A,0),1)</f>
        <v>0.32449753999236403</v>
      </c>
      <c r="J332" s="2">
        <f>INDEX(Data!R:R,MATCH(G332,Data!A:A,0),1)</f>
        <v>8.3851770965800991</v>
      </c>
      <c r="K332" s="2">
        <f>INDEX(Data!S:S,MATCH(G332,Data!A:A,0),1)</f>
        <v>0</v>
      </c>
      <c r="L332" t="str">
        <f t="shared" si="5"/>
        <v>Manufacture of glass_Manufacture of flat glass</v>
      </c>
      <c r="M332">
        <f>INDEX(Data!AD:AD,MATCH($G332,Data!$A:$A,0),1)</f>
        <v>0.6</v>
      </c>
      <c r="N332">
        <f>INDEX(Data!AE:AE,MATCH($G332,Data!$A:$A,0),1)</f>
        <v>0.59799999999999998</v>
      </c>
      <c r="O332">
        <f>INDEX(Data!AG:AG,MATCH($G332,Data!$A:$A,0),1)</f>
        <v>1.1805916207174112</v>
      </c>
      <c r="P332">
        <f>INDEX(Data!AH:AH,MATCH($G332,Data!$A:$A,0),1)</f>
        <v>1.6217124671972132</v>
      </c>
      <c r="Q332">
        <f>IFERROR(IF(MATCH(B332,#REF!,0)&gt;0,1),0)</f>
        <v>0</v>
      </c>
    </row>
    <row r="333" spans="1:17" x14ac:dyDescent="0.2">
      <c r="A333" t="s">
        <v>79</v>
      </c>
      <c r="B333" t="s">
        <v>146</v>
      </c>
      <c r="C333" t="s">
        <v>81</v>
      </c>
      <c r="D333" t="s">
        <v>409</v>
      </c>
      <c r="E333" t="s">
        <v>82</v>
      </c>
      <c r="F333">
        <v>170</v>
      </c>
      <c r="G333" t="s">
        <v>351</v>
      </c>
      <c r="H333" s="2">
        <f>INDEX(Data!G:G,MATCH(G333,Data!A:A,0),1)</f>
        <v>0.44693420519106453</v>
      </c>
      <c r="I333" s="2">
        <f>INDEX(Data!J:J,MATCH(G333,Data!A:A,0),1)</f>
        <v>0.32449753999236403</v>
      </c>
      <c r="J333" s="2">
        <f>INDEX(Data!R:R,MATCH(G333,Data!A:A,0),1)</f>
        <v>8.3851770965800991</v>
      </c>
      <c r="K333" s="2">
        <f>INDEX(Data!S:S,MATCH(G333,Data!A:A,0),1)</f>
        <v>0</v>
      </c>
      <c r="L333" t="str">
        <f t="shared" si="5"/>
        <v>Manufacture of glass_Manufacture of hollow glass</v>
      </c>
      <c r="M333">
        <f>INDEX(Data!AD:AD,MATCH($G333,Data!$A:$A,0),1)</f>
        <v>0.6</v>
      </c>
      <c r="N333">
        <f>INDEX(Data!AE:AE,MATCH($G333,Data!$A:$A,0),1)</f>
        <v>0.59799999999999998</v>
      </c>
      <c r="O333">
        <f>INDEX(Data!AG:AG,MATCH($G333,Data!$A:$A,0),1)</f>
        <v>1.1805916207174112</v>
      </c>
      <c r="P333">
        <f>INDEX(Data!AH:AH,MATCH($G333,Data!$A:$A,0),1)</f>
        <v>1.6217124671972132</v>
      </c>
      <c r="Q333">
        <f>IFERROR(IF(MATCH(B333,#REF!,0)&gt;0,1),0)</f>
        <v>0</v>
      </c>
    </row>
    <row r="334" spans="1:17" x14ac:dyDescent="0.2">
      <c r="A334" t="s">
        <v>79</v>
      </c>
      <c r="B334" t="s">
        <v>207</v>
      </c>
      <c r="C334" t="s">
        <v>95</v>
      </c>
      <c r="D334" t="s">
        <v>409</v>
      </c>
      <c r="E334" t="s">
        <v>82</v>
      </c>
      <c r="F334">
        <v>17</v>
      </c>
      <c r="G334" t="s">
        <v>351</v>
      </c>
      <c r="H334" s="2">
        <f>INDEX(Data!G:G,MATCH(G334,Data!A:A,0),1)</f>
        <v>0.44693420519106453</v>
      </c>
      <c r="I334" s="2">
        <f>INDEX(Data!J:J,MATCH(G334,Data!A:A,0),1)</f>
        <v>0.32449753999236403</v>
      </c>
      <c r="J334" s="2">
        <f>INDEX(Data!R:R,MATCH(G334,Data!A:A,0),1)</f>
        <v>8.3851770965800991</v>
      </c>
      <c r="K334" s="2">
        <f>INDEX(Data!S:S,MATCH(G334,Data!A:A,0),1)</f>
        <v>0</v>
      </c>
      <c r="L334" t="str">
        <f t="shared" si="5"/>
        <v>Manufacture of glass_Manufacture of paints, varnishes and similar coatings, printing ink and mastics</v>
      </c>
      <c r="M334">
        <f>INDEX(Data!AD:AD,MATCH($G334,Data!$A:$A,0),1)</f>
        <v>0.6</v>
      </c>
      <c r="N334">
        <f>INDEX(Data!AE:AE,MATCH($G334,Data!$A:$A,0),1)</f>
        <v>0.59799999999999998</v>
      </c>
      <c r="O334">
        <f>INDEX(Data!AG:AG,MATCH($G334,Data!$A:$A,0),1)</f>
        <v>1.1805916207174112</v>
      </c>
      <c r="P334">
        <f>INDEX(Data!AH:AH,MATCH($G334,Data!$A:$A,0),1)</f>
        <v>1.6217124671972132</v>
      </c>
      <c r="Q334">
        <f>IFERROR(IF(MATCH(B334,#REF!,0)&gt;0,1),0)</f>
        <v>0</v>
      </c>
    </row>
    <row r="335" spans="1:17" x14ac:dyDescent="0.2">
      <c r="A335" t="s">
        <v>79</v>
      </c>
      <c r="B335" t="s">
        <v>141</v>
      </c>
      <c r="C335" t="s">
        <v>81</v>
      </c>
      <c r="D335" t="s">
        <v>409</v>
      </c>
      <c r="E335" t="s">
        <v>142</v>
      </c>
      <c r="F335">
        <v>26</v>
      </c>
      <c r="G335" t="s">
        <v>350</v>
      </c>
      <c r="H335" s="2">
        <f>INDEX(Data!G:G,MATCH(G335,Data!A:A,0),1)</f>
        <v>0.73925352948672385</v>
      </c>
      <c r="I335" s="2">
        <f>INDEX(Data!J:J,MATCH(G335,Data!A:A,0),1)</f>
        <v>0.50052641550481702</v>
      </c>
      <c r="J335" s="2">
        <f>INDEX(Data!R:R,MATCH(G335,Data!A:A,0),1)</f>
        <v>4.9320000000000004</v>
      </c>
      <c r="K335" s="2">
        <f>INDEX(Data!S:S,MATCH(G335,Data!A:A,0),1)</f>
        <v>0</v>
      </c>
      <c r="L335" t="str">
        <f t="shared" si="5"/>
        <v>Manufacture of glass_Manufacture of glass fibres</v>
      </c>
      <c r="M335">
        <f>INDEX(Data!AD:AD,MATCH($G335,Data!$A:$A,0),1)</f>
        <v>0.6</v>
      </c>
      <c r="N335">
        <f>INDEX(Data!AE:AE,MATCH($G335,Data!$A:$A,0),1)</f>
        <v>0.59799999999999998</v>
      </c>
      <c r="O335">
        <f>INDEX(Data!AG:AG,MATCH($G335,Data!$A:$A,0),1)</f>
        <v>1.1208357193825378</v>
      </c>
      <c r="P335">
        <f>INDEX(Data!AH:AH,MATCH($G335,Data!$A:$A,0),1)</f>
        <v>1.4950234870125214</v>
      </c>
      <c r="Q335">
        <f>IFERROR(IF(MATCH(B335,#REF!,0)&gt;0,1),0)</f>
        <v>0</v>
      </c>
    </row>
    <row r="336" spans="1:17" x14ac:dyDescent="0.2">
      <c r="A336" t="s">
        <v>79</v>
      </c>
      <c r="B336" t="s">
        <v>189</v>
      </c>
      <c r="C336" t="s">
        <v>81</v>
      </c>
      <c r="D336" t="s">
        <v>409</v>
      </c>
      <c r="E336" t="s">
        <v>190</v>
      </c>
      <c r="F336">
        <v>2</v>
      </c>
      <c r="G336" t="s">
        <v>351</v>
      </c>
      <c r="H336" s="2">
        <f>INDEX(Data!G:G,MATCH(G336,Data!A:A,0),1)</f>
        <v>0.44693420519106453</v>
      </c>
      <c r="I336" s="2">
        <f>INDEX(Data!J:J,MATCH(G336,Data!A:A,0),1)</f>
        <v>0.32449753999236403</v>
      </c>
      <c r="J336" s="2">
        <f>INDEX(Data!R:R,MATCH(G336,Data!A:A,0),1)</f>
        <v>8.3851770965800991</v>
      </c>
      <c r="K336" s="2">
        <f>INDEX(Data!S:S,MATCH(G336,Data!A:A,0),1)</f>
        <v>0</v>
      </c>
      <c r="L336" t="str">
        <f t="shared" si="5"/>
        <v>Manufacture of glass_Manufacture of other non-metallic mineral products n.e.c.</v>
      </c>
      <c r="M336">
        <f>INDEX(Data!AD:AD,MATCH($G336,Data!$A:$A,0),1)</f>
        <v>0.6</v>
      </c>
      <c r="N336">
        <f>INDEX(Data!AE:AE,MATCH($G336,Data!$A:$A,0),1)</f>
        <v>0.59799999999999998</v>
      </c>
      <c r="O336">
        <f>INDEX(Data!AG:AG,MATCH($G336,Data!$A:$A,0),1)</f>
        <v>1.1805916207174112</v>
      </c>
      <c r="P336">
        <f>INDEX(Data!AH:AH,MATCH($G336,Data!$A:$A,0),1)</f>
        <v>1.6217124671972132</v>
      </c>
      <c r="Q336">
        <f>IFERROR(IF(MATCH(B336,#REF!,0)&gt;0,1),0)</f>
        <v>0</v>
      </c>
    </row>
    <row r="337" spans="1:17" x14ac:dyDescent="0.2">
      <c r="A337" t="s">
        <v>79</v>
      </c>
      <c r="B337" t="s">
        <v>128</v>
      </c>
      <c r="C337" t="s">
        <v>127</v>
      </c>
      <c r="D337" t="s">
        <v>403</v>
      </c>
      <c r="E337" t="s">
        <v>15</v>
      </c>
      <c r="F337">
        <v>1</v>
      </c>
      <c r="G337" t="s">
        <v>325</v>
      </c>
      <c r="H337" s="2">
        <f>INDEX(Data!G:G,MATCH(G337,Data!A:A,0),1)</f>
        <v>5.79E-2</v>
      </c>
      <c r="I337" s="2">
        <f>INDEX(Data!J:J,MATCH(G337,Data!A:A,0),1)</f>
        <v>4.2599999999999999E-2</v>
      </c>
      <c r="J337" s="2">
        <f>INDEX(Data!R:R,MATCH(G337,Data!A:A,0),1)</f>
        <v>1</v>
      </c>
      <c r="K337" s="2">
        <f>INDEX(Data!S:S,MATCH(G337,Data!A:A,0),1)</f>
        <v>0</v>
      </c>
      <c r="L337" t="str">
        <f t="shared" si="5"/>
        <v>Manufacture of glass_Manufacture of electric lighting equipment</v>
      </c>
      <c r="M337">
        <f>INDEX(Data!AD:AD,MATCH($G337,Data!$A:$A,0),1)</f>
        <v>0.78200000000000003</v>
      </c>
      <c r="N337">
        <f>INDEX(Data!AE:AE,MATCH($G337,Data!$A:$A,0),1)</f>
        <v>0.63500000000000001</v>
      </c>
      <c r="O337">
        <f>INDEX(Data!AG:AG,MATCH($G337,Data!$A:$A,0),1)</f>
        <v>1.1486856676492798</v>
      </c>
      <c r="P337">
        <f>INDEX(Data!AH:AH,MATCH($G337,Data!$A:$A,0),1)</f>
        <v>1.7068864766411047</v>
      </c>
      <c r="Q337">
        <f>IFERROR(IF(MATCH(B337,#REF!,0)&gt;0,1),0)</f>
        <v>0</v>
      </c>
    </row>
    <row r="338" spans="1:17" x14ac:dyDescent="0.2">
      <c r="A338" t="s">
        <v>79</v>
      </c>
      <c r="B338" t="s">
        <v>282</v>
      </c>
      <c r="C338" t="s">
        <v>44</v>
      </c>
      <c r="D338" t="s">
        <v>45</v>
      </c>
      <c r="E338" t="s">
        <v>45</v>
      </c>
      <c r="F338">
        <v>1</v>
      </c>
      <c r="G338" t="s">
        <v>325</v>
      </c>
      <c r="H338" s="2">
        <f>INDEX(Data!G:G,MATCH(G338,Data!A:A,0),1)</f>
        <v>5.79E-2</v>
      </c>
      <c r="I338" s="2">
        <f>INDEX(Data!J:J,MATCH(G338,Data!A:A,0),1)</f>
        <v>4.2599999999999999E-2</v>
      </c>
      <c r="J338" s="2">
        <f>INDEX(Data!R:R,MATCH(G338,Data!A:A,0),1)</f>
        <v>1</v>
      </c>
      <c r="K338" s="2">
        <f>INDEX(Data!S:S,MATCH(G338,Data!A:A,0),1)</f>
        <v>0</v>
      </c>
      <c r="L338" t="str">
        <f t="shared" si="5"/>
        <v>Manufacture of glass_Production of electricity</v>
      </c>
      <c r="M338">
        <f>INDEX(Data!AD:AD,MATCH($G338,Data!$A:$A,0),1)</f>
        <v>0.78200000000000003</v>
      </c>
      <c r="N338">
        <f>INDEX(Data!AE:AE,MATCH($G338,Data!$A:$A,0),1)</f>
        <v>0.63500000000000001</v>
      </c>
      <c r="O338">
        <f>INDEX(Data!AG:AG,MATCH($G338,Data!$A:$A,0),1)</f>
        <v>1.1486856676492798</v>
      </c>
      <c r="P338">
        <f>INDEX(Data!AH:AH,MATCH($G338,Data!$A:$A,0),1)</f>
        <v>1.7068864766411047</v>
      </c>
      <c r="Q338">
        <f>IFERROR(IF(MATCH(B338,#REF!,0)&gt;0,1),0)</f>
        <v>0</v>
      </c>
    </row>
    <row r="339" spans="1:17" x14ac:dyDescent="0.2">
      <c r="A339" s="2" t="s">
        <v>79</v>
      </c>
      <c r="D339" t="s">
        <v>409</v>
      </c>
      <c r="E339">
        <v>0</v>
      </c>
      <c r="G339" t="s">
        <v>351</v>
      </c>
      <c r="H339" s="2">
        <f>INDEX(Data!G:G,MATCH(G339,Data!A:A,0),1)</f>
        <v>0.44693420519106453</v>
      </c>
      <c r="I339" s="2">
        <f>INDEX(Data!J:J,MATCH(G339,Data!A:A,0),1)</f>
        <v>0.32449753999236403</v>
      </c>
      <c r="J339" s="2">
        <f>INDEX(Data!R:R,MATCH(G339,Data!A:A,0),1)</f>
        <v>8.3851770965800991</v>
      </c>
      <c r="K339" s="2">
        <f>INDEX(Data!S:S,MATCH(G339,Data!A:A,0),1)</f>
        <v>0</v>
      </c>
      <c r="L339" t="str">
        <f t="shared" si="5"/>
        <v>Manufacture of glass</v>
      </c>
      <c r="M339">
        <f>INDEX(Data!AD:AD,MATCH($G339,Data!$A:$A,0),1)</f>
        <v>0.6</v>
      </c>
      <c r="N339">
        <f>INDEX(Data!AE:AE,MATCH($G339,Data!$A:$A,0),1)</f>
        <v>0.59799999999999998</v>
      </c>
      <c r="O339">
        <f>INDEX(Data!AG:AG,MATCH($G339,Data!$A:$A,0),1)</f>
        <v>1.1805916207174112</v>
      </c>
      <c r="P339">
        <f>INDEX(Data!AH:AH,MATCH($G339,Data!$A:$A,0),1)</f>
        <v>1.6217124671972132</v>
      </c>
      <c r="Q339">
        <f>IFERROR(IF(MATCH(B339,#REF!,0)&gt;0,1),0)</f>
        <v>0</v>
      </c>
    </row>
    <row r="340" spans="1:17" x14ac:dyDescent="0.2">
      <c r="A340" t="s">
        <v>143</v>
      </c>
      <c r="B340" t="s">
        <v>141</v>
      </c>
      <c r="C340" t="s">
        <v>81</v>
      </c>
      <c r="D340" t="s">
        <v>409</v>
      </c>
      <c r="E340" t="s">
        <v>142</v>
      </c>
      <c r="F340">
        <v>12</v>
      </c>
      <c r="G340" t="s">
        <v>350</v>
      </c>
      <c r="H340" s="2">
        <f>INDEX(Data!G:G,MATCH(G340,Data!A:A,0),1)</f>
        <v>0.73925352948672385</v>
      </c>
      <c r="I340" s="2">
        <f>INDEX(Data!J:J,MATCH(G340,Data!A:A,0),1)</f>
        <v>0.50052641550481702</v>
      </c>
      <c r="J340" s="2">
        <f>INDEX(Data!R:R,MATCH(G340,Data!A:A,0),1)</f>
        <v>4.9320000000000004</v>
      </c>
      <c r="K340" s="2">
        <f>INDEX(Data!S:S,MATCH(G340,Data!A:A,0),1)</f>
        <v>0</v>
      </c>
      <c r="L340" t="str">
        <f t="shared" si="5"/>
        <v>Manufacture of mineral wool_Manufacture of glass fibres</v>
      </c>
      <c r="M340">
        <f>INDEX(Data!AD:AD,MATCH($G340,Data!$A:$A,0),1)</f>
        <v>0.6</v>
      </c>
      <c r="N340">
        <f>INDEX(Data!AE:AE,MATCH($G340,Data!$A:$A,0),1)</f>
        <v>0.59799999999999998</v>
      </c>
      <c r="O340">
        <f>INDEX(Data!AG:AG,MATCH($G340,Data!$A:$A,0),1)</f>
        <v>1.1208357193825378</v>
      </c>
      <c r="P340">
        <f>INDEX(Data!AH:AH,MATCH($G340,Data!$A:$A,0),1)</f>
        <v>1.4950234870125214</v>
      </c>
      <c r="Q340">
        <f>IFERROR(IF(MATCH(B340,#REF!,0)&gt;0,1),0)</f>
        <v>0</v>
      </c>
    </row>
    <row r="341" spans="1:17" x14ac:dyDescent="0.2">
      <c r="A341" t="s">
        <v>143</v>
      </c>
      <c r="B341" t="s">
        <v>189</v>
      </c>
      <c r="C341" t="s">
        <v>81</v>
      </c>
      <c r="D341" t="s">
        <v>409</v>
      </c>
      <c r="E341" t="s">
        <v>190</v>
      </c>
      <c r="F341">
        <v>26</v>
      </c>
      <c r="G341" t="s">
        <v>350</v>
      </c>
      <c r="H341" s="2">
        <f>INDEX(Data!G:G,MATCH(G341,Data!A:A,0),1)</f>
        <v>0.73925352948672385</v>
      </c>
      <c r="I341" s="2">
        <f>INDEX(Data!J:J,MATCH(G341,Data!A:A,0),1)</f>
        <v>0.50052641550481702</v>
      </c>
      <c r="J341" s="2">
        <f>INDEX(Data!R:R,MATCH(G341,Data!A:A,0),1)</f>
        <v>4.9320000000000004</v>
      </c>
      <c r="K341" s="2">
        <f>INDEX(Data!S:S,MATCH(G341,Data!A:A,0),1)</f>
        <v>0</v>
      </c>
      <c r="L341" t="str">
        <f t="shared" si="5"/>
        <v>Manufacture of mineral wool_Manufacture of other non-metallic mineral products n.e.c.</v>
      </c>
      <c r="M341">
        <f>INDEX(Data!AD:AD,MATCH($G341,Data!$A:$A,0),1)</f>
        <v>0.6</v>
      </c>
      <c r="N341">
        <f>INDEX(Data!AE:AE,MATCH($G341,Data!$A:$A,0),1)</f>
        <v>0.59799999999999998</v>
      </c>
      <c r="O341">
        <f>INDEX(Data!AG:AG,MATCH($G341,Data!$A:$A,0),1)</f>
        <v>1.1208357193825378</v>
      </c>
      <c r="P341">
        <f>INDEX(Data!AH:AH,MATCH($G341,Data!$A:$A,0),1)</f>
        <v>1.4950234870125214</v>
      </c>
      <c r="Q341">
        <f>IFERROR(IF(MATCH(B341,#REF!,0)&gt;0,1),0)</f>
        <v>0</v>
      </c>
    </row>
    <row r="342" spans="1:17" x14ac:dyDescent="0.2">
      <c r="A342" s="2" t="s">
        <v>143</v>
      </c>
      <c r="D342" t="s">
        <v>409</v>
      </c>
      <c r="E342">
        <v>0</v>
      </c>
      <c r="G342" t="s">
        <v>350</v>
      </c>
      <c r="H342" s="2">
        <f>INDEX(Data!G:G,MATCH(G342,Data!A:A,0),1)</f>
        <v>0.73925352948672385</v>
      </c>
      <c r="I342" s="2">
        <f>INDEX(Data!J:J,MATCH(G342,Data!A:A,0),1)</f>
        <v>0.50052641550481702</v>
      </c>
      <c r="J342" s="2">
        <f>INDEX(Data!R:R,MATCH(G342,Data!A:A,0),1)</f>
        <v>4.9320000000000004</v>
      </c>
      <c r="K342" s="2">
        <f>INDEX(Data!S:S,MATCH(G342,Data!A:A,0),1)</f>
        <v>0</v>
      </c>
      <c r="L342" t="str">
        <f t="shared" si="5"/>
        <v>Manufacture of mineral wool</v>
      </c>
      <c r="M342">
        <f>INDEX(Data!AD:AD,MATCH($G342,Data!$A:$A,0),1)</f>
        <v>0.6</v>
      </c>
      <c r="N342">
        <f>INDEX(Data!AE:AE,MATCH($G342,Data!$A:$A,0),1)</f>
        <v>0.59799999999999998</v>
      </c>
      <c r="O342">
        <f>INDEX(Data!AG:AG,MATCH($G342,Data!$A:$A,0),1)</f>
        <v>1.1208357193825378</v>
      </c>
      <c r="P342">
        <f>INDEX(Data!AH:AH,MATCH($G342,Data!$A:$A,0),1)</f>
        <v>1.4950234870125214</v>
      </c>
      <c r="Q342">
        <f>IFERROR(IF(MATCH(B342,#REF!,0)&gt;0,1),0)</f>
        <v>0</v>
      </c>
    </row>
    <row r="343" spans="1:17" x14ac:dyDescent="0.2">
      <c r="A343" t="s">
        <v>92</v>
      </c>
      <c r="B343" t="s">
        <v>90</v>
      </c>
      <c r="C343" t="s">
        <v>6</v>
      </c>
      <c r="D343" t="s">
        <v>237</v>
      </c>
      <c r="E343" t="s">
        <v>237</v>
      </c>
      <c r="F343">
        <v>1</v>
      </c>
      <c r="G343" s="2" t="s">
        <v>377</v>
      </c>
      <c r="H343" s="2">
        <f>INDEX(Data!G:G,MATCH(G343,Data!A:A,0),1)</f>
        <v>1.4950000000000001</v>
      </c>
      <c r="I343" s="2">
        <f>INDEX(Data!J:J,MATCH(G343,Data!A:A,0),1)</f>
        <v>1.288</v>
      </c>
      <c r="J343" s="2">
        <f>INDEX(Data!R:R,MATCH(G343,Data!A:A,0),1)</f>
        <v>14.976000000000001</v>
      </c>
      <c r="K343" s="2">
        <f>INDEX(Data!S:S,MATCH(G343,Data!A:A,0),1)</f>
        <v>6.8039999999999985</v>
      </c>
      <c r="L343" t="str">
        <f t="shared" si="5"/>
        <v>Metal ore (including sulphide ore) roasting or sintering installations_Manufacture of basic iron and steel and of ferro-alloys</v>
      </c>
      <c r="M343">
        <f>INDEX(Data!AD:AD,MATCH($G343,Data!$A:$A,0),1)</f>
        <v>0.48099999999999998</v>
      </c>
      <c r="N343">
        <f>INDEX(Data!AE:AE,MATCH($G343,Data!$A:$A,0),1)</f>
        <v>0.41199999999999992</v>
      </c>
      <c r="O343">
        <f>INDEX(Data!AG:AG,MATCH($G343,Data!$A:$A,0),1)</f>
        <v>1.2895889249131132</v>
      </c>
      <c r="P343">
        <f>INDEX(Data!AH:AH,MATCH($G343,Data!$A:$A,0),1)</f>
        <v>0.59422748497442568</v>
      </c>
      <c r="Q343">
        <f>IFERROR(IF(MATCH(B343,#REF!,0)&gt;0,1),0)</f>
        <v>0</v>
      </c>
    </row>
    <row r="344" spans="1:17" x14ac:dyDescent="0.2">
      <c r="A344" s="2" t="s">
        <v>92</v>
      </c>
      <c r="D344" t="s">
        <v>237</v>
      </c>
      <c r="E344">
        <v>0</v>
      </c>
      <c r="G344" t="s">
        <v>376</v>
      </c>
      <c r="H344" s="2">
        <f>INDEX(Data!G:G,MATCH(G344,Data!A:A,0),1)</f>
        <v>0.248</v>
      </c>
      <c r="I344" s="2">
        <f>INDEX(Data!J:J,MATCH(G344,Data!A:A,0),1)</f>
        <v>0.157</v>
      </c>
      <c r="J344" s="2">
        <f>INDEX(Data!R:R,MATCH(G344,Data!A:A,0),1)</f>
        <v>2.2320000000000002</v>
      </c>
      <c r="K344" s="2">
        <f>INDEX(Data!S:S,MATCH(G344,Data!A:A,0),1)</f>
        <v>0</v>
      </c>
      <c r="L344" t="str">
        <f t="shared" si="5"/>
        <v>Metal ore (including sulphide ore) roasting or sintering installations</v>
      </c>
      <c r="M344">
        <f>INDEX(Data!AD:AD,MATCH($G344,Data!$A:$A,0),1)</f>
        <v>0.48099999999999998</v>
      </c>
      <c r="N344">
        <f>INDEX(Data!AE:AE,MATCH($G344,Data!$A:$A,0),1)</f>
        <v>0.41199999999999998</v>
      </c>
      <c r="O344">
        <f>INDEX(Data!AG:AG,MATCH($G344,Data!$A:$A,0),1)</f>
        <v>1.2895889249131132</v>
      </c>
      <c r="P344">
        <f>INDEX(Data!AH:AH,MATCH($G344,Data!$A:$A,0),1)</f>
        <v>0.59422748497442568</v>
      </c>
      <c r="Q344">
        <f>IFERROR(IF(MATCH(B344,#REF!,0)&gt;0,1),0)</f>
        <v>0</v>
      </c>
    </row>
    <row r="345" spans="1:17" x14ac:dyDescent="0.2">
      <c r="A345" t="s">
        <v>77</v>
      </c>
      <c r="B345" t="s">
        <v>125</v>
      </c>
      <c r="C345" t="s">
        <v>95</v>
      </c>
      <c r="D345" t="s">
        <v>95</v>
      </c>
      <c r="E345" t="s">
        <v>95</v>
      </c>
      <c r="F345">
        <v>1</v>
      </c>
      <c r="G345" t="s">
        <v>338</v>
      </c>
      <c r="H345" s="2">
        <f>INDEX(Data!G:G,MATCH(G345,Data!A:A,0),1)</f>
        <v>1.1838611017829463</v>
      </c>
      <c r="I345" s="2">
        <f>INDEX(Data!J:J,MATCH(G345,Data!A:A,0),1)</f>
        <v>1.0013516184567537</v>
      </c>
      <c r="J345" s="2">
        <f>INDEX(Data!R:R,MATCH(G345,Data!A:A,0),1)</f>
        <v>2.6802340811720051</v>
      </c>
      <c r="K345" s="2">
        <f>INDEX(Data!S:S,MATCH(G345,Data!A:A,0),1)</f>
        <v>27.108503329226927</v>
      </c>
      <c r="L345" t="str">
        <f t="shared" si="5"/>
        <v>Metal ore roasting or sintering_Manufacture of dyes and pigments</v>
      </c>
      <c r="M345">
        <f>INDEX(Data!AD:AD,MATCH($G345,Data!$A:$A,0),1)</f>
        <v>0.81199999999999994</v>
      </c>
      <c r="N345">
        <f>INDEX(Data!AE:AE,MATCH($G345,Data!$A:$A,0),1)</f>
        <v>0.73899999999999999</v>
      </c>
      <c r="O345">
        <f>INDEX(Data!AG:AG,MATCH($G345,Data!$A:$A,0),1)</f>
        <v>1.3265650001686902</v>
      </c>
      <c r="P345">
        <f>INDEX(Data!AH:AH,MATCH($G345,Data!$A:$A,0),1)</f>
        <v>6.8406134516345016</v>
      </c>
      <c r="Q345">
        <f>IFERROR(IF(MATCH(B345,#REF!,0)&gt;0,1),0)</f>
        <v>0</v>
      </c>
    </row>
    <row r="346" spans="1:17" x14ac:dyDescent="0.2">
      <c r="A346" t="s">
        <v>77</v>
      </c>
      <c r="B346" t="s">
        <v>185</v>
      </c>
      <c r="C346" t="s">
        <v>95</v>
      </c>
      <c r="D346" t="s">
        <v>95</v>
      </c>
      <c r="E346" t="s">
        <v>95</v>
      </c>
      <c r="F346">
        <v>1</v>
      </c>
      <c r="G346" t="s">
        <v>349</v>
      </c>
      <c r="H346" s="2">
        <f>INDEX(Data!G:G,MATCH(G346,Data!A:A,0),1)</f>
        <v>1.5967631163208207</v>
      </c>
      <c r="I346" s="2">
        <f>INDEX(Data!J:J,MATCH(G346,Data!A:A,0),1)</f>
        <v>1.2656396050839946</v>
      </c>
      <c r="J346" s="2">
        <f>INDEX(Data!R:R,MATCH(G346,Data!A:A,0),1)</f>
        <v>3.2911730425008185</v>
      </c>
      <c r="K346" s="2">
        <f>INDEX(Data!S:S,MATCH(G346,Data!A:A,0),1)</f>
        <v>10.213571642020407</v>
      </c>
      <c r="L346" t="str">
        <f t="shared" si="5"/>
        <v>Metal ore roasting or sintering_Manufacture of other inorganic basic chemicals</v>
      </c>
      <c r="M346">
        <f>INDEX(Data!AD:AD,MATCH($G346,Data!$A:$A,0),1)</f>
        <v>0.81200000000000028</v>
      </c>
      <c r="N346">
        <f>INDEX(Data!AE:AE,MATCH($G346,Data!$A:$A,0),1)</f>
        <v>0.73899999999999999</v>
      </c>
      <c r="O346">
        <f>INDEX(Data!AG:AG,MATCH($G346,Data!$A:$A,0),1)</f>
        <v>1.3556812573212713</v>
      </c>
      <c r="P346">
        <f>INDEX(Data!AH:AH,MATCH($G346,Data!$A:$A,0),1)</f>
        <v>3.2322103139373444</v>
      </c>
      <c r="Q346">
        <f>IFERROR(IF(MATCH(B346,#REF!,0)&gt;0,1),0)</f>
        <v>0</v>
      </c>
    </row>
    <row r="347" spans="1:17" x14ac:dyDescent="0.2">
      <c r="A347" t="s">
        <v>77</v>
      </c>
      <c r="B347" t="s">
        <v>75</v>
      </c>
      <c r="C347" t="s">
        <v>6</v>
      </c>
      <c r="D347" t="s">
        <v>256</v>
      </c>
      <c r="E347" t="s">
        <v>76</v>
      </c>
      <c r="F347">
        <v>1</v>
      </c>
      <c r="G347" t="s">
        <v>353</v>
      </c>
      <c r="H347" s="2">
        <f>INDEX(Data!G:G,MATCH(G347,Data!A:A,0),1)</f>
        <v>1.92</v>
      </c>
      <c r="I347" s="2">
        <f>INDEX(Data!J:J,MATCH(G347,Data!A:A,0),1)</f>
        <v>1.92</v>
      </c>
      <c r="J347" s="2">
        <f>INDEX(Data!R:R,MATCH(G347,Data!A:A,0),1)</f>
        <v>2.2680000000000002</v>
      </c>
      <c r="K347" s="2">
        <f>INDEX(Data!S:S,MATCH(G347,Data!A:A,0),1)</f>
        <v>0</v>
      </c>
      <c r="L347" t="str">
        <f t="shared" si="5"/>
        <v>Metal ore roasting or sintering_Lead, zinc and tin production</v>
      </c>
      <c r="M347">
        <f>INDEX(Data!AD:AD,MATCH($G347,Data!$A:$A,0),1)</f>
        <v>0.80400000000000005</v>
      </c>
      <c r="N347">
        <f>INDEX(Data!AE:AE,MATCH($G347,Data!$A:$A,0),1)</f>
        <v>0.85799999999999998</v>
      </c>
      <c r="O347">
        <f>INDEX(Data!AG:AG,MATCH($G347,Data!$A:$A,0),1)</f>
        <v>1</v>
      </c>
      <c r="P347">
        <f>INDEX(Data!AH:AH,MATCH($G347,Data!$A:$A,0),1)</f>
        <v>1</v>
      </c>
      <c r="Q347">
        <f>IFERROR(IF(MATCH(B347,#REF!,0)&gt;0,1),0)</f>
        <v>0</v>
      </c>
    </row>
    <row r="348" spans="1:17" x14ac:dyDescent="0.2">
      <c r="A348" t="s">
        <v>77</v>
      </c>
      <c r="B348" t="s">
        <v>245</v>
      </c>
      <c r="C348" t="s">
        <v>246</v>
      </c>
      <c r="D348" t="s">
        <v>403</v>
      </c>
      <c r="E348" t="s">
        <v>242</v>
      </c>
      <c r="F348">
        <v>6</v>
      </c>
      <c r="G348" t="s">
        <v>325</v>
      </c>
      <c r="H348" s="2">
        <f>INDEX(Data!G:G,MATCH(G348,Data!A:A,0),1)</f>
        <v>5.79E-2</v>
      </c>
      <c r="I348" s="2">
        <f>INDEX(Data!J:J,MATCH(G348,Data!A:A,0),1)</f>
        <v>4.2599999999999999E-2</v>
      </c>
      <c r="J348" s="2">
        <f>INDEX(Data!R:R,MATCH(G348,Data!A:A,0),1)</f>
        <v>1</v>
      </c>
      <c r="K348" s="2">
        <f>INDEX(Data!S:S,MATCH(G348,Data!A:A,0),1)</f>
        <v>0</v>
      </c>
      <c r="L348" t="str">
        <f t="shared" si="5"/>
        <v>Metal ore roasting or sintering_Mining of iron ores</v>
      </c>
      <c r="M348">
        <f>INDEX(Data!AD:AD,MATCH($G348,Data!$A:$A,0),1)</f>
        <v>0.78200000000000003</v>
      </c>
      <c r="N348">
        <f>INDEX(Data!AE:AE,MATCH($G348,Data!$A:$A,0),1)</f>
        <v>0.63500000000000001</v>
      </c>
      <c r="O348">
        <f>INDEX(Data!AG:AG,MATCH($G348,Data!$A:$A,0),1)</f>
        <v>1.1486856676492798</v>
      </c>
      <c r="P348">
        <f>INDEX(Data!AH:AH,MATCH($G348,Data!$A:$A,0),1)</f>
        <v>1.7068864766411047</v>
      </c>
      <c r="Q348">
        <f>IFERROR(IF(MATCH(B348,#REF!,0)&gt;0,1),0)</f>
        <v>0</v>
      </c>
    </row>
    <row r="349" spans="1:17" x14ac:dyDescent="0.2">
      <c r="A349" s="2" t="s">
        <v>77</v>
      </c>
      <c r="D349" t="s">
        <v>237</v>
      </c>
      <c r="E349">
        <v>0</v>
      </c>
      <c r="G349" t="s">
        <v>376</v>
      </c>
      <c r="H349" s="2">
        <f>INDEX(Data!G:G,MATCH(G349,Data!A:A,0),1)</f>
        <v>0.248</v>
      </c>
      <c r="I349" s="2">
        <f>INDEX(Data!J:J,MATCH(G349,Data!A:A,0),1)</f>
        <v>0.157</v>
      </c>
      <c r="J349" s="2">
        <f>INDEX(Data!R:R,MATCH(G349,Data!A:A,0),1)</f>
        <v>2.2320000000000002</v>
      </c>
      <c r="K349" s="2">
        <f>INDEX(Data!S:S,MATCH(G349,Data!A:A,0),1)</f>
        <v>0</v>
      </c>
      <c r="L349" t="str">
        <f t="shared" si="5"/>
        <v>Metal ore roasting or sintering</v>
      </c>
      <c r="M349">
        <f>INDEX(Data!AD:AD,MATCH($G349,Data!$A:$A,0),1)</f>
        <v>0.48099999999999998</v>
      </c>
      <c r="N349">
        <f>INDEX(Data!AE:AE,MATCH($G349,Data!$A:$A,0),1)</f>
        <v>0.41199999999999998</v>
      </c>
      <c r="O349">
        <f>INDEX(Data!AG:AG,MATCH($G349,Data!$A:$A,0),1)</f>
        <v>1.2895889249131132</v>
      </c>
      <c r="P349">
        <f>INDEX(Data!AH:AH,MATCH($G349,Data!$A:$A,0),1)</f>
        <v>0.59422748497442568</v>
      </c>
      <c r="Q349">
        <f>IFERROR(IF(MATCH(B349,#REF!,0)&gt;0,1),0)</f>
        <v>0</v>
      </c>
    </row>
    <row r="350" spans="1:17" x14ac:dyDescent="0.2">
      <c r="A350" t="s">
        <v>48</v>
      </c>
      <c r="B350" t="s">
        <v>47</v>
      </c>
      <c r="C350" t="s">
        <v>44</v>
      </c>
      <c r="D350" t="s">
        <v>45</v>
      </c>
      <c r="E350" t="s">
        <v>45</v>
      </c>
      <c r="F350">
        <v>3</v>
      </c>
      <c r="G350" t="s">
        <v>325</v>
      </c>
      <c r="H350" s="2">
        <f>INDEX(Data!G:G,MATCH(G350,Data!A:A,0),1)</f>
        <v>5.79E-2</v>
      </c>
      <c r="I350" s="2">
        <f>INDEX(Data!J:J,MATCH(G350,Data!A:A,0),1)</f>
        <v>4.2599999999999999E-2</v>
      </c>
      <c r="J350" s="2">
        <f>INDEX(Data!R:R,MATCH(G350,Data!A:A,0),1)</f>
        <v>1</v>
      </c>
      <c r="K350" s="2">
        <f>INDEX(Data!S:S,MATCH(G350,Data!A:A,0),1)</f>
        <v>0</v>
      </c>
      <c r="L350" t="str">
        <f t="shared" si="5"/>
        <v>Mineral oil refineries_Electric power generation, transmission and distribution</v>
      </c>
      <c r="M350">
        <f>INDEX(Data!AD:AD,MATCH($G350,Data!$A:$A,0),1)</f>
        <v>0.78200000000000003</v>
      </c>
      <c r="N350">
        <f>INDEX(Data!AE:AE,MATCH($G350,Data!$A:$A,0),1)</f>
        <v>0.63500000000000001</v>
      </c>
      <c r="O350">
        <f>INDEX(Data!AG:AG,MATCH($G350,Data!$A:$A,0),1)</f>
        <v>1.1486856676492798</v>
      </c>
      <c r="P350">
        <f>INDEX(Data!AH:AH,MATCH($G350,Data!$A:$A,0),1)</f>
        <v>1.7068864766411047</v>
      </c>
      <c r="Q350">
        <f>IFERROR(IF(MATCH(B350,#REF!,0)&gt;0,1),0)</f>
        <v>0</v>
      </c>
    </row>
    <row r="351" spans="1:17" x14ac:dyDescent="0.2">
      <c r="A351" t="s">
        <v>48</v>
      </c>
      <c r="B351" t="s">
        <v>223</v>
      </c>
      <c r="C351" t="s">
        <v>115</v>
      </c>
      <c r="D351" t="s">
        <v>224</v>
      </c>
      <c r="E351" t="s">
        <v>224</v>
      </c>
      <c r="F351">
        <v>16</v>
      </c>
      <c r="G351" t="s">
        <v>333</v>
      </c>
      <c r="H351" s="2">
        <f>INDEX(Data!G:G,MATCH(G351,Data!A:A,0),1)</f>
        <v>0.55000000000000004</v>
      </c>
      <c r="I351" s="2">
        <f>INDEX(Data!J:J,MATCH(G351,Data!A:A,0),1)</f>
        <v>0.40714285714285714</v>
      </c>
      <c r="J351" s="2">
        <f>INDEX(Data!R:R,MATCH(G351,Data!A:A,0),1)</f>
        <v>0</v>
      </c>
      <c r="K351" s="2">
        <f>INDEX(Data!S:S,MATCH(G351,Data!A:A,0),1)</f>
        <v>0.432</v>
      </c>
      <c r="L351" t="str">
        <f t="shared" si="5"/>
        <v>Mineral oil refineries_Manufacture of refined petroleum products</v>
      </c>
      <c r="M351">
        <f>INDEX(Data!AD:AD,MATCH($G351,Data!$A:$A,0),1)</f>
        <v>0.72599999999999998</v>
      </c>
      <c r="N351">
        <f>INDEX(Data!AE:AE,MATCH($G351,Data!$A:$A,0),1)</f>
        <v>0.30499999999999999</v>
      </c>
      <c r="O351">
        <f>INDEX(Data!AG:AG,MATCH($G351,Data!$A:$A,0),1)</f>
        <v>0.63412830119313213</v>
      </c>
      <c r="P351">
        <f>INDEX(Data!AH:AH,MATCH($G351,Data!$A:$A,0),1)</f>
        <v>8.240093553846331E-2</v>
      </c>
      <c r="Q351">
        <f>IFERROR(IF(MATCH(B351,#REF!,0)&gt;0,1),0)</f>
        <v>0</v>
      </c>
    </row>
    <row r="352" spans="1:17" x14ac:dyDescent="0.2">
      <c r="A352" s="2" t="s">
        <v>48</v>
      </c>
      <c r="D352" t="s">
        <v>224</v>
      </c>
      <c r="E352">
        <v>0</v>
      </c>
      <c r="G352" t="s">
        <v>333</v>
      </c>
      <c r="H352" s="2">
        <f>INDEX(Data!G:G,MATCH(G352,Data!A:A,0),1)</f>
        <v>0.55000000000000004</v>
      </c>
      <c r="I352" s="2">
        <f>INDEX(Data!J:J,MATCH(G352,Data!A:A,0),1)</f>
        <v>0.40714285714285714</v>
      </c>
      <c r="J352" s="2">
        <f>INDEX(Data!R:R,MATCH(G352,Data!A:A,0),1)</f>
        <v>0</v>
      </c>
      <c r="K352" s="2">
        <f>INDEX(Data!S:S,MATCH(G352,Data!A:A,0),1)</f>
        <v>0.432</v>
      </c>
      <c r="L352" t="str">
        <f t="shared" si="5"/>
        <v>Mineral oil refineries</v>
      </c>
      <c r="M352">
        <f>INDEX(Data!AD:AD,MATCH($G352,Data!$A:$A,0),1)</f>
        <v>0.72599999999999998</v>
      </c>
      <c r="N352">
        <f>INDEX(Data!AE:AE,MATCH($G352,Data!$A:$A,0),1)</f>
        <v>0.30499999999999999</v>
      </c>
      <c r="O352">
        <f>INDEX(Data!AG:AG,MATCH($G352,Data!$A:$A,0),1)</f>
        <v>0.63412830119313213</v>
      </c>
      <c r="P352">
        <f>INDEX(Data!AH:AH,MATCH($G352,Data!$A:$A,0),1)</f>
        <v>8.240093553846331E-2</v>
      </c>
      <c r="Q352">
        <f>IFERROR(IF(MATCH(B352,#REF!,0)&gt;0,1),0)</f>
        <v>0</v>
      </c>
    </row>
    <row r="353" spans="1:17" x14ac:dyDescent="0.2">
      <c r="A353" t="s">
        <v>33</v>
      </c>
      <c r="B353" t="s">
        <v>93</v>
      </c>
      <c r="C353" t="s">
        <v>94</v>
      </c>
      <c r="D353" t="s">
        <v>95</v>
      </c>
      <c r="E353" t="s">
        <v>94</v>
      </c>
      <c r="F353">
        <v>1</v>
      </c>
      <c r="G353" t="s">
        <v>338</v>
      </c>
      <c r="H353" s="2">
        <f>INDEX(Data!G:G,MATCH(G353,Data!A:A,0),1)</f>
        <v>1.1838611017829463</v>
      </c>
      <c r="I353" s="2">
        <f>INDEX(Data!J:J,MATCH(G353,Data!A:A,0),1)</f>
        <v>1.0013516184567537</v>
      </c>
      <c r="J353" s="2">
        <f>INDEX(Data!R:R,MATCH(G353,Data!A:A,0),1)</f>
        <v>2.6802340811720051</v>
      </c>
      <c r="K353" s="2">
        <f>INDEX(Data!S:S,MATCH(G353,Data!A:A,0),1)</f>
        <v>27.108503329226927</v>
      </c>
      <c r="L353" t="str">
        <f t="shared" si="5"/>
        <v>Other activity opted-in pursuant to Article 24 of Directive 2003/87/EC_Manufacture of basic pharmaceutical products</v>
      </c>
      <c r="M353">
        <f>INDEX(Data!AD:AD,MATCH($G353,Data!$A:$A,0),1)</f>
        <v>0.81199999999999994</v>
      </c>
      <c r="N353">
        <f>INDEX(Data!AE:AE,MATCH($G353,Data!$A:$A,0),1)</f>
        <v>0.73899999999999999</v>
      </c>
      <c r="O353">
        <f>INDEX(Data!AG:AG,MATCH($G353,Data!$A:$A,0),1)</f>
        <v>1.3265650001686902</v>
      </c>
      <c r="P353">
        <f>INDEX(Data!AH:AH,MATCH($G353,Data!$A:$A,0),1)</f>
        <v>6.8406134516345016</v>
      </c>
      <c r="Q353">
        <f>IFERROR(IF(MATCH(B353,#REF!,0)&gt;0,1),0)</f>
        <v>0</v>
      </c>
    </row>
    <row r="354" spans="1:17" x14ac:dyDescent="0.2">
      <c r="A354" t="s">
        <v>33</v>
      </c>
      <c r="B354" t="s">
        <v>185</v>
      </c>
      <c r="C354" t="s">
        <v>95</v>
      </c>
      <c r="D354" t="s">
        <v>95</v>
      </c>
      <c r="E354" t="s">
        <v>95</v>
      </c>
      <c r="F354">
        <v>3</v>
      </c>
      <c r="G354" t="s">
        <v>349</v>
      </c>
      <c r="H354" s="2">
        <f>INDEX(Data!G:G,MATCH(G354,Data!A:A,0),1)</f>
        <v>1.5967631163208207</v>
      </c>
      <c r="I354" s="2">
        <f>INDEX(Data!J:J,MATCH(G354,Data!A:A,0),1)</f>
        <v>1.2656396050839946</v>
      </c>
      <c r="J354" s="2">
        <f>INDEX(Data!R:R,MATCH(G354,Data!A:A,0),1)</f>
        <v>3.2911730425008185</v>
      </c>
      <c r="K354" s="2">
        <f>INDEX(Data!S:S,MATCH(G354,Data!A:A,0),1)</f>
        <v>10.213571642020407</v>
      </c>
      <c r="L354" t="str">
        <f t="shared" si="5"/>
        <v>Other activity opted-in pursuant to Article 24 of Directive 2003/87/EC_Manufacture of other inorganic basic chemicals</v>
      </c>
      <c r="M354">
        <f>INDEX(Data!AD:AD,MATCH($G354,Data!$A:$A,0),1)</f>
        <v>0.81200000000000028</v>
      </c>
      <c r="N354">
        <f>INDEX(Data!AE:AE,MATCH($G354,Data!$A:$A,0),1)</f>
        <v>0.73899999999999999</v>
      </c>
      <c r="O354">
        <f>INDEX(Data!AG:AG,MATCH($G354,Data!$A:$A,0),1)</f>
        <v>1.3556812573212713</v>
      </c>
      <c r="P354">
        <f>INDEX(Data!AH:AH,MATCH($G354,Data!$A:$A,0),1)</f>
        <v>3.2322103139373444</v>
      </c>
      <c r="Q354">
        <f>IFERROR(IF(MATCH(B354,#REF!,0)&gt;0,1),0)</f>
        <v>0</v>
      </c>
    </row>
    <row r="355" spans="1:17" x14ac:dyDescent="0.2">
      <c r="A355" t="s">
        <v>33</v>
      </c>
      <c r="B355" t="s">
        <v>191</v>
      </c>
      <c r="C355" t="s">
        <v>95</v>
      </c>
      <c r="D355" t="s">
        <v>95</v>
      </c>
      <c r="E355" t="s">
        <v>95</v>
      </c>
      <c r="F355">
        <v>2</v>
      </c>
      <c r="G355" t="s">
        <v>348</v>
      </c>
      <c r="H355" s="2">
        <f>INDEX(Data!G:G,MATCH(G355,Data!A:A,0),1)</f>
        <v>0.7451576638020061</v>
      </c>
      <c r="I355" s="2">
        <f>INDEX(Data!J:J,MATCH(G355,Data!A:A,0),1)</f>
        <v>0.6864801988122935</v>
      </c>
      <c r="J355" s="2">
        <f>INDEX(Data!R:R,MATCH(G355,Data!A:A,0),1)</f>
        <v>2.1991404818942466</v>
      </c>
      <c r="K355" s="2">
        <f>INDEX(Data!S:S,MATCH(G355,Data!A:A,0),1)</f>
        <v>40.412685922642247</v>
      </c>
      <c r="L355" t="str">
        <f t="shared" si="5"/>
        <v>Other activity opted-in pursuant to Article 24 of Directive 2003/87/EC_Manufacture of other organic basic chemicals</v>
      </c>
      <c r="M355">
        <f>INDEX(Data!AD:AD,MATCH($G355,Data!$A:$A,0),1)</f>
        <v>0.81200000000000028</v>
      </c>
      <c r="N355">
        <f>INDEX(Data!AE:AE,MATCH($G355,Data!$A:$A,0),1)</f>
        <v>0.73899999999999988</v>
      </c>
      <c r="O355">
        <f>INDEX(Data!AG:AG,MATCH($G355,Data!$A:$A,0),1)</f>
        <v>1.303636940513492</v>
      </c>
      <c r="P355">
        <f>INDEX(Data!AH:AH,MATCH($G355,Data!$A:$A,0),1)</f>
        <v>9.6821078775000036</v>
      </c>
      <c r="Q355">
        <f>IFERROR(IF(MATCH(B355,#REF!,0)&gt;0,1),0)</f>
        <v>0</v>
      </c>
    </row>
    <row r="356" spans="1:17" x14ac:dyDescent="0.2">
      <c r="A356" t="s">
        <v>33</v>
      </c>
      <c r="B356" t="s">
        <v>56</v>
      </c>
      <c r="C356" t="s">
        <v>54</v>
      </c>
      <c r="D356" t="s">
        <v>403</v>
      </c>
      <c r="E356" t="s">
        <v>55</v>
      </c>
      <c r="F356">
        <v>2</v>
      </c>
      <c r="G356" t="s">
        <v>325</v>
      </c>
      <c r="H356" s="2">
        <f>INDEX(Data!G:G,MATCH(G356,Data!A:A,0),1)</f>
        <v>5.79E-2</v>
      </c>
      <c r="I356" s="2">
        <f>INDEX(Data!J:J,MATCH(G356,Data!A:A,0),1)</f>
        <v>4.2599999999999999E-2</v>
      </c>
      <c r="J356" s="2">
        <f>INDEX(Data!R:R,MATCH(G356,Data!A:A,0),1)</f>
        <v>1</v>
      </c>
      <c r="K356" s="2">
        <f>INDEX(Data!S:S,MATCH(G356,Data!A:A,0),1)</f>
        <v>0</v>
      </c>
      <c r="L356" t="str">
        <f t="shared" si="5"/>
        <v>Other activity opted-in pursuant to Article 24 of Directive 2003/87/EC_Extraction of natural gas</v>
      </c>
      <c r="M356">
        <f>INDEX(Data!AD:AD,MATCH($G356,Data!$A:$A,0),1)</f>
        <v>0.78200000000000003</v>
      </c>
      <c r="N356">
        <f>INDEX(Data!AE:AE,MATCH($G356,Data!$A:$A,0),1)</f>
        <v>0.63500000000000001</v>
      </c>
      <c r="O356">
        <f>INDEX(Data!AG:AG,MATCH($G356,Data!$A:$A,0),1)</f>
        <v>1.1486856676492798</v>
      </c>
      <c r="P356">
        <f>INDEX(Data!AH:AH,MATCH($G356,Data!$A:$A,0),1)</f>
        <v>1.7068864766411047</v>
      </c>
      <c r="Q356">
        <f>IFERROR(IF(MATCH(B356,#REF!,0)&gt;0,1),0)</f>
        <v>0</v>
      </c>
    </row>
    <row r="357" spans="1:17" x14ac:dyDescent="0.2">
      <c r="A357" t="s">
        <v>33</v>
      </c>
      <c r="B357" t="s">
        <v>189</v>
      </c>
      <c r="C357" t="s">
        <v>81</v>
      </c>
      <c r="D357" t="s">
        <v>409</v>
      </c>
      <c r="E357" t="s">
        <v>190</v>
      </c>
      <c r="F357">
        <v>2</v>
      </c>
      <c r="G357" t="s">
        <v>357</v>
      </c>
      <c r="H357" s="2">
        <f>INDEX(Data!G:G,MATCH(G357,Data!A:A,0),1)</f>
        <v>0.805852417888692</v>
      </c>
      <c r="I357" s="2">
        <f>INDEX(Data!J:J,MATCH(G357,Data!A:A,0),1)</f>
        <v>0.66291615790238245</v>
      </c>
      <c r="J357" s="2">
        <f>INDEX(Data!R:R,MATCH(G357,Data!A:A,0),1)</f>
        <v>4.5353855263775982</v>
      </c>
      <c r="K357" s="2">
        <f>INDEX(Data!S:S,MATCH(G357,Data!A:A,0),1)</f>
        <v>0</v>
      </c>
      <c r="L357" t="str">
        <f t="shared" si="5"/>
        <v>Other activity opted-in pursuant to Article 24 of Directive 2003/87/EC_Manufacture of other non-metallic mineral products n.e.c.</v>
      </c>
      <c r="M357">
        <f>INDEX(Data!AD:AD,MATCH($G357,Data!$A:$A,0),1)</f>
        <v>0.60000000000000009</v>
      </c>
      <c r="N357">
        <f>INDEX(Data!AE:AE,MATCH($G357,Data!$A:$A,0),1)</f>
        <v>0.59800000000000009</v>
      </c>
      <c r="O357">
        <f>INDEX(Data!AG:AG,MATCH($G357,Data!$A:$A,0),1)</f>
        <v>1.5739122718925649</v>
      </c>
      <c r="P357">
        <f>INDEX(Data!AH:AH,MATCH($G357,Data!$A:$A,0),1)</f>
        <v>19.180526497604429</v>
      </c>
      <c r="Q357">
        <f>IFERROR(IF(MATCH(B357,#REF!,0)&gt;0,1),0)</f>
        <v>0</v>
      </c>
    </row>
    <row r="358" spans="1:17" x14ac:dyDescent="0.2">
      <c r="A358" t="s">
        <v>33</v>
      </c>
      <c r="B358" t="s">
        <v>31</v>
      </c>
      <c r="C358" t="s">
        <v>32</v>
      </c>
      <c r="D358" t="s">
        <v>403</v>
      </c>
      <c r="E358" t="s">
        <v>15</v>
      </c>
      <c r="F358">
        <v>7</v>
      </c>
      <c r="G358" t="s">
        <v>325</v>
      </c>
      <c r="H358" s="2">
        <f>INDEX(Data!G:G,MATCH(G358,Data!A:A,0),1)</f>
        <v>5.79E-2</v>
      </c>
      <c r="I358" s="2">
        <f>INDEX(Data!J:J,MATCH(G358,Data!A:A,0),1)</f>
        <v>4.2599999999999999E-2</v>
      </c>
      <c r="J358" s="2">
        <f>INDEX(Data!R:R,MATCH(G358,Data!A:A,0),1)</f>
        <v>1</v>
      </c>
      <c r="K358" s="2">
        <f>INDEX(Data!S:S,MATCH(G358,Data!A:A,0),1)</f>
        <v>0</v>
      </c>
      <c r="L358" t="str">
        <f t="shared" si="5"/>
        <v>Other activity opted-in pursuant to Article 24 of Directive 2003/87/EC_Data processing, hosting and related activities</v>
      </c>
      <c r="M358">
        <f>INDEX(Data!AD:AD,MATCH($G358,Data!$A:$A,0),1)</f>
        <v>0.78200000000000003</v>
      </c>
      <c r="N358">
        <f>INDEX(Data!AE:AE,MATCH($G358,Data!$A:$A,0),1)</f>
        <v>0.63500000000000001</v>
      </c>
      <c r="O358">
        <f>INDEX(Data!AG:AG,MATCH($G358,Data!$A:$A,0),1)</f>
        <v>1.1486856676492798</v>
      </c>
      <c r="P358">
        <f>INDEX(Data!AH:AH,MATCH($G358,Data!$A:$A,0),1)</f>
        <v>1.7068864766411047</v>
      </c>
      <c r="Q358">
        <f>IFERROR(IF(MATCH(B358,#REF!,0)&gt;0,1),0)</f>
        <v>0</v>
      </c>
    </row>
    <row r="359" spans="1:17" x14ac:dyDescent="0.2">
      <c r="A359" t="s">
        <v>33</v>
      </c>
      <c r="B359" t="s">
        <v>238</v>
      </c>
      <c r="C359" t="s">
        <v>89</v>
      </c>
      <c r="D359" t="s">
        <v>403</v>
      </c>
      <c r="E359" t="s">
        <v>15</v>
      </c>
      <c r="F359">
        <v>3</v>
      </c>
      <c r="G359" t="s">
        <v>325</v>
      </c>
      <c r="H359" s="2">
        <f>INDEX(Data!G:G,MATCH(G359,Data!A:A,0),1)</f>
        <v>5.79E-2</v>
      </c>
      <c r="I359" s="2">
        <f>INDEX(Data!J:J,MATCH(G359,Data!A:A,0),1)</f>
        <v>4.2599999999999999E-2</v>
      </c>
      <c r="J359" s="2">
        <f>INDEX(Data!R:R,MATCH(G359,Data!A:A,0),1)</f>
        <v>1</v>
      </c>
      <c r="K359" s="2">
        <f>INDEX(Data!S:S,MATCH(G359,Data!A:A,0),1)</f>
        <v>0</v>
      </c>
      <c r="L359" t="str">
        <f t="shared" si="5"/>
        <v>Other activity opted-in pursuant to Article 24 of Directive 2003/87/EC_Manufacture of veneer sheets and wood-based panels</v>
      </c>
      <c r="M359">
        <f>INDEX(Data!AD:AD,MATCH($G359,Data!$A:$A,0),1)</f>
        <v>0.78200000000000003</v>
      </c>
      <c r="N359">
        <f>INDEX(Data!AE:AE,MATCH($G359,Data!$A:$A,0),1)</f>
        <v>0.63500000000000001</v>
      </c>
      <c r="O359">
        <f>INDEX(Data!AG:AG,MATCH($G359,Data!$A:$A,0),1)</f>
        <v>1.1486856676492798</v>
      </c>
      <c r="P359">
        <f>INDEX(Data!AH:AH,MATCH($G359,Data!$A:$A,0),1)</f>
        <v>1.7068864766411047</v>
      </c>
      <c r="Q359">
        <f>IFERROR(IF(MATCH(B359,#REF!,0)&gt;0,1),0)</f>
        <v>0</v>
      </c>
    </row>
    <row r="360" spans="1:17" x14ac:dyDescent="0.2">
      <c r="A360" t="s">
        <v>33</v>
      </c>
      <c r="B360" t="s">
        <v>47</v>
      </c>
      <c r="C360" t="s">
        <v>44</v>
      </c>
      <c r="D360" t="s">
        <v>45</v>
      </c>
      <c r="E360" t="s">
        <v>45</v>
      </c>
      <c r="F360">
        <v>2</v>
      </c>
      <c r="G360" t="s">
        <v>325</v>
      </c>
      <c r="H360" s="2">
        <f>INDEX(Data!G:G,MATCH(G360,Data!A:A,0),1)</f>
        <v>5.79E-2</v>
      </c>
      <c r="I360" s="2">
        <f>INDEX(Data!J:J,MATCH(G360,Data!A:A,0),1)</f>
        <v>4.2599999999999999E-2</v>
      </c>
      <c r="J360" s="2">
        <f>INDEX(Data!R:R,MATCH(G360,Data!A:A,0),1)</f>
        <v>1</v>
      </c>
      <c r="K360" s="2">
        <f>INDEX(Data!S:S,MATCH(G360,Data!A:A,0),1)</f>
        <v>0</v>
      </c>
      <c r="L360" t="str">
        <f t="shared" si="5"/>
        <v>Other activity opted-in pursuant to Article 24 of Directive 2003/87/EC_Electric power generation, transmission and distribution</v>
      </c>
      <c r="M360">
        <f>INDEX(Data!AD:AD,MATCH($G360,Data!$A:$A,0),1)</f>
        <v>0.78200000000000003</v>
      </c>
      <c r="N360">
        <f>INDEX(Data!AE:AE,MATCH($G360,Data!$A:$A,0),1)</f>
        <v>0.63500000000000001</v>
      </c>
      <c r="O360">
        <f>INDEX(Data!AG:AG,MATCH($G360,Data!$A:$A,0),1)</f>
        <v>1.1486856676492798</v>
      </c>
      <c r="P360">
        <f>INDEX(Data!AH:AH,MATCH($G360,Data!$A:$A,0),1)</f>
        <v>1.7068864766411047</v>
      </c>
      <c r="Q360">
        <f>IFERROR(IF(MATCH(B360,#REF!,0)&gt;0,1),0)</f>
        <v>0</v>
      </c>
    </row>
    <row r="361" spans="1:17" x14ac:dyDescent="0.2">
      <c r="A361" t="s">
        <v>33</v>
      </c>
      <c r="B361" t="s">
        <v>44</v>
      </c>
      <c r="C361" t="s">
        <v>44</v>
      </c>
      <c r="D361" t="s">
        <v>45</v>
      </c>
      <c r="E361" t="s">
        <v>45</v>
      </c>
      <c r="F361">
        <v>22</v>
      </c>
      <c r="G361" t="s">
        <v>329</v>
      </c>
      <c r="H361" s="2">
        <f>INDEX(Data!G:G,MATCH(G361,Data!A:A,0),1)</f>
        <v>7.6799999999999993E-2</v>
      </c>
      <c r="I361" s="2">
        <f>INDEX(Data!J:J,MATCH(G361,Data!A:A,0),1)</f>
        <v>4.7300000000000002E-2</v>
      </c>
      <c r="J361" s="2">
        <f>INDEX(Data!R:R,MATCH(G361,Data!A:A,0),1)</f>
        <v>1</v>
      </c>
      <c r="K361" s="2">
        <f>INDEX(Data!S:S,MATCH(G361,Data!A:A,0),1)</f>
        <v>0</v>
      </c>
      <c r="L361" t="str">
        <f t="shared" si="5"/>
        <v>Other activity opted-in pursuant to Article 24 of Directive 2003/87/EC_Electricity, gas, steam and air conditioning supply</v>
      </c>
      <c r="M361">
        <f>INDEX(Data!AD:AD,MATCH($G361,Data!$A:$A,0),1)</f>
        <v>0.78200000000000003</v>
      </c>
      <c r="N361">
        <f>INDEX(Data!AE:AE,MATCH($G361,Data!$A:$A,0),1)</f>
        <v>0.63500000000000001</v>
      </c>
      <c r="O361">
        <f>INDEX(Data!AG:AG,MATCH($G361,Data!$A:$A,0),1)</f>
        <v>1.1486856676492798</v>
      </c>
      <c r="P361">
        <f>INDEX(Data!AH:AH,MATCH($G361,Data!$A:$A,0),1)</f>
        <v>1.7068864766411047</v>
      </c>
      <c r="Q361">
        <f>IFERROR(IF(MATCH(B361,#REF!,0)&gt;0,1),0)</f>
        <v>0</v>
      </c>
    </row>
    <row r="362" spans="1:17" x14ac:dyDescent="0.2">
      <c r="A362" t="s">
        <v>33</v>
      </c>
      <c r="B362" t="s">
        <v>282</v>
      </c>
      <c r="C362" t="s">
        <v>44</v>
      </c>
      <c r="D362" t="s">
        <v>45</v>
      </c>
      <c r="E362" t="s">
        <v>45</v>
      </c>
      <c r="F362">
        <v>33</v>
      </c>
      <c r="G362" t="s">
        <v>325</v>
      </c>
      <c r="H362" s="2">
        <f>INDEX(Data!G:G,MATCH(G362,Data!A:A,0),1)</f>
        <v>5.79E-2</v>
      </c>
      <c r="I362" s="2">
        <f>INDEX(Data!J:J,MATCH(G362,Data!A:A,0),1)</f>
        <v>4.2599999999999999E-2</v>
      </c>
      <c r="J362" s="2">
        <f>INDEX(Data!R:R,MATCH(G362,Data!A:A,0),1)</f>
        <v>1</v>
      </c>
      <c r="K362" s="2">
        <f>INDEX(Data!S:S,MATCH(G362,Data!A:A,0),1)</f>
        <v>0</v>
      </c>
      <c r="L362" t="str">
        <f t="shared" si="5"/>
        <v>Other activity opted-in pursuant to Article 24 of Directive 2003/87/EC_Production of electricity</v>
      </c>
      <c r="M362">
        <f>INDEX(Data!AD:AD,MATCH($G362,Data!$A:$A,0),1)</f>
        <v>0.78200000000000003</v>
      </c>
      <c r="N362">
        <f>INDEX(Data!AE:AE,MATCH($G362,Data!$A:$A,0),1)</f>
        <v>0.63500000000000001</v>
      </c>
      <c r="O362">
        <f>INDEX(Data!AG:AG,MATCH($G362,Data!$A:$A,0),1)</f>
        <v>1.1486856676492798</v>
      </c>
      <c r="P362">
        <f>INDEX(Data!AH:AH,MATCH($G362,Data!$A:$A,0),1)</f>
        <v>1.7068864766411047</v>
      </c>
      <c r="Q362">
        <f>IFERROR(IF(MATCH(B362,#REF!,0)&gt;0,1),0)</f>
        <v>0</v>
      </c>
    </row>
    <row r="363" spans="1:17" x14ac:dyDescent="0.2">
      <c r="A363" t="s">
        <v>33</v>
      </c>
      <c r="B363" t="s">
        <v>301</v>
      </c>
      <c r="C363" t="s">
        <v>44</v>
      </c>
      <c r="D363" t="s">
        <v>45</v>
      </c>
      <c r="E363" t="s">
        <v>45</v>
      </c>
      <c r="F363">
        <v>123</v>
      </c>
      <c r="G363" t="s">
        <v>329</v>
      </c>
      <c r="H363" s="2">
        <f>INDEX(Data!G:G,MATCH(G363,Data!A:A,0),1)</f>
        <v>7.6799999999999993E-2</v>
      </c>
      <c r="I363" s="2">
        <f>INDEX(Data!J:J,MATCH(G363,Data!A:A,0),1)</f>
        <v>4.7300000000000002E-2</v>
      </c>
      <c r="J363" s="2">
        <f>INDEX(Data!R:R,MATCH(G363,Data!A:A,0),1)</f>
        <v>1</v>
      </c>
      <c r="K363" s="2">
        <f>INDEX(Data!S:S,MATCH(G363,Data!A:A,0),1)</f>
        <v>0</v>
      </c>
      <c r="L363" t="str">
        <f t="shared" si="5"/>
        <v>Other activity opted-in pursuant to Article 24 of Directive 2003/87/EC_Steam and air conditioning supply</v>
      </c>
      <c r="M363">
        <f>INDEX(Data!AD:AD,MATCH($G363,Data!$A:$A,0),1)</f>
        <v>0.78200000000000003</v>
      </c>
      <c r="N363">
        <f>INDEX(Data!AE:AE,MATCH($G363,Data!$A:$A,0),1)</f>
        <v>0.63500000000000001</v>
      </c>
      <c r="O363">
        <f>INDEX(Data!AG:AG,MATCH($G363,Data!$A:$A,0),1)</f>
        <v>1.1486856676492798</v>
      </c>
      <c r="P363">
        <f>INDEX(Data!AH:AH,MATCH($G363,Data!$A:$A,0),1)</f>
        <v>1.7068864766411047</v>
      </c>
      <c r="Q363">
        <f>IFERROR(IF(MATCH(B363,#REF!,0)&gt;0,1),0)</f>
        <v>0</v>
      </c>
    </row>
    <row r="364" spans="1:17" x14ac:dyDescent="0.2">
      <c r="A364" s="2" t="s">
        <v>33</v>
      </c>
      <c r="D364" t="s">
        <v>403</v>
      </c>
      <c r="E364">
        <v>0</v>
      </c>
      <c r="G364" t="s">
        <v>325</v>
      </c>
      <c r="H364" s="2">
        <f>INDEX(Data!G:G,MATCH(G364,Data!A:A,0),1)</f>
        <v>5.79E-2</v>
      </c>
      <c r="I364" s="2">
        <f>INDEX(Data!J:J,MATCH(G364,Data!A:A,0),1)</f>
        <v>4.2599999999999999E-2</v>
      </c>
      <c r="J364" s="2">
        <f>INDEX(Data!R:R,MATCH(G364,Data!A:A,0),1)</f>
        <v>1</v>
      </c>
      <c r="K364" s="2">
        <f>INDEX(Data!S:S,MATCH(G364,Data!A:A,0),1)</f>
        <v>0</v>
      </c>
      <c r="L364" t="str">
        <f t="shared" si="5"/>
        <v>Other activity opted-in pursuant to Article 24 of Directive 2003/87/EC</v>
      </c>
      <c r="M364">
        <f>INDEX(Data!AD:AD,MATCH($G364,Data!$A:$A,0),1)</f>
        <v>0.78200000000000003</v>
      </c>
      <c r="N364">
        <f>INDEX(Data!AE:AE,MATCH($G364,Data!$A:$A,0),1)</f>
        <v>0.63500000000000001</v>
      </c>
      <c r="O364">
        <f>INDEX(Data!AG:AG,MATCH($G364,Data!$A:$A,0),1)</f>
        <v>1.1486856676492798</v>
      </c>
      <c r="P364">
        <f>INDEX(Data!AH:AH,MATCH($G364,Data!$A:$A,0),1)</f>
        <v>1.7068864766411047</v>
      </c>
      <c r="Q364">
        <f>IFERROR(IF(MATCH(B364,#REF!,0)&gt;0,1),0)</f>
        <v>0</v>
      </c>
    </row>
    <row r="365" spans="1:17" x14ac:dyDescent="0.2">
      <c r="A365" t="s">
        <v>192</v>
      </c>
      <c r="B365" t="s">
        <v>191</v>
      </c>
      <c r="C365" t="s">
        <v>95</v>
      </c>
      <c r="D365" t="s">
        <v>95</v>
      </c>
      <c r="E365" t="s">
        <v>95</v>
      </c>
      <c r="F365">
        <v>3</v>
      </c>
      <c r="G365" t="s">
        <v>345</v>
      </c>
      <c r="H365" s="2">
        <f>INDEX(Data!G:G,MATCH(G365,Data!A:A,0),1)</f>
        <v>1.1399999999999999</v>
      </c>
      <c r="I365" s="2">
        <f>INDEX(Data!J:J,MATCH(G365,Data!A:A,0),1)</f>
        <v>2.12</v>
      </c>
      <c r="J365" s="2">
        <f>INDEX(Data!R:R,MATCH(G365,Data!A:A,0),1)</f>
        <v>21.6</v>
      </c>
      <c r="K365" s="2">
        <f>INDEX(Data!S:S,MATCH(G365,Data!A:A,0),1)</f>
        <v>0</v>
      </c>
      <c r="L365" t="str">
        <f t="shared" si="5"/>
        <v>Production of adipic acid_Manufacture of other organic basic chemicals</v>
      </c>
      <c r="M365">
        <f>INDEX(Data!AD:AD,MATCH($G365,Data!$A:$A,0),1)</f>
        <v>0.81200000000000006</v>
      </c>
      <c r="N365">
        <f>INDEX(Data!AE:AE,MATCH($G365,Data!$A:$A,0),1)</f>
        <v>0.73899999999999999</v>
      </c>
      <c r="O365">
        <f>INDEX(Data!AG:AG,MATCH($G365,Data!$A:$A,0),1)</f>
        <v>1.2983191848894986</v>
      </c>
      <c r="P365">
        <f>INDEX(Data!AH:AH,MATCH($G365,Data!$A:$A,0),1)</f>
        <v>4.8395672422172105</v>
      </c>
      <c r="Q365">
        <f>IFERROR(IF(MATCH(B365,#REF!,0)&gt;0,1),0)</f>
        <v>0</v>
      </c>
    </row>
    <row r="366" spans="1:17" x14ac:dyDescent="0.2">
      <c r="A366" s="2" t="s">
        <v>192</v>
      </c>
      <c r="D366" t="s">
        <v>95</v>
      </c>
      <c r="E366">
        <v>0</v>
      </c>
      <c r="G366" t="s">
        <v>345</v>
      </c>
      <c r="H366" s="2">
        <f>INDEX(Data!G:G,MATCH(G366,Data!A:A,0),1)</f>
        <v>1.1399999999999999</v>
      </c>
      <c r="I366" s="2">
        <f>INDEX(Data!J:J,MATCH(G366,Data!A:A,0),1)</f>
        <v>2.12</v>
      </c>
      <c r="J366" s="2">
        <f>INDEX(Data!R:R,MATCH(G366,Data!A:A,0),1)</f>
        <v>21.6</v>
      </c>
      <c r="K366" s="2">
        <f>INDEX(Data!S:S,MATCH(G366,Data!A:A,0),1)</f>
        <v>0</v>
      </c>
      <c r="L366" t="str">
        <f t="shared" si="5"/>
        <v>Production of adipic acid</v>
      </c>
      <c r="M366">
        <f>INDEX(Data!AD:AD,MATCH($G366,Data!$A:$A,0),1)</f>
        <v>0.81200000000000006</v>
      </c>
      <c r="N366">
        <f>INDEX(Data!AE:AE,MATCH($G366,Data!$A:$A,0),1)</f>
        <v>0.73899999999999999</v>
      </c>
      <c r="O366">
        <f>INDEX(Data!AG:AG,MATCH($G366,Data!$A:$A,0),1)</f>
        <v>1.2983191848894986</v>
      </c>
      <c r="P366">
        <f>INDEX(Data!AH:AH,MATCH($G366,Data!$A:$A,0),1)</f>
        <v>4.8395672422172105</v>
      </c>
      <c r="Q366">
        <f>IFERROR(IF(MATCH(B366,#REF!,0)&gt;0,1),0)</f>
        <v>0</v>
      </c>
    </row>
    <row r="367" spans="1:17" x14ac:dyDescent="0.2">
      <c r="A367" t="s">
        <v>136</v>
      </c>
      <c r="B367" t="s">
        <v>134</v>
      </c>
      <c r="C367" t="s">
        <v>95</v>
      </c>
      <c r="D367" t="s">
        <v>95</v>
      </c>
      <c r="E367" t="s">
        <v>95</v>
      </c>
      <c r="F367">
        <v>17</v>
      </c>
      <c r="G367" t="s">
        <v>340</v>
      </c>
      <c r="H367" s="2">
        <f>INDEX(Data!G:G,MATCH(G367,Data!A:A,0),1)</f>
        <v>1.9470000000000001</v>
      </c>
      <c r="I367" s="2">
        <f>INDEX(Data!J:J,MATCH(G367,Data!A:A,0),1)</f>
        <v>1.57</v>
      </c>
      <c r="J367" s="2">
        <f>INDEX(Data!R:R,MATCH(G367,Data!A:A,0),1)</f>
        <v>0</v>
      </c>
      <c r="K367" s="2">
        <f>INDEX(Data!S:S,MATCH(G367,Data!A:A,0),1)</f>
        <v>21.312000000000001</v>
      </c>
      <c r="L367" t="str">
        <f t="shared" si="5"/>
        <v>Production of ammonia_Manufacture of fertilisers and nitrogen compounds</v>
      </c>
      <c r="M367">
        <f>INDEX(Data!AD:AD,MATCH($G367,Data!$A:$A,0),1)</f>
        <v>0.81200000000000006</v>
      </c>
      <c r="N367">
        <f>INDEX(Data!AE:AE,MATCH($G367,Data!$A:$A,0),1)</f>
        <v>0.73899999999999999</v>
      </c>
      <c r="O367">
        <f>INDEX(Data!AG:AG,MATCH($G367,Data!$A:$A,0),1)</f>
        <v>1.5336732814058982</v>
      </c>
      <c r="P367">
        <f>INDEX(Data!AH:AH,MATCH($G367,Data!$A:$A,0),1)</f>
        <v>1.9468975640819541</v>
      </c>
      <c r="Q367">
        <f>IFERROR(IF(MATCH(B367,#REF!,0)&gt;0,1),0)</f>
        <v>0</v>
      </c>
    </row>
    <row r="368" spans="1:17" x14ac:dyDescent="0.2">
      <c r="A368" t="s">
        <v>136</v>
      </c>
      <c r="B368" t="s">
        <v>191</v>
      </c>
      <c r="C368" t="s">
        <v>95</v>
      </c>
      <c r="D368" t="s">
        <v>95</v>
      </c>
      <c r="E368" t="s">
        <v>95</v>
      </c>
      <c r="F368">
        <v>1</v>
      </c>
      <c r="G368" t="s">
        <v>340</v>
      </c>
      <c r="H368" s="2">
        <f>INDEX(Data!G:G,MATCH(G368,Data!A:A,0),1)</f>
        <v>1.9470000000000001</v>
      </c>
      <c r="I368" s="2">
        <f>INDEX(Data!J:J,MATCH(G368,Data!A:A,0),1)</f>
        <v>1.57</v>
      </c>
      <c r="J368" s="2">
        <f>INDEX(Data!R:R,MATCH(G368,Data!A:A,0),1)</f>
        <v>0</v>
      </c>
      <c r="K368" s="2">
        <f>INDEX(Data!S:S,MATCH(G368,Data!A:A,0),1)</f>
        <v>21.312000000000001</v>
      </c>
      <c r="L368" t="str">
        <f t="shared" si="5"/>
        <v>Production of ammonia_Manufacture of other organic basic chemicals</v>
      </c>
      <c r="M368">
        <f>INDEX(Data!AD:AD,MATCH($G368,Data!$A:$A,0),1)</f>
        <v>0.81200000000000006</v>
      </c>
      <c r="N368">
        <f>INDEX(Data!AE:AE,MATCH($G368,Data!$A:$A,0),1)</f>
        <v>0.73899999999999999</v>
      </c>
      <c r="O368">
        <f>INDEX(Data!AG:AG,MATCH($G368,Data!$A:$A,0),1)</f>
        <v>1.5336732814058982</v>
      </c>
      <c r="P368">
        <f>INDEX(Data!AH:AH,MATCH($G368,Data!$A:$A,0),1)</f>
        <v>1.9468975640819541</v>
      </c>
      <c r="Q368">
        <f>IFERROR(IF(MATCH(B368,#REF!,0)&gt;0,1),0)</f>
        <v>0</v>
      </c>
    </row>
    <row r="369" spans="1:17" x14ac:dyDescent="0.2">
      <c r="A369" s="2" t="s">
        <v>136</v>
      </c>
      <c r="D369" t="s">
        <v>95</v>
      </c>
      <c r="E369">
        <v>0</v>
      </c>
      <c r="G369" t="s">
        <v>340</v>
      </c>
      <c r="H369" s="2">
        <f>INDEX(Data!G:G,MATCH(G369,Data!A:A,0),1)</f>
        <v>1.9470000000000001</v>
      </c>
      <c r="I369" s="2">
        <f>INDEX(Data!J:J,MATCH(G369,Data!A:A,0),1)</f>
        <v>1.57</v>
      </c>
      <c r="J369" s="2">
        <f>INDEX(Data!R:R,MATCH(G369,Data!A:A,0),1)</f>
        <v>0</v>
      </c>
      <c r="K369" s="2">
        <f>INDEX(Data!S:S,MATCH(G369,Data!A:A,0),1)</f>
        <v>21.312000000000001</v>
      </c>
      <c r="L369" t="str">
        <f t="shared" si="5"/>
        <v>Production of ammonia</v>
      </c>
      <c r="M369">
        <f>INDEX(Data!AD:AD,MATCH($G369,Data!$A:$A,0),1)</f>
        <v>0.81200000000000006</v>
      </c>
      <c r="N369">
        <f>INDEX(Data!AE:AE,MATCH($G369,Data!$A:$A,0),1)</f>
        <v>0.73899999999999999</v>
      </c>
      <c r="O369">
        <f>INDEX(Data!AG:AG,MATCH($G369,Data!$A:$A,0),1)</f>
        <v>1.5336732814058982</v>
      </c>
      <c r="P369">
        <f>INDEX(Data!AH:AH,MATCH($G369,Data!$A:$A,0),1)</f>
        <v>1.9468975640819541</v>
      </c>
      <c r="Q369">
        <f>IFERROR(IF(MATCH(B369,#REF!,0)&gt;0,1),0)</f>
        <v>0</v>
      </c>
    </row>
    <row r="370" spans="1:17" x14ac:dyDescent="0.2">
      <c r="A370" t="s">
        <v>34</v>
      </c>
      <c r="B370" t="s">
        <v>125</v>
      </c>
      <c r="C370" t="s">
        <v>95</v>
      </c>
      <c r="D370" t="s">
        <v>95</v>
      </c>
      <c r="E370" t="s">
        <v>95</v>
      </c>
      <c r="F370">
        <v>1</v>
      </c>
      <c r="G370" t="s">
        <v>338</v>
      </c>
      <c r="H370" s="2">
        <f>INDEX(Data!G:G,MATCH(G370,Data!A:A,0),1)</f>
        <v>1.1838611017829463</v>
      </c>
      <c r="I370" s="2">
        <f>INDEX(Data!J:J,MATCH(G370,Data!A:A,0),1)</f>
        <v>1.0013516184567537</v>
      </c>
      <c r="J370" s="2">
        <f>INDEX(Data!R:R,MATCH(G370,Data!A:A,0),1)</f>
        <v>2.6802340811720051</v>
      </c>
      <c r="K370" s="2">
        <f>INDEX(Data!S:S,MATCH(G370,Data!A:A,0),1)</f>
        <v>27.108503329226927</v>
      </c>
      <c r="L370" t="str">
        <f t="shared" si="5"/>
        <v>Production of bulk chemicals_Manufacture of dyes and pigments</v>
      </c>
      <c r="M370">
        <f>INDEX(Data!AD:AD,MATCH($G370,Data!$A:$A,0),1)</f>
        <v>0.81199999999999994</v>
      </c>
      <c r="N370">
        <f>INDEX(Data!AE:AE,MATCH($G370,Data!$A:$A,0),1)</f>
        <v>0.73899999999999999</v>
      </c>
      <c r="O370">
        <f>INDEX(Data!AG:AG,MATCH($G370,Data!$A:$A,0),1)</f>
        <v>1.3265650001686902</v>
      </c>
      <c r="P370">
        <f>INDEX(Data!AH:AH,MATCH($G370,Data!$A:$A,0),1)</f>
        <v>6.8406134516345016</v>
      </c>
      <c r="Q370">
        <f>IFERROR(IF(MATCH(B370,#REF!,0)&gt;0,1),0)</f>
        <v>0</v>
      </c>
    </row>
    <row r="371" spans="1:17" x14ac:dyDescent="0.2">
      <c r="A371" t="s">
        <v>34</v>
      </c>
      <c r="B371" t="s">
        <v>134</v>
      </c>
      <c r="C371" t="s">
        <v>95</v>
      </c>
      <c r="D371" t="s">
        <v>95</v>
      </c>
      <c r="E371" t="s">
        <v>95</v>
      </c>
      <c r="F371">
        <v>4</v>
      </c>
      <c r="G371" t="s">
        <v>343</v>
      </c>
      <c r="H371" s="2">
        <f>INDEX(Data!G:G,MATCH(G371,Data!A:A,0),1)</f>
        <v>1.7186343172225256</v>
      </c>
      <c r="I371" s="2">
        <f>INDEX(Data!J:J,MATCH(G371,Data!A:A,0),1)</f>
        <v>1.3535743777501814</v>
      </c>
      <c r="J371" s="2">
        <f>INDEX(Data!R:R,MATCH(G371,Data!A:A,0),1)</f>
        <v>0</v>
      </c>
      <c r="K371" s="2">
        <f>INDEX(Data!S:S,MATCH(G371,Data!A:A,0),1)</f>
        <v>12.596122450268965</v>
      </c>
      <c r="L371" t="str">
        <f t="shared" si="5"/>
        <v>Production of bulk chemicals_Manufacture of fertilisers and nitrogen compounds</v>
      </c>
      <c r="M371">
        <f>INDEX(Data!AD:AD,MATCH($G371,Data!$A:$A,0),1)</f>
        <v>0.81200000000000017</v>
      </c>
      <c r="N371">
        <f>INDEX(Data!AE:AE,MATCH($G371,Data!$A:$A,0),1)</f>
        <v>0.7390000000000001</v>
      </c>
      <c r="O371">
        <f>INDEX(Data!AG:AG,MATCH($G371,Data!$A:$A,0),1)</f>
        <v>1.3999902829084085</v>
      </c>
      <c r="P371">
        <f>INDEX(Data!AH:AH,MATCH($G371,Data!$A:$A,0),1)</f>
        <v>3.5899569454976663</v>
      </c>
      <c r="Q371">
        <f>IFERROR(IF(MATCH(B371,#REF!,0)&gt;0,1),0)</f>
        <v>0</v>
      </c>
    </row>
    <row r="372" spans="1:17" x14ac:dyDescent="0.2">
      <c r="A372" t="s">
        <v>34</v>
      </c>
      <c r="B372" t="s">
        <v>144</v>
      </c>
      <c r="C372" t="s">
        <v>95</v>
      </c>
      <c r="D372" t="s">
        <v>95</v>
      </c>
      <c r="E372" t="s">
        <v>95</v>
      </c>
      <c r="F372">
        <v>2</v>
      </c>
      <c r="G372" t="s">
        <v>348</v>
      </c>
      <c r="H372" s="2">
        <f>INDEX(Data!G:G,MATCH(G372,Data!A:A,0),1)</f>
        <v>0.7451576638020061</v>
      </c>
      <c r="I372" s="2">
        <f>INDEX(Data!J:J,MATCH(G372,Data!A:A,0),1)</f>
        <v>0.6864801988122935</v>
      </c>
      <c r="J372" s="2">
        <f>INDEX(Data!R:R,MATCH(G372,Data!A:A,0),1)</f>
        <v>2.1991404818942466</v>
      </c>
      <c r="K372" s="2">
        <f>INDEX(Data!S:S,MATCH(G372,Data!A:A,0),1)</f>
        <v>40.412685922642247</v>
      </c>
      <c r="L372" t="str">
        <f t="shared" si="5"/>
        <v>Production of bulk chemicals_Manufacture of glues</v>
      </c>
      <c r="M372">
        <f>INDEX(Data!AD:AD,MATCH($G372,Data!$A:$A,0),1)</f>
        <v>0.81200000000000028</v>
      </c>
      <c r="N372">
        <f>INDEX(Data!AE:AE,MATCH($G372,Data!$A:$A,0),1)</f>
        <v>0.73899999999999988</v>
      </c>
      <c r="O372">
        <f>INDEX(Data!AG:AG,MATCH($G372,Data!$A:$A,0),1)</f>
        <v>1.303636940513492</v>
      </c>
      <c r="P372">
        <f>INDEX(Data!AH:AH,MATCH($G372,Data!$A:$A,0),1)</f>
        <v>9.6821078775000036</v>
      </c>
      <c r="Q372">
        <f>IFERROR(IF(MATCH(B372,#REF!,0)&gt;0,1),0)</f>
        <v>0</v>
      </c>
    </row>
    <row r="373" spans="1:17" x14ac:dyDescent="0.2">
      <c r="A373" t="s">
        <v>34</v>
      </c>
      <c r="B373" t="s">
        <v>152</v>
      </c>
      <c r="C373" t="s">
        <v>95</v>
      </c>
      <c r="D373" t="s">
        <v>95</v>
      </c>
      <c r="E373" t="s">
        <v>95</v>
      </c>
      <c r="F373">
        <v>3</v>
      </c>
      <c r="G373" t="s">
        <v>339</v>
      </c>
      <c r="H373" s="2">
        <f>INDEX(Data!G:G,MATCH(G373,Data!A:A,0),1)</f>
        <v>8.4591606470324017</v>
      </c>
      <c r="I373" s="2">
        <f>INDEX(Data!J:J,MATCH(G373,Data!A:A,0),1)</f>
        <v>6.4483962143983575</v>
      </c>
      <c r="J373" s="2">
        <f>INDEX(Data!R:R,MATCH(G373,Data!A:A,0),1)</f>
        <v>0</v>
      </c>
      <c r="K373" s="2">
        <f>INDEX(Data!S:S,MATCH(G373,Data!A:A,0),1)</f>
        <v>120.04801920768308</v>
      </c>
      <c r="L373" t="str">
        <f t="shared" si="5"/>
        <v>Production of bulk chemicals_Manufacture of industrial gases</v>
      </c>
      <c r="M373">
        <f>INDEX(Data!AD:AD,MATCH($G373,Data!$A:$A,0),1)</f>
        <v>0.81200000000000017</v>
      </c>
      <c r="N373">
        <f>INDEX(Data!AE:AE,MATCH($G373,Data!$A:$A,0),1)</f>
        <v>0.7390000000000001</v>
      </c>
      <c r="O373">
        <f>INDEX(Data!AG:AG,MATCH($G373,Data!$A:$A,0),1)</f>
        <v>1.2983191848894988</v>
      </c>
      <c r="P373">
        <f>INDEX(Data!AH:AH,MATCH($G373,Data!$A:$A,0),1)</f>
        <v>4.8395672422172114</v>
      </c>
      <c r="Q373">
        <f>IFERROR(IF(MATCH(B373,#REF!,0)&gt;0,1),0)</f>
        <v>0</v>
      </c>
    </row>
    <row r="374" spans="1:17" x14ac:dyDescent="0.2">
      <c r="A374" t="s">
        <v>34</v>
      </c>
      <c r="B374" t="s">
        <v>176</v>
      </c>
      <c r="C374" t="s">
        <v>95</v>
      </c>
      <c r="D374" t="s">
        <v>95</v>
      </c>
      <c r="E374" t="s">
        <v>95</v>
      </c>
      <c r="F374">
        <v>1</v>
      </c>
      <c r="G374" t="s">
        <v>338</v>
      </c>
      <c r="H374" s="2">
        <f>INDEX(Data!G:G,MATCH(G374,Data!A:A,0),1)</f>
        <v>1.1838611017829463</v>
      </c>
      <c r="I374" s="2">
        <f>INDEX(Data!J:J,MATCH(G374,Data!A:A,0),1)</f>
        <v>1.0013516184567537</v>
      </c>
      <c r="J374" s="2">
        <f>INDEX(Data!R:R,MATCH(G374,Data!A:A,0),1)</f>
        <v>2.6802340811720051</v>
      </c>
      <c r="K374" s="2">
        <f>INDEX(Data!S:S,MATCH(G374,Data!A:A,0),1)</f>
        <v>27.108503329226927</v>
      </c>
      <c r="L374" t="str">
        <f t="shared" si="5"/>
        <v>Production of bulk chemicals_Manufacture of other chemical products</v>
      </c>
      <c r="M374">
        <f>INDEX(Data!AD:AD,MATCH($G374,Data!$A:$A,0),1)</f>
        <v>0.81199999999999994</v>
      </c>
      <c r="N374">
        <f>INDEX(Data!AE:AE,MATCH($G374,Data!$A:$A,0),1)</f>
        <v>0.73899999999999999</v>
      </c>
      <c r="O374">
        <f>INDEX(Data!AG:AG,MATCH($G374,Data!$A:$A,0),1)</f>
        <v>1.3265650001686902</v>
      </c>
      <c r="P374">
        <f>INDEX(Data!AH:AH,MATCH($G374,Data!$A:$A,0),1)</f>
        <v>6.8406134516345016</v>
      </c>
      <c r="Q374">
        <f>IFERROR(IF(MATCH(B374,#REF!,0)&gt;0,1),0)</f>
        <v>0</v>
      </c>
    </row>
    <row r="375" spans="1:17" x14ac:dyDescent="0.2">
      <c r="A375" t="s">
        <v>34</v>
      </c>
      <c r="B375" t="s">
        <v>177</v>
      </c>
      <c r="C375" t="s">
        <v>95</v>
      </c>
      <c r="D375" t="s">
        <v>95</v>
      </c>
      <c r="E375" t="s">
        <v>95</v>
      </c>
      <c r="F375">
        <v>4</v>
      </c>
      <c r="G375" t="s">
        <v>338</v>
      </c>
      <c r="H375" s="2">
        <f>INDEX(Data!G:G,MATCH(G375,Data!A:A,0),1)</f>
        <v>1.1838611017829463</v>
      </c>
      <c r="I375" s="2">
        <f>INDEX(Data!J:J,MATCH(G375,Data!A:A,0),1)</f>
        <v>1.0013516184567537</v>
      </c>
      <c r="J375" s="2">
        <f>INDEX(Data!R:R,MATCH(G375,Data!A:A,0),1)</f>
        <v>2.6802340811720051</v>
      </c>
      <c r="K375" s="2">
        <f>INDEX(Data!S:S,MATCH(G375,Data!A:A,0),1)</f>
        <v>27.108503329226927</v>
      </c>
      <c r="L375" t="str">
        <f t="shared" si="5"/>
        <v>Production of bulk chemicals_Manufacture of other chemical products n.e.c.</v>
      </c>
      <c r="M375">
        <f>INDEX(Data!AD:AD,MATCH($G375,Data!$A:$A,0),1)</f>
        <v>0.81199999999999994</v>
      </c>
      <c r="N375">
        <f>INDEX(Data!AE:AE,MATCH($G375,Data!$A:$A,0),1)</f>
        <v>0.73899999999999999</v>
      </c>
      <c r="O375">
        <f>INDEX(Data!AG:AG,MATCH($G375,Data!$A:$A,0),1)</f>
        <v>1.3265650001686902</v>
      </c>
      <c r="P375">
        <f>INDEX(Data!AH:AH,MATCH($G375,Data!$A:$A,0),1)</f>
        <v>6.8406134516345016</v>
      </c>
      <c r="Q375">
        <f>IFERROR(IF(MATCH(B375,#REF!,0)&gt;0,1),0)</f>
        <v>0</v>
      </c>
    </row>
    <row r="376" spans="1:17" x14ac:dyDescent="0.2">
      <c r="A376" t="s">
        <v>34</v>
      </c>
      <c r="B376" t="s">
        <v>185</v>
      </c>
      <c r="C376" t="s">
        <v>95</v>
      </c>
      <c r="D376" t="s">
        <v>95</v>
      </c>
      <c r="E376" t="s">
        <v>95</v>
      </c>
      <c r="F376">
        <v>4</v>
      </c>
      <c r="G376" t="s">
        <v>349</v>
      </c>
      <c r="H376" s="2">
        <f>INDEX(Data!G:G,MATCH(G376,Data!A:A,0),1)</f>
        <v>1.5967631163208207</v>
      </c>
      <c r="I376" s="2">
        <f>INDEX(Data!J:J,MATCH(G376,Data!A:A,0),1)</f>
        <v>1.2656396050839946</v>
      </c>
      <c r="J376" s="2">
        <f>INDEX(Data!R:R,MATCH(G376,Data!A:A,0),1)</f>
        <v>3.2911730425008185</v>
      </c>
      <c r="K376" s="2">
        <f>INDEX(Data!S:S,MATCH(G376,Data!A:A,0),1)</f>
        <v>10.213571642020407</v>
      </c>
      <c r="L376" t="str">
        <f t="shared" si="5"/>
        <v>Production of bulk chemicals_Manufacture of other inorganic basic chemicals</v>
      </c>
      <c r="M376">
        <f>INDEX(Data!AD:AD,MATCH($G376,Data!$A:$A,0),1)</f>
        <v>0.81200000000000028</v>
      </c>
      <c r="N376">
        <f>INDEX(Data!AE:AE,MATCH($G376,Data!$A:$A,0),1)</f>
        <v>0.73899999999999999</v>
      </c>
      <c r="O376">
        <f>INDEX(Data!AG:AG,MATCH($G376,Data!$A:$A,0),1)</f>
        <v>1.3556812573212713</v>
      </c>
      <c r="P376">
        <f>INDEX(Data!AH:AH,MATCH($G376,Data!$A:$A,0),1)</f>
        <v>3.2322103139373444</v>
      </c>
      <c r="Q376">
        <f>IFERROR(IF(MATCH(B376,#REF!,0)&gt;0,1),0)</f>
        <v>0</v>
      </c>
    </row>
    <row r="377" spans="1:17" x14ac:dyDescent="0.2">
      <c r="A377" t="s">
        <v>34</v>
      </c>
      <c r="B377" t="s">
        <v>191</v>
      </c>
      <c r="C377" t="s">
        <v>95</v>
      </c>
      <c r="D377" t="s">
        <v>95</v>
      </c>
      <c r="E377" t="s">
        <v>95</v>
      </c>
      <c r="F377">
        <v>155</v>
      </c>
      <c r="G377" t="s">
        <v>348</v>
      </c>
      <c r="H377" s="2">
        <f>INDEX(Data!G:G,MATCH(G377,Data!A:A,0),1)</f>
        <v>0.7451576638020061</v>
      </c>
      <c r="I377" s="2">
        <f>INDEX(Data!J:J,MATCH(G377,Data!A:A,0),1)</f>
        <v>0.6864801988122935</v>
      </c>
      <c r="J377" s="2">
        <f>INDEX(Data!R:R,MATCH(G377,Data!A:A,0),1)</f>
        <v>2.1991404818942466</v>
      </c>
      <c r="K377" s="2">
        <f>INDEX(Data!S:S,MATCH(G377,Data!A:A,0),1)</f>
        <v>40.412685922642247</v>
      </c>
      <c r="L377" t="str">
        <f t="shared" si="5"/>
        <v>Production of bulk chemicals_Manufacture of other organic basic chemicals</v>
      </c>
      <c r="M377">
        <f>INDEX(Data!AD:AD,MATCH($G377,Data!$A:$A,0),1)</f>
        <v>0.81200000000000028</v>
      </c>
      <c r="N377">
        <f>INDEX(Data!AE:AE,MATCH($G377,Data!$A:$A,0),1)</f>
        <v>0.73899999999999988</v>
      </c>
      <c r="O377">
        <f>INDEX(Data!AG:AG,MATCH($G377,Data!$A:$A,0),1)</f>
        <v>1.303636940513492</v>
      </c>
      <c r="P377">
        <f>INDEX(Data!AH:AH,MATCH($G377,Data!$A:$A,0),1)</f>
        <v>9.6821078775000036</v>
      </c>
      <c r="Q377">
        <f>IFERROR(IF(MATCH(B377,#REF!,0)&gt;0,1),0)</f>
        <v>0</v>
      </c>
    </row>
    <row r="378" spans="1:17" x14ac:dyDescent="0.2">
      <c r="A378" t="s">
        <v>34</v>
      </c>
      <c r="B378" t="s">
        <v>216</v>
      </c>
      <c r="C378" t="s">
        <v>95</v>
      </c>
      <c r="D378" t="s">
        <v>95</v>
      </c>
      <c r="E378" t="s">
        <v>95</v>
      </c>
      <c r="F378">
        <v>41</v>
      </c>
      <c r="G378" t="s">
        <v>335</v>
      </c>
      <c r="H378" s="2">
        <f>INDEX(Data!G:G,MATCH(G378,Data!A:A,0),1)</f>
        <v>0.49494039340491602</v>
      </c>
      <c r="I378" s="2">
        <f>INDEX(Data!J:J,MATCH(G378,Data!A:A,0),1)</f>
        <v>0.76276347235126118</v>
      </c>
      <c r="J378" s="2">
        <f>INDEX(Data!R:R,MATCH(G378,Data!A:A,0),1)</f>
        <v>6.0728236366858992</v>
      </c>
      <c r="K378" s="2">
        <f>INDEX(Data!S:S,MATCH(G378,Data!A:A,0),1)</f>
        <v>0</v>
      </c>
      <c r="L378" t="str">
        <f t="shared" si="5"/>
        <v>Production of bulk chemicals_Manufacture of plastics in primary forms</v>
      </c>
      <c r="M378">
        <f>INDEX(Data!AD:AD,MATCH($G378,Data!$A:$A,0),1)</f>
        <v>0.81200000000000017</v>
      </c>
      <c r="N378">
        <f>INDEX(Data!AE:AE,MATCH($G378,Data!$A:$A,0),1)</f>
        <v>0.73900000000000021</v>
      </c>
      <c r="O378">
        <f>INDEX(Data!AG:AG,MATCH($G378,Data!$A:$A,0),1)</f>
        <v>1.298319184889499</v>
      </c>
      <c r="P378">
        <f>INDEX(Data!AH:AH,MATCH($G378,Data!$A:$A,0),1)</f>
        <v>4.8395672422172114</v>
      </c>
      <c r="Q378">
        <f>IFERROR(IF(MATCH(B378,#REF!,0)&gt;0,1),0)</f>
        <v>0</v>
      </c>
    </row>
    <row r="379" spans="1:17" x14ac:dyDescent="0.2">
      <c r="A379" t="s">
        <v>34</v>
      </c>
      <c r="B379" t="s">
        <v>231</v>
      </c>
      <c r="C379" t="s">
        <v>95</v>
      </c>
      <c r="D379" t="s">
        <v>95</v>
      </c>
      <c r="E379" t="s">
        <v>95</v>
      </c>
      <c r="F379">
        <v>3</v>
      </c>
      <c r="G379" t="s">
        <v>335</v>
      </c>
      <c r="H379" s="2">
        <f>INDEX(Data!G:G,MATCH(G379,Data!A:A,0),1)</f>
        <v>0.49494039340491602</v>
      </c>
      <c r="I379" s="2">
        <f>INDEX(Data!J:J,MATCH(G379,Data!A:A,0),1)</f>
        <v>0.76276347235126118</v>
      </c>
      <c r="J379" s="2">
        <f>INDEX(Data!R:R,MATCH(G379,Data!A:A,0),1)</f>
        <v>6.0728236366858992</v>
      </c>
      <c r="K379" s="2">
        <f>INDEX(Data!S:S,MATCH(G379,Data!A:A,0),1)</f>
        <v>0</v>
      </c>
      <c r="L379" t="str">
        <f t="shared" si="5"/>
        <v>Production of bulk chemicals_Manufacture of synthetic rubber in primary forms</v>
      </c>
      <c r="M379">
        <f>INDEX(Data!AD:AD,MATCH($G379,Data!$A:$A,0),1)</f>
        <v>0.81200000000000017</v>
      </c>
      <c r="N379">
        <f>INDEX(Data!AE:AE,MATCH($G379,Data!$A:$A,0),1)</f>
        <v>0.73900000000000021</v>
      </c>
      <c r="O379">
        <f>INDEX(Data!AG:AG,MATCH($G379,Data!$A:$A,0),1)</f>
        <v>1.298319184889499</v>
      </c>
      <c r="P379">
        <f>INDEX(Data!AH:AH,MATCH($G379,Data!$A:$A,0),1)</f>
        <v>4.8395672422172114</v>
      </c>
      <c r="Q379">
        <f>IFERROR(IF(MATCH(B379,#REF!,0)&gt;0,1),0)</f>
        <v>0</v>
      </c>
    </row>
    <row r="380" spans="1:17" x14ac:dyDescent="0.2">
      <c r="A380" t="s">
        <v>34</v>
      </c>
      <c r="B380" t="s">
        <v>303</v>
      </c>
      <c r="C380" t="s">
        <v>304</v>
      </c>
      <c r="D380" t="s">
        <v>403</v>
      </c>
      <c r="E380" t="s">
        <v>55</v>
      </c>
      <c r="F380">
        <v>1</v>
      </c>
      <c r="G380" t="s">
        <v>325</v>
      </c>
      <c r="H380" s="2">
        <f>INDEX(Data!G:G,MATCH(G380,Data!A:A,0),1)</f>
        <v>5.79E-2</v>
      </c>
      <c r="I380" s="2">
        <f>INDEX(Data!J:J,MATCH(G380,Data!A:A,0),1)</f>
        <v>4.2599999999999999E-2</v>
      </c>
      <c r="J380" s="2">
        <f>INDEX(Data!R:R,MATCH(G380,Data!A:A,0),1)</f>
        <v>1</v>
      </c>
      <c r="K380" s="2">
        <f>INDEX(Data!S:S,MATCH(G380,Data!A:A,0),1)</f>
        <v>0</v>
      </c>
      <c r="L380" t="str">
        <f t="shared" si="5"/>
        <v>Production of bulk chemicals_Support activities for petroleum and natural gas extraction</v>
      </c>
      <c r="M380">
        <f>INDEX(Data!AD:AD,MATCH($G380,Data!$A:$A,0),1)</f>
        <v>0.78200000000000003</v>
      </c>
      <c r="N380">
        <f>INDEX(Data!AE:AE,MATCH($G380,Data!$A:$A,0),1)</f>
        <v>0.63500000000000001</v>
      </c>
      <c r="O380">
        <f>INDEX(Data!AG:AG,MATCH($G380,Data!$A:$A,0),1)</f>
        <v>1.1486856676492798</v>
      </c>
      <c r="P380">
        <f>INDEX(Data!AH:AH,MATCH($G380,Data!$A:$A,0),1)</f>
        <v>1.7068864766411047</v>
      </c>
      <c r="Q380">
        <f>IFERROR(IF(MATCH(B380,#REF!,0)&gt;0,1),0)</f>
        <v>0</v>
      </c>
    </row>
    <row r="381" spans="1:17" x14ac:dyDescent="0.2">
      <c r="A381" t="s">
        <v>34</v>
      </c>
      <c r="B381" t="s">
        <v>57</v>
      </c>
      <c r="C381" t="s">
        <v>58</v>
      </c>
      <c r="D381" t="s">
        <v>403</v>
      </c>
      <c r="E381" t="s">
        <v>242</v>
      </c>
      <c r="F381">
        <v>1</v>
      </c>
      <c r="G381" t="s">
        <v>325</v>
      </c>
      <c r="H381" s="2">
        <f>INDEX(Data!G:G,MATCH(G381,Data!A:A,0),1)</f>
        <v>5.79E-2</v>
      </c>
      <c r="I381" s="2">
        <f>INDEX(Data!J:J,MATCH(G381,Data!A:A,0),1)</f>
        <v>4.2599999999999999E-2</v>
      </c>
      <c r="J381" s="2">
        <f>INDEX(Data!R:R,MATCH(G381,Data!A:A,0),1)</f>
        <v>1</v>
      </c>
      <c r="K381" s="2">
        <f>INDEX(Data!S:S,MATCH(G381,Data!A:A,0),1)</f>
        <v>0</v>
      </c>
      <c r="L381" t="str">
        <f t="shared" si="5"/>
        <v>Production of bulk chemicals_Extraction of salt</v>
      </c>
      <c r="M381">
        <f>INDEX(Data!AD:AD,MATCH($G381,Data!$A:$A,0),1)</f>
        <v>0.78200000000000003</v>
      </c>
      <c r="N381">
        <f>INDEX(Data!AE:AE,MATCH($G381,Data!$A:$A,0),1)</f>
        <v>0.63500000000000001</v>
      </c>
      <c r="O381">
        <f>INDEX(Data!AG:AG,MATCH($G381,Data!$A:$A,0),1)</f>
        <v>1.1486856676492798</v>
      </c>
      <c r="P381">
        <f>INDEX(Data!AH:AH,MATCH($G381,Data!$A:$A,0),1)</f>
        <v>1.7068864766411047</v>
      </c>
      <c r="Q381">
        <f>IFERROR(IF(MATCH(B381,#REF!,0)&gt;0,1),0)</f>
        <v>0</v>
      </c>
    </row>
    <row r="382" spans="1:17" x14ac:dyDescent="0.2">
      <c r="A382" t="s">
        <v>34</v>
      </c>
      <c r="B382" t="s">
        <v>31</v>
      </c>
      <c r="C382" t="s">
        <v>32</v>
      </c>
      <c r="D382" t="s">
        <v>403</v>
      </c>
      <c r="E382" t="s">
        <v>15</v>
      </c>
      <c r="F382">
        <v>3</v>
      </c>
      <c r="G382" t="s">
        <v>325</v>
      </c>
      <c r="H382" s="2">
        <f>INDEX(Data!G:G,MATCH(G382,Data!A:A,0),1)</f>
        <v>5.79E-2</v>
      </c>
      <c r="I382" s="2">
        <f>INDEX(Data!J:J,MATCH(G382,Data!A:A,0),1)</f>
        <v>4.2599999999999999E-2</v>
      </c>
      <c r="J382" s="2">
        <f>INDEX(Data!R:R,MATCH(G382,Data!A:A,0),1)</f>
        <v>1</v>
      </c>
      <c r="K382" s="2">
        <f>INDEX(Data!S:S,MATCH(G382,Data!A:A,0),1)</f>
        <v>0</v>
      </c>
      <c r="L382" t="str">
        <f t="shared" si="5"/>
        <v>Production of bulk chemicals_Data processing, hosting and related activities</v>
      </c>
      <c r="M382">
        <f>INDEX(Data!AD:AD,MATCH($G382,Data!$A:$A,0),1)</f>
        <v>0.78200000000000003</v>
      </c>
      <c r="N382">
        <f>INDEX(Data!AE:AE,MATCH($G382,Data!$A:$A,0),1)</f>
        <v>0.63500000000000001</v>
      </c>
      <c r="O382">
        <f>INDEX(Data!AG:AG,MATCH($G382,Data!$A:$A,0),1)</f>
        <v>1.1486856676492798</v>
      </c>
      <c r="P382">
        <f>INDEX(Data!AH:AH,MATCH($G382,Data!$A:$A,0),1)</f>
        <v>1.7068864766411047</v>
      </c>
      <c r="Q382">
        <f>IFERROR(IF(MATCH(B382,#REF!,0)&gt;0,1),0)</f>
        <v>0</v>
      </c>
    </row>
    <row r="383" spans="1:17" x14ac:dyDescent="0.2">
      <c r="A383" t="s">
        <v>34</v>
      </c>
      <c r="B383" t="s">
        <v>211</v>
      </c>
      <c r="C383" t="s">
        <v>94</v>
      </c>
      <c r="D383" t="s">
        <v>95</v>
      </c>
      <c r="E383" t="s">
        <v>94</v>
      </c>
      <c r="F383">
        <v>1</v>
      </c>
      <c r="G383" t="s">
        <v>342</v>
      </c>
      <c r="H383" s="2">
        <f>INDEX(Data!G:G,MATCH(G383,Data!A:A,0),1)</f>
        <v>0.38529467763961761</v>
      </c>
      <c r="I383" s="2">
        <f>INDEX(Data!J:J,MATCH(G383,Data!A:A,0),1)</f>
        <v>0.65015695160798492</v>
      </c>
      <c r="J383" s="2">
        <f>INDEX(Data!R:R,MATCH(G383,Data!A:A,0),1)</f>
        <v>0.99664158109543011</v>
      </c>
      <c r="K383" s="2">
        <f>INDEX(Data!S:S,MATCH(G383,Data!A:A,0),1)</f>
        <v>5.2249389559964285</v>
      </c>
      <c r="L383" t="str">
        <f t="shared" si="5"/>
        <v>Production of bulk chemicals_Manufacture of pharmaceutical preparations</v>
      </c>
      <c r="M383">
        <f>INDEX(Data!AD:AD,MATCH($G383,Data!$A:$A,0),1)</f>
        <v>0.81200000000000006</v>
      </c>
      <c r="N383">
        <f>INDEX(Data!AE:AE,MATCH($G383,Data!$A:$A,0),1)</f>
        <v>0.73899999999999999</v>
      </c>
      <c r="O383">
        <f>INDEX(Data!AG:AG,MATCH($G383,Data!$A:$A,0),1)</f>
        <v>1.2983191848894986</v>
      </c>
      <c r="P383">
        <f>INDEX(Data!AH:AH,MATCH($G383,Data!$A:$A,0),1)</f>
        <v>4.8395672422172096</v>
      </c>
      <c r="Q383">
        <f>IFERROR(IF(MATCH(B383,#REF!,0)&gt;0,1),0)</f>
        <v>0</v>
      </c>
    </row>
    <row r="384" spans="1:17" x14ac:dyDescent="0.2">
      <c r="A384" t="s">
        <v>34</v>
      </c>
      <c r="B384" t="s">
        <v>223</v>
      </c>
      <c r="C384" t="s">
        <v>115</v>
      </c>
      <c r="D384" t="s">
        <v>224</v>
      </c>
      <c r="E384" t="s">
        <v>224</v>
      </c>
      <c r="F384">
        <v>2</v>
      </c>
      <c r="G384" t="s">
        <v>333</v>
      </c>
      <c r="H384" s="2">
        <f>INDEX(Data!G:G,MATCH(G384,Data!A:A,0),1)</f>
        <v>0.55000000000000004</v>
      </c>
      <c r="I384" s="2">
        <f>INDEX(Data!J:J,MATCH(G384,Data!A:A,0),1)</f>
        <v>0.40714285714285714</v>
      </c>
      <c r="J384" s="2">
        <f>INDEX(Data!R:R,MATCH(G384,Data!A:A,0),1)</f>
        <v>0</v>
      </c>
      <c r="K384" s="2">
        <f>INDEX(Data!S:S,MATCH(G384,Data!A:A,0),1)</f>
        <v>0.432</v>
      </c>
      <c r="L384" t="str">
        <f t="shared" si="5"/>
        <v>Production of bulk chemicals_Manufacture of refined petroleum products</v>
      </c>
      <c r="M384">
        <f>INDEX(Data!AD:AD,MATCH($G384,Data!$A:$A,0),1)</f>
        <v>0.72599999999999998</v>
      </c>
      <c r="N384">
        <f>INDEX(Data!AE:AE,MATCH($G384,Data!$A:$A,0),1)</f>
        <v>0.30499999999999999</v>
      </c>
      <c r="O384">
        <f>INDEX(Data!AG:AG,MATCH($G384,Data!$A:$A,0),1)</f>
        <v>0.63412830119313213</v>
      </c>
      <c r="P384">
        <f>INDEX(Data!AH:AH,MATCH($G384,Data!$A:$A,0),1)</f>
        <v>8.240093553846331E-2</v>
      </c>
      <c r="Q384">
        <f>IFERROR(IF(MATCH(B384,#REF!,0)&gt;0,1),0)</f>
        <v>0</v>
      </c>
    </row>
    <row r="385" spans="1:17" x14ac:dyDescent="0.2">
      <c r="A385" s="2" t="s">
        <v>34</v>
      </c>
      <c r="D385" t="s">
        <v>95</v>
      </c>
      <c r="E385">
        <v>0</v>
      </c>
      <c r="G385" t="s">
        <v>338</v>
      </c>
      <c r="H385" s="2">
        <f>INDEX(Data!G:G,MATCH(G385,Data!A:A,0),1)</f>
        <v>1.1838611017829463</v>
      </c>
      <c r="I385" s="2">
        <f>INDEX(Data!J:J,MATCH(G385,Data!A:A,0),1)</f>
        <v>1.0013516184567537</v>
      </c>
      <c r="J385" s="2">
        <f>INDEX(Data!R:R,MATCH(G385,Data!A:A,0),1)</f>
        <v>2.6802340811720051</v>
      </c>
      <c r="K385" s="2">
        <f>INDEX(Data!S:S,MATCH(G385,Data!A:A,0),1)</f>
        <v>27.108503329226927</v>
      </c>
      <c r="L385" t="str">
        <f t="shared" si="5"/>
        <v>Production of bulk chemicals</v>
      </c>
      <c r="M385">
        <f>INDEX(Data!AD:AD,MATCH($G385,Data!$A:$A,0),1)</f>
        <v>0.81199999999999994</v>
      </c>
      <c r="N385">
        <f>INDEX(Data!AE:AE,MATCH($G385,Data!$A:$A,0),1)</f>
        <v>0.73899999999999999</v>
      </c>
      <c r="O385">
        <f>INDEX(Data!AG:AG,MATCH($G385,Data!$A:$A,0),1)</f>
        <v>1.3265650001686902</v>
      </c>
      <c r="P385">
        <f>INDEX(Data!AH:AH,MATCH($G385,Data!$A:$A,0),1)</f>
        <v>6.8406134516345016</v>
      </c>
      <c r="Q385">
        <f>IFERROR(IF(MATCH(B385,#REF!,0)&gt;0,1),0)</f>
        <v>0</v>
      </c>
    </row>
    <row r="386" spans="1:17" x14ac:dyDescent="0.2">
      <c r="A386" t="s">
        <v>186</v>
      </c>
      <c r="B386" t="s">
        <v>185</v>
      </c>
      <c r="C386" t="s">
        <v>95</v>
      </c>
      <c r="D386" t="s">
        <v>95</v>
      </c>
      <c r="E386" t="s">
        <v>95</v>
      </c>
      <c r="F386">
        <v>13</v>
      </c>
      <c r="G386" t="s">
        <v>344</v>
      </c>
      <c r="H386" s="2">
        <f>INDEX(Data!G:G,MATCH(G386,Data!A:A,0),1)</f>
        <v>1.8240000000000001</v>
      </c>
      <c r="I386" s="2">
        <f>INDEX(Data!J:J,MATCH(G386,Data!A:A,0),1)</f>
        <v>1.4850000000000001</v>
      </c>
      <c r="J386" s="2">
        <f>INDEX(Data!R:R,MATCH(G386,Data!A:A,0),1)</f>
        <v>64.8</v>
      </c>
      <c r="K386" s="2">
        <f>INDEX(Data!S:S,MATCH(G386,Data!A:A,0),1)</f>
        <v>0</v>
      </c>
      <c r="L386" t="str">
        <f t="shared" ref="L386:L449" si="6">IF(B386="",A386,A386&amp;"_"&amp;B386)</f>
        <v>Production of carbon black_Manufacture of other inorganic basic chemicals</v>
      </c>
      <c r="M386">
        <f>INDEX(Data!AD:AD,MATCH($G386,Data!$A:$A,0),1)</f>
        <v>0.81200000000000006</v>
      </c>
      <c r="N386">
        <f>INDEX(Data!AE:AE,MATCH($G386,Data!$A:$A,0),1)</f>
        <v>0.73899999999999999</v>
      </c>
      <c r="O386">
        <f>INDEX(Data!AG:AG,MATCH($G386,Data!$A:$A,0),1)</f>
        <v>1.2983191848894986</v>
      </c>
      <c r="P386">
        <f>INDEX(Data!AH:AH,MATCH($G386,Data!$A:$A,0),1)</f>
        <v>4.8395672422172105</v>
      </c>
      <c r="Q386">
        <f>IFERROR(IF(MATCH(B386,#REF!,0)&gt;0,1),0)</f>
        <v>0</v>
      </c>
    </row>
    <row r="387" spans="1:17" x14ac:dyDescent="0.2">
      <c r="A387" t="s">
        <v>186</v>
      </c>
      <c r="B387" t="s">
        <v>191</v>
      </c>
      <c r="C387" t="s">
        <v>95</v>
      </c>
      <c r="D387" t="s">
        <v>95</v>
      </c>
      <c r="E387" t="s">
        <v>95</v>
      </c>
      <c r="F387">
        <v>3</v>
      </c>
      <c r="G387" t="s">
        <v>344</v>
      </c>
      <c r="H387" s="2">
        <f>INDEX(Data!G:G,MATCH(G387,Data!A:A,0),1)</f>
        <v>1.8240000000000001</v>
      </c>
      <c r="I387" s="2">
        <f>INDEX(Data!J:J,MATCH(G387,Data!A:A,0),1)</f>
        <v>1.4850000000000001</v>
      </c>
      <c r="J387" s="2">
        <f>INDEX(Data!R:R,MATCH(G387,Data!A:A,0),1)</f>
        <v>64.8</v>
      </c>
      <c r="K387" s="2">
        <f>INDEX(Data!S:S,MATCH(G387,Data!A:A,0),1)</f>
        <v>0</v>
      </c>
      <c r="L387" t="str">
        <f t="shared" si="6"/>
        <v>Production of carbon black_Manufacture of other organic basic chemicals</v>
      </c>
      <c r="M387">
        <f>INDEX(Data!AD:AD,MATCH($G387,Data!$A:$A,0),1)</f>
        <v>0.81200000000000006</v>
      </c>
      <c r="N387">
        <f>INDEX(Data!AE:AE,MATCH($G387,Data!$A:$A,0),1)</f>
        <v>0.73899999999999999</v>
      </c>
      <c r="O387">
        <f>INDEX(Data!AG:AG,MATCH($G387,Data!$A:$A,0),1)</f>
        <v>1.2983191848894986</v>
      </c>
      <c r="P387">
        <f>INDEX(Data!AH:AH,MATCH($G387,Data!$A:$A,0),1)</f>
        <v>4.8395672422172105</v>
      </c>
      <c r="Q387">
        <f>IFERROR(IF(MATCH(B387,#REF!,0)&gt;0,1),0)</f>
        <v>0</v>
      </c>
    </row>
    <row r="388" spans="1:17" x14ac:dyDescent="0.2">
      <c r="A388" t="s">
        <v>186</v>
      </c>
      <c r="B388" t="s">
        <v>216</v>
      </c>
      <c r="C388" t="s">
        <v>95</v>
      </c>
      <c r="D388" t="s">
        <v>95</v>
      </c>
      <c r="E388" t="s">
        <v>95</v>
      </c>
      <c r="F388">
        <v>1</v>
      </c>
      <c r="G388" t="s">
        <v>344</v>
      </c>
      <c r="H388" s="2">
        <f>INDEX(Data!G:G,MATCH(G388,Data!A:A,0),1)</f>
        <v>1.8240000000000001</v>
      </c>
      <c r="I388" s="2">
        <f>INDEX(Data!J:J,MATCH(G388,Data!A:A,0),1)</f>
        <v>1.4850000000000001</v>
      </c>
      <c r="J388" s="2">
        <f>INDEX(Data!R:R,MATCH(G388,Data!A:A,0),1)</f>
        <v>64.8</v>
      </c>
      <c r="K388" s="2">
        <f>INDEX(Data!S:S,MATCH(G388,Data!A:A,0),1)</f>
        <v>0</v>
      </c>
      <c r="L388" t="str">
        <f t="shared" si="6"/>
        <v>Production of carbon black_Manufacture of plastics in primary forms</v>
      </c>
      <c r="M388">
        <f>INDEX(Data!AD:AD,MATCH($G388,Data!$A:$A,0),1)</f>
        <v>0.81200000000000006</v>
      </c>
      <c r="N388">
        <f>INDEX(Data!AE:AE,MATCH($G388,Data!$A:$A,0),1)</f>
        <v>0.73899999999999999</v>
      </c>
      <c r="O388">
        <f>INDEX(Data!AG:AG,MATCH($G388,Data!$A:$A,0),1)</f>
        <v>1.2983191848894986</v>
      </c>
      <c r="P388">
        <f>INDEX(Data!AH:AH,MATCH($G388,Data!$A:$A,0),1)</f>
        <v>4.8395672422172105</v>
      </c>
      <c r="Q388">
        <f>IFERROR(IF(MATCH(B388,#REF!,0)&gt;0,1),0)</f>
        <v>0</v>
      </c>
    </row>
    <row r="389" spans="1:17" x14ac:dyDescent="0.2">
      <c r="A389" s="2" t="s">
        <v>186</v>
      </c>
      <c r="D389" t="s">
        <v>95</v>
      </c>
      <c r="E389">
        <v>0</v>
      </c>
      <c r="G389" t="s">
        <v>344</v>
      </c>
      <c r="H389" s="2">
        <f>INDEX(Data!G:G,MATCH(G389,Data!A:A,0),1)</f>
        <v>1.8240000000000001</v>
      </c>
      <c r="I389" s="2">
        <f>INDEX(Data!J:J,MATCH(G389,Data!A:A,0),1)</f>
        <v>1.4850000000000001</v>
      </c>
      <c r="J389" s="2">
        <f>INDEX(Data!R:R,MATCH(G389,Data!A:A,0),1)</f>
        <v>64.8</v>
      </c>
      <c r="K389" s="2">
        <f>INDEX(Data!S:S,MATCH(G389,Data!A:A,0),1)</f>
        <v>0</v>
      </c>
      <c r="L389" t="str">
        <f t="shared" si="6"/>
        <v>Production of carbon black</v>
      </c>
      <c r="M389">
        <f>INDEX(Data!AD:AD,MATCH($G389,Data!$A:$A,0),1)</f>
        <v>0.81200000000000006</v>
      </c>
      <c r="N389">
        <f>INDEX(Data!AE:AE,MATCH($G389,Data!$A:$A,0),1)</f>
        <v>0.73899999999999999</v>
      </c>
      <c r="O389">
        <f>INDEX(Data!AG:AG,MATCH($G389,Data!$A:$A,0),1)</f>
        <v>1.2983191848894986</v>
      </c>
      <c r="P389">
        <f>INDEX(Data!AH:AH,MATCH($G389,Data!$A:$A,0),1)</f>
        <v>4.8395672422172105</v>
      </c>
      <c r="Q389">
        <f>IFERROR(IF(MATCH(B389,#REF!,0)&gt;0,1),0)</f>
        <v>0</v>
      </c>
    </row>
    <row r="390" spans="1:17" x14ac:dyDescent="0.2">
      <c r="A390" t="s">
        <v>104</v>
      </c>
      <c r="B390" t="s">
        <v>105</v>
      </c>
      <c r="C390" t="s">
        <v>81</v>
      </c>
      <c r="D390" t="s">
        <v>409</v>
      </c>
      <c r="E390" t="s">
        <v>106</v>
      </c>
      <c r="F390">
        <v>186</v>
      </c>
      <c r="G390" t="s">
        <v>327</v>
      </c>
      <c r="H390" s="2">
        <f>INDEX(Data!G:G,MATCH(G390,Data!A:A,0),1)</f>
        <v>0.81745070728588098</v>
      </c>
      <c r="I390" s="2">
        <f>INDEX(Data!J:J,MATCH(G390,Data!A:A,0),1)</f>
        <v>0.6991394038416423</v>
      </c>
      <c r="J390" s="2">
        <f>INDEX(Data!R:R,MATCH(G390,Data!A:A,0),1)</f>
        <v>4.3200000000000021</v>
      </c>
      <c r="K390" s="2">
        <f>INDEX(Data!S:S,MATCH(G390,Data!A:A,0),1)</f>
        <v>0</v>
      </c>
      <c r="L390" t="str">
        <f t="shared" si="6"/>
        <v>Production of cement clinker_Manufacture of cement</v>
      </c>
      <c r="M390">
        <f>INDEX(Data!AD:AD,MATCH($G390,Data!$A:$A,0),1)</f>
        <v>0.6</v>
      </c>
      <c r="N390">
        <f>INDEX(Data!AE:AE,MATCH($G390,Data!$A:$A,0),1)</f>
        <v>0.59799999999999998</v>
      </c>
      <c r="O390">
        <f>INDEX(Data!AG:AG,MATCH($G390,Data!$A:$A,0),1)</f>
        <v>1.7474276218071669</v>
      </c>
      <c r="P390">
        <f>INDEX(Data!AH:AH,MATCH($G390,Data!$A:$A,0),1)</f>
        <v>11.543912994239886</v>
      </c>
      <c r="Q390">
        <f>IFERROR(IF(MATCH(B390,#REF!,0)&gt;0,1),0)</f>
        <v>0</v>
      </c>
    </row>
    <row r="391" spans="1:17" x14ac:dyDescent="0.2">
      <c r="A391" t="s">
        <v>104</v>
      </c>
      <c r="B391" t="s">
        <v>111</v>
      </c>
      <c r="C391" t="s">
        <v>81</v>
      </c>
      <c r="D391" t="s">
        <v>409</v>
      </c>
      <c r="E391" t="s">
        <v>101</v>
      </c>
      <c r="F391">
        <v>1</v>
      </c>
      <c r="G391" t="s">
        <v>326</v>
      </c>
      <c r="H391" s="2">
        <f>INDEX(Data!G:G,MATCH(G391,Data!A:A,0),1)</f>
        <v>0.12876363322314929</v>
      </c>
      <c r="I391" s="2">
        <f>INDEX(Data!J:J,MATCH(G391,Data!A:A,0),1)</f>
        <v>9.509036148184509E-2</v>
      </c>
      <c r="J391" s="2">
        <f>INDEX(Data!R:R,MATCH(G391,Data!A:A,0),1)</f>
        <v>3.0746807959647584</v>
      </c>
      <c r="K391" s="2">
        <f>INDEX(Data!S:S,MATCH(G391,Data!A:A,0),1)</f>
        <v>0</v>
      </c>
      <c r="L391" t="str">
        <f t="shared" si="6"/>
        <v>Production of cement clinker_Manufacture of ceramic tiles and flags</v>
      </c>
      <c r="M391">
        <f>INDEX(Data!AD:AD,MATCH($G391,Data!$A:$A,0),1)</f>
        <v>0.6</v>
      </c>
      <c r="N391">
        <f>INDEX(Data!AE:AE,MATCH($G391,Data!$A:$A,0),1)</f>
        <v>0.59799999999999998</v>
      </c>
      <c r="O391">
        <f>INDEX(Data!AG:AG,MATCH($G391,Data!$A:$A,0),1)</f>
        <v>1.1022133959071165</v>
      </c>
      <c r="P391">
        <f>INDEX(Data!AH:AH,MATCH($G391,Data!$A:$A,0),1)</f>
        <v>1.455542145135519</v>
      </c>
      <c r="Q391">
        <f>IFERROR(IF(MATCH(B391,#REF!,0)&gt;0,1),0)</f>
        <v>0</v>
      </c>
    </row>
    <row r="392" spans="1:17" x14ac:dyDescent="0.2">
      <c r="A392" t="s">
        <v>104</v>
      </c>
      <c r="B392" t="s">
        <v>154</v>
      </c>
      <c r="C392" t="s">
        <v>81</v>
      </c>
      <c r="D392" t="s">
        <v>409</v>
      </c>
      <c r="E392" t="s">
        <v>155</v>
      </c>
      <c r="F392">
        <v>12</v>
      </c>
      <c r="G392" t="s">
        <v>337</v>
      </c>
      <c r="H392" s="2">
        <f>INDEX(Data!G:G,MATCH(G392,Data!A:A,0),1)</f>
        <v>1.0858855073623837</v>
      </c>
      <c r="I392" s="2">
        <f>INDEX(Data!J:J,MATCH(G392,Data!A:A,0),1)</f>
        <v>0.76053043758401917</v>
      </c>
      <c r="J392" s="2">
        <f>INDEX(Data!R:R,MATCH(G392,Data!A:A,0),1)</f>
        <v>3.7079999999999997</v>
      </c>
      <c r="K392" s="2">
        <f>INDEX(Data!S:S,MATCH(G392,Data!A:A,0),1)</f>
        <v>0</v>
      </c>
      <c r="L392" t="str">
        <f t="shared" si="6"/>
        <v>Production of cement clinker_Manufacture of lime and plaster</v>
      </c>
      <c r="M392">
        <f>INDEX(Data!AD:AD,MATCH($G392,Data!$A:$A,0),1)</f>
        <v>0.6</v>
      </c>
      <c r="N392">
        <f>INDEX(Data!AE:AE,MATCH($G392,Data!$A:$A,0),1)</f>
        <v>0.59799999999999998</v>
      </c>
      <c r="O392">
        <f>INDEX(Data!AG:AG,MATCH($G392,Data!$A:$A,0),1)</f>
        <v>1.948717100000001</v>
      </c>
      <c r="P392">
        <f>INDEX(Data!AH:AH,MATCH($G392,Data!$A:$A,0),1)</f>
        <v>118.49939476920679</v>
      </c>
      <c r="Q392">
        <f>IFERROR(IF(MATCH(B392,#REF!,0)&gt;0,1),0)</f>
        <v>0</v>
      </c>
    </row>
    <row r="393" spans="1:17" x14ac:dyDescent="0.2">
      <c r="A393" t="s">
        <v>104</v>
      </c>
      <c r="B393" t="s">
        <v>208</v>
      </c>
      <c r="C393" t="s">
        <v>122</v>
      </c>
      <c r="D393" t="s">
        <v>410</v>
      </c>
      <c r="E393" t="s">
        <v>173</v>
      </c>
      <c r="F393">
        <v>1</v>
      </c>
      <c r="G393" t="s">
        <v>356</v>
      </c>
      <c r="H393" s="2">
        <f>INDEX(Data!G:G,MATCH(G393,Data!A:A,0),1)</f>
        <v>0.2201185822484337</v>
      </c>
      <c r="I393" s="2">
        <f>INDEX(Data!J:J,MATCH(G393,Data!A:A,0),1)</f>
        <v>0.22144473697589778</v>
      </c>
      <c r="J393" s="2">
        <f>INDEX(Data!R:R,MATCH(G393,Data!A:A,0),1)</f>
        <v>6.1071928683366004</v>
      </c>
      <c r="K393" s="2">
        <f>INDEX(Data!S:S,MATCH(G393,Data!A:A,0),1)</f>
        <v>0</v>
      </c>
      <c r="L393" t="str">
        <f t="shared" si="6"/>
        <v>Production of cement clinker_Manufacture of paper and paperboard</v>
      </c>
      <c r="M393">
        <f>INDEX(Data!AD:AD,MATCH($G393,Data!$A:$A,0),1)</f>
        <v>0.79800000000000015</v>
      </c>
      <c r="N393">
        <f>INDEX(Data!AE:AE,MATCH($G393,Data!$A:$A,0),1)</f>
        <v>0.92100000000000015</v>
      </c>
      <c r="O393">
        <f>INDEX(Data!AG:AG,MATCH($G393,Data!$A:$A,0),1)</f>
        <v>1.2809090316655365</v>
      </c>
      <c r="P393">
        <f>INDEX(Data!AH:AH,MATCH($G393,Data!$A:$A,0),1)</f>
        <v>4.1862577628706559</v>
      </c>
      <c r="Q393">
        <f>IFERROR(IF(MATCH(B393,#REF!,0)&gt;0,1),0)</f>
        <v>0</v>
      </c>
    </row>
    <row r="394" spans="1:17" x14ac:dyDescent="0.2">
      <c r="A394" s="2" t="s">
        <v>104</v>
      </c>
      <c r="D394" t="s">
        <v>409</v>
      </c>
      <c r="E394">
        <v>0</v>
      </c>
      <c r="G394" t="s">
        <v>327</v>
      </c>
      <c r="H394" s="2">
        <f>INDEX(Data!G:G,MATCH(G394,Data!A:A,0),1)</f>
        <v>0.81745070728588098</v>
      </c>
      <c r="I394" s="2">
        <f>INDEX(Data!J:J,MATCH(G394,Data!A:A,0),1)</f>
        <v>0.6991394038416423</v>
      </c>
      <c r="J394" s="2">
        <f>INDEX(Data!R:R,MATCH(G394,Data!A:A,0),1)</f>
        <v>4.3200000000000021</v>
      </c>
      <c r="K394" s="2">
        <f>INDEX(Data!S:S,MATCH(G394,Data!A:A,0),1)</f>
        <v>0</v>
      </c>
      <c r="L394" t="str">
        <f t="shared" si="6"/>
        <v>Production of cement clinker</v>
      </c>
      <c r="M394">
        <f>INDEX(Data!AD:AD,MATCH($G394,Data!$A:$A,0),1)</f>
        <v>0.6</v>
      </c>
      <c r="N394">
        <f>INDEX(Data!AE:AE,MATCH($G394,Data!$A:$A,0),1)</f>
        <v>0.59799999999999998</v>
      </c>
      <c r="O394">
        <f>INDEX(Data!AG:AG,MATCH($G394,Data!$A:$A,0),1)</f>
        <v>1.7474276218071669</v>
      </c>
      <c r="P394">
        <f>INDEX(Data!AH:AH,MATCH($G394,Data!$A:$A,0),1)</f>
        <v>11.543912994239886</v>
      </c>
      <c r="Q394">
        <f>IFERROR(IF(MATCH(B394,#REF!,0)&gt;0,1),0)</f>
        <v>0</v>
      </c>
    </row>
    <row r="395" spans="1:17" x14ac:dyDescent="0.2">
      <c r="A395" t="s">
        <v>51</v>
      </c>
      <c r="B395" t="s">
        <v>114</v>
      </c>
      <c r="C395" t="s">
        <v>115</v>
      </c>
      <c r="D395" t="s">
        <v>224</v>
      </c>
      <c r="E395" t="s">
        <v>116</v>
      </c>
      <c r="F395">
        <v>14</v>
      </c>
      <c r="G395" t="s">
        <v>116</v>
      </c>
      <c r="H395" s="2">
        <f>INDEX(Data!G:G,MATCH(G395,Data!A:A,0),1)</f>
        <v>0.28199999999999997</v>
      </c>
      <c r="I395" s="2">
        <f>INDEX(Data!J:J,MATCH(G395,Data!A:A,0),1)</f>
        <v>0.217</v>
      </c>
      <c r="J395" s="2">
        <f>INDEX(Data!R:R,MATCH(G395,Data!A:A,0),1)</f>
        <v>0</v>
      </c>
      <c r="K395" s="2">
        <f>INDEX(Data!S:S,MATCH(G395,Data!A:A,0),1)</f>
        <v>0</v>
      </c>
      <c r="L395" t="str">
        <f t="shared" si="6"/>
        <v>Production of coke_Manufacture of coke oven products</v>
      </c>
      <c r="M395">
        <f>INDEX(Data!AD:AD,MATCH($G395,Data!$A:$A,0),1)</f>
        <v>0.72599999999999998</v>
      </c>
      <c r="N395">
        <f>INDEX(Data!AE:AE,MATCH($G395,Data!$A:$A,0),1)</f>
        <v>0.30499999999999999</v>
      </c>
      <c r="O395">
        <f>INDEX(Data!AG:AG,MATCH($G395,Data!$A:$A,0),1)</f>
        <v>0.63412830119313213</v>
      </c>
      <c r="P395">
        <f>INDEX(Data!AH:AH,MATCH($G395,Data!$A:$A,0),1)</f>
        <v>8.240093553846331E-2</v>
      </c>
      <c r="Q395">
        <f>IFERROR(IF(MATCH(B395,#REF!,0)&gt;0,1),0)</f>
        <v>0</v>
      </c>
    </row>
    <row r="396" spans="1:17" x14ac:dyDescent="0.2">
      <c r="A396" t="s">
        <v>51</v>
      </c>
      <c r="B396" t="s">
        <v>47</v>
      </c>
      <c r="C396" t="s">
        <v>44</v>
      </c>
      <c r="D396" t="s">
        <v>45</v>
      </c>
      <c r="E396" t="s">
        <v>45</v>
      </c>
      <c r="F396">
        <v>1</v>
      </c>
      <c r="G396" t="s">
        <v>325</v>
      </c>
      <c r="H396" s="2">
        <f>INDEX(Data!G:G,MATCH(G396,Data!A:A,0),1)</f>
        <v>5.79E-2</v>
      </c>
      <c r="I396" s="2">
        <f>INDEX(Data!J:J,MATCH(G396,Data!A:A,0),1)</f>
        <v>4.2599999999999999E-2</v>
      </c>
      <c r="J396" s="2">
        <f>INDEX(Data!R:R,MATCH(G396,Data!A:A,0),1)</f>
        <v>1</v>
      </c>
      <c r="K396" s="2">
        <f>INDEX(Data!S:S,MATCH(G396,Data!A:A,0),1)</f>
        <v>0</v>
      </c>
      <c r="L396" t="str">
        <f t="shared" si="6"/>
        <v>Production of coke_Electric power generation, transmission and distribution</v>
      </c>
      <c r="M396">
        <f>INDEX(Data!AD:AD,MATCH($G396,Data!$A:$A,0),1)</f>
        <v>0.78200000000000003</v>
      </c>
      <c r="N396">
        <f>INDEX(Data!AE:AE,MATCH($G396,Data!$A:$A,0),1)</f>
        <v>0.63500000000000001</v>
      </c>
      <c r="O396">
        <f>INDEX(Data!AG:AG,MATCH($G396,Data!$A:$A,0),1)</f>
        <v>1.1486856676492798</v>
      </c>
      <c r="P396">
        <f>INDEX(Data!AH:AH,MATCH($G396,Data!$A:$A,0),1)</f>
        <v>1.7068864766411047</v>
      </c>
      <c r="Q396">
        <f>IFERROR(IF(MATCH(B396,#REF!,0)&gt;0,1),0)</f>
        <v>0</v>
      </c>
    </row>
    <row r="397" spans="1:17" x14ac:dyDescent="0.2">
      <c r="A397" s="2" t="s">
        <v>51</v>
      </c>
      <c r="D397" t="s">
        <v>224</v>
      </c>
      <c r="E397">
        <v>0</v>
      </c>
      <c r="G397" t="s">
        <v>116</v>
      </c>
      <c r="H397" s="2">
        <f>INDEX(Data!G:G,MATCH(G397,Data!A:A,0),1)</f>
        <v>0.28199999999999997</v>
      </c>
      <c r="I397" s="2">
        <f>INDEX(Data!J:J,MATCH(G397,Data!A:A,0),1)</f>
        <v>0.217</v>
      </c>
      <c r="J397" s="2">
        <f>INDEX(Data!R:R,MATCH(G397,Data!A:A,0),1)</f>
        <v>0</v>
      </c>
      <c r="K397" s="2">
        <f>INDEX(Data!S:S,MATCH(G397,Data!A:A,0),1)</f>
        <v>0</v>
      </c>
      <c r="L397" t="str">
        <f t="shared" si="6"/>
        <v>Production of coke</v>
      </c>
      <c r="M397">
        <f>INDEX(Data!AD:AD,MATCH($G397,Data!$A:$A,0),1)</f>
        <v>0.72599999999999998</v>
      </c>
      <c r="N397">
        <f>INDEX(Data!AE:AE,MATCH($G397,Data!$A:$A,0),1)</f>
        <v>0.30499999999999999</v>
      </c>
      <c r="O397">
        <f>INDEX(Data!AG:AG,MATCH($G397,Data!$A:$A,0),1)</f>
        <v>0.63412830119313213</v>
      </c>
      <c r="P397">
        <f>INDEX(Data!AH:AH,MATCH($G397,Data!$A:$A,0),1)</f>
        <v>8.240093553846331E-2</v>
      </c>
      <c r="Q397">
        <f>IFERROR(IF(MATCH(B397,#REF!,0)&gt;0,1),0)</f>
        <v>0</v>
      </c>
    </row>
    <row r="398" spans="1:17" x14ac:dyDescent="0.2">
      <c r="A398" t="s">
        <v>193</v>
      </c>
      <c r="B398" t="s">
        <v>191</v>
      </c>
      <c r="C398" t="s">
        <v>95</v>
      </c>
      <c r="D398" t="s">
        <v>95</v>
      </c>
      <c r="E398" t="s">
        <v>95</v>
      </c>
      <c r="F398">
        <v>1</v>
      </c>
      <c r="G398" t="s">
        <v>348</v>
      </c>
      <c r="H398" s="2">
        <f>INDEX(Data!G:G,MATCH(G398,Data!A:A,0),1)</f>
        <v>0.7451576638020061</v>
      </c>
      <c r="I398" s="2">
        <f>INDEX(Data!J:J,MATCH(G398,Data!A:A,0),1)</f>
        <v>0.6864801988122935</v>
      </c>
      <c r="J398" s="2">
        <f>INDEX(Data!R:R,MATCH(G398,Data!A:A,0),1)</f>
        <v>2.1991404818942466</v>
      </c>
      <c r="K398" s="2">
        <f>INDEX(Data!S:S,MATCH(G398,Data!A:A,0),1)</f>
        <v>40.412685922642247</v>
      </c>
      <c r="L398" t="str">
        <f t="shared" si="6"/>
        <v>Production of glyoxal and glyoxylic acid_Manufacture of other organic basic chemicals</v>
      </c>
      <c r="M398">
        <f>INDEX(Data!AD:AD,MATCH($G398,Data!$A:$A,0),1)</f>
        <v>0.81200000000000028</v>
      </c>
      <c r="N398">
        <f>INDEX(Data!AE:AE,MATCH($G398,Data!$A:$A,0),1)</f>
        <v>0.73899999999999988</v>
      </c>
      <c r="O398">
        <f>INDEX(Data!AG:AG,MATCH($G398,Data!$A:$A,0),1)</f>
        <v>1.303636940513492</v>
      </c>
      <c r="P398">
        <f>INDEX(Data!AH:AH,MATCH($G398,Data!$A:$A,0),1)</f>
        <v>9.6821078775000036</v>
      </c>
      <c r="Q398">
        <f>IFERROR(IF(MATCH(B398,#REF!,0)&gt;0,1),0)</f>
        <v>0</v>
      </c>
    </row>
    <row r="399" spans="1:17" x14ac:dyDescent="0.2">
      <c r="A399" s="2" t="s">
        <v>193</v>
      </c>
      <c r="D399" t="s">
        <v>95</v>
      </c>
      <c r="E399">
        <v>0</v>
      </c>
      <c r="G399" s="2" t="s">
        <v>348</v>
      </c>
      <c r="H399" s="2">
        <f>INDEX(Data!G:G,MATCH(G399,Data!A:A,0),1)</f>
        <v>0.7451576638020061</v>
      </c>
      <c r="I399" s="2">
        <f>INDEX(Data!J:J,MATCH(G399,Data!A:A,0),1)</f>
        <v>0.6864801988122935</v>
      </c>
      <c r="J399" s="2">
        <f>INDEX(Data!R:R,MATCH(G399,Data!A:A,0),1)</f>
        <v>2.1991404818942466</v>
      </c>
      <c r="K399" s="2">
        <f>INDEX(Data!S:S,MATCH(G399,Data!A:A,0),1)</f>
        <v>40.412685922642247</v>
      </c>
      <c r="L399" t="str">
        <f t="shared" si="6"/>
        <v>Production of glyoxal and glyoxylic acid</v>
      </c>
      <c r="M399">
        <f>INDEX(Data!AD:AD,MATCH($G399,Data!$A:$A,0),1)</f>
        <v>0.81200000000000028</v>
      </c>
      <c r="N399">
        <f>INDEX(Data!AE:AE,MATCH($G399,Data!$A:$A,0),1)</f>
        <v>0.73899999999999988</v>
      </c>
      <c r="O399">
        <f>INDEX(Data!AG:AG,MATCH($G399,Data!$A:$A,0),1)</f>
        <v>1.303636940513492</v>
      </c>
      <c r="P399">
        <f>INDEX(Data!AH:AH,MATCH($G399,Data!$A:$A,0),1)</f>
        <v>9.6821078775000036</v>
      </c>
      <c r="Q399">
        <f>IFERROR(IF(MATCH(B399,#REF!,0)&gt;0,1),0)</f>
        <v>0</v>
      </c>
    </row>
    <row r="400" spans="1:17" x14ac:dyDescent="0.2">
      <c r="A400" t="s">
        <v>151</v>
      </c>
      <c r="B400" t="s">
        <v>152</v>
      </c>
      <c r="C400" t="s">
        <v>95</v>
      </c>
      <c r="D400" t="s">
        <v>95</v>
      </c>
      <c r="E400" t="s">
        <v>95</v>
      </c>
      <c r="F400">
        <v>32</v>
      </c>
      <c r="G400" t="s">
        <v>339</v>
      </c>
      <c r="H400" s="2">
        <f>INDEX(Data!G:G,MATCH(G400,Data!A:A,0),1)</f>
        <v>8.4591606470324017</v>
      </c>
      <c r="I400" s="2">
        <f>INDEX(Data!J:J,MATCH(G400,Data!A:A,0),1)</f>
        <v>6.4483962143983575</v>
      </c>
      <c r="J400" s="2">
        <f>INDEX(Data!R:R,MATCH(G400,Data!A:A,0),1)</f>
        <v>0</v>
      </c>
      <c r="K400" s="2">
        <f>INDEX(Data!S:S,MATCH(G400,Data!A:A,0),1)</f>
        <v>120.04801920768308</v>
      </c>
      <c r="L400" t="str">
        <f t="shared" si="6"/>
        <v>Production of hydrogen and synthesis gas_Manufacture of industrial gases</v>
      </c>
      <c r="M400">
        <f>INDEX(Data!AD:AD,MATCH($G400,Data!$A:$A,0),1)</f>
        <v>0.81200000000000017</v>
      </c>
      <c r="N400">
        <f>INDEX(Data!AE:AE,MATCH($G400,Data!$A:$A,0),1)</f>
        <v>0.7390000000000001</v>
      </c>
      <c r="O400">
        <f>INDEX(Data!AG:AG,MATCH($G400,Data!$A:$A,0),1)</f>
        <v>1.2983191848894988</v>
      </c>
      <c r="P400">
        <f>INDEX(Data!AH:AH,MATCH($G400,Data!$A:$A,0),1)</f>
        <v>4.8395672422172114</v>
      </c>
      <c r="Q400">
        <f>IFERROR(IF(MATCH(B400,#REF!,0)&gt;0,1),0)</f>
        <v>0</v>
      </c>
    </row>
    <row r="401" spans="1:17" x14ac:dyDescent="0.2">
      <c r="A401" t="s">
        <v>151</v>
      </c>
      <c r="B401" t="s">
        <v>191</v>
      </c>
      <c r="C401" t="s">
        <v>95</v>
      </c>
      <c r="D401" t="s">
        <v>95</v>
      </c>
      <c r="E401" t="s">
        <v>95</v>
      </c>
      <c r="F401">
        <v>1</v>
      </c>
      <c r="G401" t="s">
        <v>346</v>
      </c>
      <c r="H401" s="2">
        <f>INDEX(Data!G:G,MATCH(G401,Data!A:A,0),1)</f>
        <v>8.4591606470324017</v>
      </c>
      <c r="I401" s="2">
        <f>INDEX(Data!J:J,MATCH(G401,Data!A:A,0),1)</f>
        <v>6.4483962143983575</v>
      </c>
      <c r="J401" s="2">
        <f>INDEX(Data!R:R,MATCH(G401,Data!A:A,0),1)</f>
        <v>0</v>
      </c>
      <c r="K401" s="2">
        <f>INDEX(Data!S:S,MATCH(G401,Data!A:A,0),1)</f>
        <v>120.04801920768308</v>
      </c>
      <c r="L401" t="str">
        <f t="shared" si="6"/>
        <v>Production of hydrogen and synthesis gas_Manufacture of other organic basic chemicals</v>
      </c>
      <c r="M401">
        <f>INDEX(Data!AD:AD,MATCH($G401,Data!$A:$A,0),1)</f>
        <v>0.81200000000000017</v>
      </c>
      <c r="N401">
        <f>INDEX(Data!AE:AE,MATCH($G401,Data!$A:$A,0),1)</f>
        <v>0.7390000000000001</v>
      </c>
      <c r="O401">
        <f>INDEX(Data!AG:AG,MATCH($G401,Data!$A:$A,0),1)</f>
        <v>1.2983191848894988</v>
      </c>
      <c r="P401">
        <f>INDEX(Data!AH:AH,MATCH($G401,Data!$A:$A,0),1)</f>
        <v>4.8395672422172114</v>
      </c>
      <c r="Q401">
        <f>IFERROR(IF(MATCH(B401,#REF!,0)&gt;0,1),0)</f>
        <v>0</v>
      </c>
    </row>
    <row r="402" spans="1:17" x14ac:dyDescent="0.2">
      <c r="A402" t="s">
        <v>151</v>
      </c>
      <c r="B402" t="s">
        <v>216</v>
      </c>
      <c r="C402" t="s">
        <v>95</v>
      </c>
      <c r="D402" t="s">
        <v>95</v>
      </c>
      <c r="E402" t="s">
        <v>95</v>
      </c>
      <c r="F402">
        <v>1</v>
      </c>
      <c r="G402" t="s">
        <v>339</v>
      </c>
      <c r="H402" s="2">
        <f>INDEX(Data!G:G,MATCH(G402,Data!A:A,0),1)</f>
        <v>8.4591606470324017</v>
      </c>
      <c r="I402" s="2">
        <f>INDEX(Data!J:J,MATCH(G402,Data!A:A,0),1)</f>
        <v>6.4483962143983575</v>
      </c>
      <c r="J402" s="2">
        <f>INDEX(Data!R:R,MATCH(G402,Data!A:A,0),1)</f>
        <v>0</v>
      </c>
      <c r="K402" s="2">
        <f>INDEX(Data!S:S,MATCH(G402,Data!A:A,0),1)</f>
        <v>120.04801920768308</v>
      </c>
      <c r="L402" t="str">
        <f t="shared" si="6"/>
        <v>Production of hydrogen and synthesis gas_Manufacture of plastics in primary forms</v>
      </c>
      <c r="M402">
        <f>INDEX(Data!AD:AD,MATCH($G402,Data!$A:$A,0),1)</f>
        <v>0.81200000000000017</v>
      </c>
      <c r="N402">
        <f>INDEX(Data!AE:AE,MATCH($G402,Data!$A:$A,0),1)</f>
        <v>0.7390000000000001</v>
      </c>
      <c r="O402">
        <f>INDEX(Data!AG:AG,MATCH($G402,Data!$A:$A,0),1)</f>
        <v>1.2983191848894988</v>
      </c>
      <c r="P402">
        <f>INDEX(Data!AH:AH,MATCH($G402,Data!$A:$A,0),1)</f>
        <v>4.8395672422172114</v>
      </c>
      <c r="Q402">
        <f>IFERROR(IF(MATCH(B402,#REF!,0)&gt;0,1),0)</f>
        <v>0</v>
      </c>
    </row>
    <row r="403" spans="1:17" x14ac:dyDescent="0.2">
      <c r="A403" t="s">
        <v>151</v>
      </c>
      <c r="B403" t="s">
        <v>223</v>
      </c>
      <c r="C403" t="s">
        <v>115</v>
      </c>
      <c r="D403" t="s">
        <v>224</v>
      </c>
      <c r="E403" t="s">
        <v>224</v>
      </c>
      <c r="F403">
        <v>1</v>
      </c>
      <c r="G403" t="s">
        <v>333</v>
      </c>
      <c r="H403" s="2">
        <f>INDEX(Data!G:G,MATCH(G403,Data!A:A,0),1)</f>
        <v>0.55000000000000004</v>
      </c>
      <c r="I403" s="2">
        <f>INDEX(Data!J:J,MATCH(G403,Data!A:A,0),1)</f>
        <v>0.40714285714285714</v>
      </c>
      <c r="J403" s="2">
        <f>INDEX(Data!R:R,MATCH(G403,Data!A:A,0),1)</f>
        <v>0</v>
      </c>
      <c r="K403" s="2">
        <f>INDEX(Data!S:S,MATCH(G403,Data!A:A,0),1)</f>
        <v>0.432</v>
      </c>
      <c r="L403" t="str">
        <f t="shared" si="6"/>
        <v>Production of hydrogen and synthesis gas_Manufacture of refined petroleum products</v>
      </c>
      <c r="M403">
        <f>INDEX(Data!AD:AD,MATCH($G403,Data!$A:$A,0),1)</f>
        <v>0.72599999999999998</v>
      </c>
      <c r="N403">
        <f>INDEX(Data!AE:AE,MATCH($G403,Data!$A:$A,0),1)</f>
        <v>0.30499999999999999</v>
      </c>
      <c r="O403">
        <f>INDEX(Data!AG:AG,MATCH($G403,Data!$A:$A,0),1)</f>
        <v>0.63412830119313213</v>
      </c>
      <c r="P403">
        <f>INDEX(Data!AH:AH,MATCH($G403,Data!$A:$A,0),1)</f>
        <v>8.240093553846331E-2</v>
      </c>
      <c r="Q403">
        <f>IFERROR(IF(MATCH(B403,#REF!,0)&gt;0,1),0)</f>
        <v>0</v>
      </c>
    </row>
    <row r="404" spans="1:17" x14ac:dyDescent="0.2">
      <c r="A404" s="2" t="s">
        <v>151</v>
      </c>
      <c r="D404" t="s">
        <v>95</v>
      </c>
      <c r="E404">
        <v>0</v>
      </c>
      <c r="G404" s="2" t="s">
        <v>339</v>
      </c>
      <c r="H404" s="2">
        <f>INDEX(Data!G:G,MATCH(G404,Data!A:A,0),1)</f>
        <v>8.4591606470324017</v>
      </c>
      <c r="I404" s="2">
        <f>INDEX(Data!J:J,MATCH(G404,Data!A:A,0),1)</f>
        <v>6.4483962143983575</v>
      </c>
      <c r="J404" s="2">
        <f>INDEX(Data!R:R,MATCH(G404,Data!A:A,0),1)</f>
        <v>0</v>
      </c>
      <c r="K404" s="2">
        <f>INDEX(Data!S:S,MATCH(G404,Data!A:A,0),1)</f>
        <v>120.04801920768308</v>
      </c>
      <c r="L404" t="str">
        <f t="shared" si="6"/>
        <v>Production of hydrogen and synthesis gas</v>
      </c>
      <c r="M404">
        <f>INDEX(Data!AD:AD,MATCH($G404,Data!$A:$A,0),1)</f>
        <v>0.81200000000000017</v>
      </c>
      <c r="N404">
        <f>INDEX(Data!AE:AE,MATCH($G404,Data!$A:$A,0),1)</f>
        <v>0.7390000000000001</v>
      </c>
      <c r="O404">
        <f>INDEX(Data!AG:AG,MATCH($G404,Data!$A:$A,0),1)</f>
        <v>1.2983191848894988</v>
      </c>
      <c r="P404">
        <f>INDEX(Data!AH:AH,MATCH($G404,Data!$A:$A,0),1)</f>
        <v>4.8395672422172114</v>
      </c>
      <c r="Q404">
        <f>IFERROR(IF(MATCH(B404,#REF!,0)&gt;0,1),0)</f>
        <v>0</v>
      </c>
    </row>
    <row r="405" spans="1:17" x14ac:dyDescent="0.2">
      <c r="A405" t="s">
        <v>49</v>
      </c>
      <c r="B405" t="s">
        <v>105</v>
      </c>
      <c r="C405" t="s">
        <v>81</v>
      </c>
      <c r="D405" t="s">
        <v>409</v>
      </c>
      <c r="E405" t="s">
        <v>106</v>
      </c>
      <c r="F405">
        <v>4</v>
      </c>
      <c r="G405" t="s">
        <v>327</v>
      </c>
      <c r="H405" s="2">
        <f>INDEX(Data!G:G,MATCH(G405,Data!A:A,0),1)</f>
        <v>0.81745070728588098</v>
      </c>
      <c r="I405" s="2">
        <f>INDEX(Data!J:J,MATCH(G405,Data!A:A,0),1)</f>
        <v>0.6991394038416423</v>
      </c>
      <c r="J405" s="2">
        <f>INDEX(Data!R:R,MATCH(G405,Data!A:A,0),1)</f>
        <v>4.3200000000000021</v>
      </c>
      <c r="K405" s="2">
        <f>INDEX(Data!S:S,MATCH(G405,Data!A:A,0),1)</f>
        <v>0</v>
      </c>
      <c r="L405" t="str">
        <f t="shared" si="6"/>
        <v>Production of lime, or calcination of dolomite/magnesite_Manufacture of cement</v>
      </c>
      <c r="M405">
        <f>INDEX(Data!AD:AD,MATCH($G405,Data!$A:$A,0),1)</f>
        <v>0.6</v>
      </c>
      <c r="N405">
        <f>INDEX(Data!AE:AE,MATCH($G405,Data!$A:$A,0),1)</f>
        <v>0.59799999999999998</v>
      </c>
      <c r="O405">
        <f>INDEX(Data!AG:AG,MATCH($G405,Data!$A:$A,0),1)</f>
        <v>1.7474276218071669</v>
      </c>
      <c r="P405">
        <f>INDEX(Data!AH:AH,MATCH($G405,Data!$A:$A,0),1)</f>
        <v>11.543912994239886</v>
      </c>
      <c r="Q405">
        <f>IFERROR(IF(MATCH(B405,#REF!,0)&gt;0,1),0)</f>
        <v>0</v>
      </c>
    </row>
    <row r="406" spans="1:17" x14ac:dyDescent="0.2">
      <c r="A406" t="s">
        <v>49</v>
      </c>
      <c r="B406" t="s">
        <v>111</v>
      </c>
      <c r="C406" t="s">
        <v>81</v>
      </c>
      <c r="D406" t="s">
        <v>409</v>
      </c>
      <c r="E406" t="s">
        <v>101</v>
      </c>
      <c r="F406">
        <v>2</v>
      </c>
      <c r="G406" t="s">
        <v>326</v>
      </c>
      <c r="H406" s="2">
        <f>INDEX(Data!G:G,MATCH(G406,Data!A:A,0),1)</f>
        <v>0.12876363322314929</v>
      </c>
      <c r="I406" s="2">
        <f>INDEX(Data!J:J,MATCH(G406,Data!A:A,0),1)</f>
        <v>9.509036148184509E-2</v>
      </c>
      <c r="J406" s="2">
        <f>INDEX(Data!R:R,MATCH(G406,Data!A:A,0),1)</f>
        <v>3.0746807959647584</v>
      </c>
      <c r="K406" s="2">
        <f>INDEX(Data!S:S,MATCH(G406,Data!A:A,0),1)</f>
        <v>0</v>
      </c>
      <c r="L406" t="str">
        <f t="shared" si="6"/>
        <v>Production of lime, or calcination of dolomite/magnesite_Manufacture of ceramic tiles and flags</v>
      </c>
      <c r="M406">
        <f>INDEX(Data!AD:AD,MATCH($G406,Data!$A:$A,0),1)</f>
        <v>0.6</v>
      </c>
      <c r="N406">
        <f>INDEX(Data!AE:AE,MATCH($G406,Data!$A:$A,0),1)</f>
        <v>0.59799999999999998</v>
      </c>
      <c r="O406">
        <f>INDEX(Data!AG:AG,MATCH($G406,Data!$A:$A,0),1)</f>
        <v>1.1022133959071165</v>
      </c>
      <c r="P406">
        <f>INDEX(Data!AH:AH,MATCH($G406,Data!$A:$A,0),1)</f>
        <v>1.455542145135519</v>
      </c>
      <c r="Q406">
        <f>IFERROR(IF(MATCH(B406,#REF!,0)&gt;0,1),0)</f>
        <v>0</v>
      </c>
    </row>
    <row r="407" spans="1:17" x14ac:dyDescent="0.2">
      <c r="A407" t="s">
        <v>49</v>
      </c>
      <c r="B407" t="s">
        <v>212</v>
      </c>
      <c r="C407" t="s">
        <v>81</v>
      </c>
      <c r="D407" t="s">
        <v>409</v>
      </c>
      <c r="E407" t="s">
        <v>213</v>
      </c>
      <c r="F407">
        <v>2</v>
      </c>
      <c r="G407" t="s">
        <v>336</v>
      </c>
      <c r="H407" s="2">
        <f>INDEX(Data!G:G,MATCH(G407,Data!A:A,0),1)</f>
        <v>3.5629026621767576E-2</v>
      </c>
      <c r="I407" s="2">
        <f>INDEX(Data!J:J,MATCH(G407,Data!A:A,0),1)</f>
        <v>3.1972106510782264E-2</v>
      </c>
      <c r="J407" s="2">
        <f>INDEX(Data!R:R,MATCH(G407,Data!A:A,0),1)</f>
        <v>1.0800000000000005</v>
      </c>
      <c r="K407" s="2">
        <f>INDEX(Data!S:S,MATCH(G407,Data!A:A,0),1)</f>
        <v>0</v>
      </c>
      <c r="L407" t="str">
        <f t="shared" si="6"/>
        <v>Production of lime, or calcination of dolomite/magnesite_Manufacture of plaster products for construction purposes</v>
      </c>
      <c r="M407">
        <f>INDEX(Data!AD:AD,MATCH($G407,Data!$A:$A,0),1)</f>
        <v>0.60000000000000009</v>
      </c>
      <c r="N407">
        <f>INDEX(Data!AE:AE,MATCH($G407,Data!$A:$A,0),1)</f>
        <v>0.59800000000000009</v>
      </c>
      <c r="O407">
        <f>INDEX(Data!AG:AG,MATCH($G407,Data!$A:$A,0),1)</f>
        <v>1.064726745878753</v>
      </c>
      <c r="P407">
        <f>INDEX(Data!AH:AH,MATCH($G407,Data!$A:$A,0),1)</f>
        <v>1.4340325482945437</v>
      </c>
      <c r="Q407">
        <f>IFERROR(IF(MATCH(B407,#REF!,0)&gt;0,1),0)</f>
        <v>0</v>
      </c>
    </row>
    <row r="408" spans="1:17" x14ac:dyDescent="0.2">
      <c r="A408" t="s">
        <v>49</v>
      </c>
      <c r="B408" t="s">
        <v>154</v>
      </c>
      <c r="C408" t="s">
        <v>81</v>
      </c>
      <c r="D408" t="s">
        <v>409</v>
      </c>
      <c r="E408" t="s">
        <v>155</v>
      </c>
      <c r="F408">
        <v>165</v>
      </c>
      <c r="G408" t="s">
        <v>337</v>
      </c>
      <c r="H408" s="2">
        <f>INDEX(Data!G:G,MATCH(G408,Data!A:A,0),1)</f>
        <v>1.0858855073623837</v>
      </c>
      <c r="I408" s="2">
        <f>INDEX(Data!J:J,MATCH(G408,Data!A:A,0),1)</f>
        <v>0.76053043758401917</v>
      </c>
      <c r="J408" s="2">
        <f>INDEX(Data!R:R,MATCH(G408,Data!A:A,0),1)</f>
        <v>3.7079999999999997</v>
      </c>
      <c r="K408" s="2">
        <f>INDEX(Data!S:S,MATCH(G408,Data!A:A,0),1)</f>
        <v>0</v>
      </c>
      <c r="L408" t="str">
        <f t="shared" si="6"/>
        <v>Production of lime, or calcination of dolomite/magnesite_Manufacture of lime and plaster</v>
      </c>
      <c r="M408">
        <f>INDEX(Data!AD:AD,MATCH($G408,Data!$A:$A,0),1)</f>
        <v>0.6</v>
      </c>
      <c r="N408">
        <f>INDEX(Data!AE:AE,MATCH($G408,Data!$A:$A,0),1)</f>
        <v>0.59799999999999998</v>
      </c>
      <c r="O408">
        <f>INDEX(Data!AG:AG,MATCH($G408,Data!$A:$A,0),1)</f>
        <v>1.948717100000001</v>
      </c>
      <c r="P408">
        <f>INDEX(Data!AH:AH,MATCH($G408,Data!$A:$A,0),1)</f>
        <v>118.49939476920679</v>
      </c>
      <c r="Q408">
        <f>IFERROR(IF(MATCH(B408,#REF!,0)&gt;0,1),0)</f>
        <v>0</v>
      </c>
    </row>
    <row r="409" spans="1:17" x14ac:dyDescent="0.2">
      <c r="A409" t="s">
        <v>49</v>
      </c>
      <c r="B409" t="s">
        <v>254</v>
      </c>
      <c r="C409" t="s">
        <v>58</v>
      </c>
      <c r="D409" t="s">
        <v>403</v>
      </c>
      <c r="E409" t="s">
        <v>242</v>
      </c>
      <c r="F409">
        <v>7</v>
      </c>
      <c r="G409" t="s">
        <v>325</v>
      </c>
      <c r="H409" s="2">
        <f>INDEX(Data!G:G,MATCH(G409,Data!A:A,0),1)</f>
        <v>5.79E-2</v>
      </c>
      <c r="I409" s="2">
        <f>INDEX(Data!J:J,MATCH(G409,Data!A:A,0),1)</f>
        <v>4.2599999999999999E-2</v>
      </c>
      <c r="J409" s="2">
        <f>INDEX(Data!R:R,MATCH(G409,Data!A:A,0),1)</f>
        <v>1</v>
      </c>
      <c r="K409" s="2">
        <f>INDEX(Data!S:S,MATCH(G409,Data!A:A,0),1)</f>
        <v>0</v>
      </c>
      <c r="L409" t="str">
        <f t="shared" si="6"/>
        <v>Production of lime, or calcination of dolomite/magnesite_Other mining and quarrying n.e.c.</v>
      </c>
      <c r="M409">
        <f>INDEX(Data!AD:AD,MATCH($G409,Data!$A:$A,0),1)</f>
        <v>0.78200000000000003</v>
      </c>
      <c r="N409">
        <f>INDEX(Data!AE:AE,MATCH($G409,Data!$A:$A,0),1)</f>
        <v>0.63500000000000001</v>
      </c>
      <c r="O409">
        <f>INDEX(Data!AG:AG,MATCH($G409,Data!$A:$A,0),1)</f>
        <v>1.1486856676492798</v>
      </c>
      <c r="P409">
        <f>INDEX(Data!AH:AH,MATCH($G409,Data!$A:$A,0),1)</f>
        <v>1.7068864766411047</v>
      </c>
      <c r="Q409">
        <f>IFERROR(IF(MATCH(B409,#REF!,0)&gt;0,1),0)</f>
        <v>0</v>
      </c>
    </row>
    <row r="410" spans="1:17" x14ac:dyDescent="0.2">
      <c r="A410" t="s">
        <v>49</v>
      </c>
      <c r="B410" t="s">
        <v>230</v>
      </c>
      <c r="C410" t="s">
        <v>113</v>
      </c>
      <c r="D410" t="s">
        <v>403</v>
      </c>
      <c r="E410" t="s">
        <v>15</v>
      </c>
      <c r="F410">
        <v>19</v>
      </c>
      <c r="G410" t="s">
        <v>325</v>
      </c>
      <c r="H410" s="2">
        <f>INDEX(Data!G:G,MATCH(G410,Data!A:A,0),1)</f>
        <v>5.79E-2</v>
      </c>
      <c r="I410" s="2">
        <f>INDEX(Data!J:J,MATCH(G410,Data!A:A,0),1)</f>
        <v>4.2599999999999999E-2</v>
      </c>
      <c r="J410" s="2">
        <f>INDEX(Data!R:R,MATCH(G410,Data!A:A,0),1)</f>
        <v>1</v>
      </c>
      <c r="K410" s="2">
        <f>INDEX(Data!S:S,MATCH(G410,Data!A:A,0),1)</f>
        <v>0</v>
      </c>
      <c r="L410" t="str">
        <f t="shared" si="6"/>
        <v>Production of lime, or calcination of dolomite/magnesite_Manufacture of sugar</v>
      </c>
      <c r="M410">
        <f>INDEX(Data!AD:AD,MATCH($G410,Data!$A:$A,0),1)</f>
        <v>0.78200000000000003</v>
      </c>
      <c r="N410">
        <f>INDEX(Data!AE:AE,MATCH($G410,Data!$A:$A,0),1)</f>
        <v>0.63500000000000001</v>
      </c>
      <c r="O410">
        <f>INDEX(Data!AG:AG,MATCH($G410,Data!$A:$A,0),1)</f>
        <v>1.1486856676492798</v>
      </c>
      <c r="P410">
        <f>INDEX(Data!AH:AH,MATCH($G410,Data!$A:$A,0),1)</f>
        <v>1.7068864766411047</v>
      </c>
      <c r="Q410">
        <f>IFERROR(IF(MATCH(B410,#REF!,0)&gt;0,1),0)</f>
        <v>0</v>
      </c>
    </row>
    <row r="411" spans="1:17" x14ac:dyDescent="0.2">
      <c r="A411" t="s">
        <v>49</v>
      </c>
      <c r="B411" t="s">
        <v>47</v>
      </c>
      <c r="C411" t="s">
        <v>44</v>
      </c>
      <c r="D411" t="s">
        <v>45</v>
      </c>
      <c r="E411" t="s">
        <v>45</v>
      </c>
      <c r="F411">
        <v>2</v>
      </c>
      <c r="G411" t="s">
        <v>325</v>
      </c>
      <c r="H411" s="2">
        <f>INDEX(Data!G:G,MATCH(G411,Data!A:A,0),1)</f>
        <v>5.79E-2</v>
      </c>
      <c r="I411" s="2">
        <f>INDEX(Data!J:J,MATCH(G411,Data!A:A,0),1)</f>
        <v>4.2599999999999999E-2</v>
      </c>
      <c r="J411" s="2">
        <f>INDEX(Data!R:R,MATCH(G411,Data!A:A,0),1)</f>
        <v>1</v>
      </c>
      <c r="K411" s="2">
        <f>INDEX(Data!S:S,MATCH(G411,Data!A:A,0),1)</f>
        <v>0</v>
      </c>
      <c r="L411" t="str">
        <f t="shared" si="6"/>
        <v>Production of lime, or calcination of dolomite/magnesite_Electric power generation, transmission and distribution</v>
      </c>
      <c r="M411">
        <f>INDEX(Data!AD:AD,MATCH($G411,Data!$A:$A,0),1)</f>
        <v>0.78200000000000003</v>
      </c>
      <c r="N411">
        <f>INDEX(Data!AE:AE,MATCH($G411,Data!$A:$A,0),1)</f>
        <v>0.63500000000000001</v>
      </c>
      <c r="O411">
        <f>INDEX(Data!AG:AG,MATCH($G411,Data!$A:$A,0),1)</f>
        <v>1.1486856676492798</v>
      </c>
      <c r="P411">
        <f>INDEX(Data!AH:AH,MATCH($G411,Data!$A:$A,0),1)</f>
        <v>1.7068864766411047</v>
      </c>
      <c r="Q411">
        <f>IFERROR(IF(MATCH(B411,#REF!,0)&gt;0,1),0)</f>
        <v>0</v>
      </c>
    </row>
    <row r="412" spans="1:17" x14ac:dyDescent="0.2">
      <c r="A412" t="s">
        <v>49</v>
      </c>
      <c r="B412" t="s">
        <v>225</v>
      </c>
      <c r="C412" t="s">
        <v>81</v>
      </c>
      <c r="D412" t="s">
        <v>409</v>
      </c>
      <c r="E412" t="s">
        <v>331</v>
      </c>
      <c r="F412">
        <v>5</v>
      </c>
      <c r="G412" t="s">
        <v>332</v>
      </c>
      <c r="H412" s="2">
        <f>INDEX(Data!G:G,MATCH(G412,Data!A:A,0),1)</f>
        <v>1.8</v>
      </c>
      <c r="I412" s="2">
        <f>INDEX(Data!J:J,MATCH(G412,Data!A:A,0),1)</f>
        <v>1.8</v>
      </c>
      <c r="J412" s="2">
        <f>INDEX(Data!R:R,MATCH(G412,Data!A:A,0),1)</f>
        <v>5.378400000000001</v>
      </c>
      <c r="K412" s="2">
        <f>INDEX(Data!S:S,MATCH(G412,Data!A:A,0),1)</f>
        <v>0</v>
      </c>
      <c r="L412" t="str">
        <f t="shared" si="6"/>
        <v>Production of lime, or calcination of dolomite/magnesite_Manufacture of refractory products</v>
      </c>
      <c r="M412">
        <f>INDEX(Data!AD:AD,MATCH($G412,Data!$A:$A,0),1)</f>
        <v>0.6</v>
      </c>
      <c r="N412">
        <f>INDEX(Data!AE:AE,MATCH($G412,Data!$A:$A,0),1)</f>
        <v>0.59799999999999998</v>
      </c>
      <c r="O412">
        <f>INDEX(Data!AG:AG,MATCH($G412,Data!$A:$A,0),1)</f>
        <v>1.2551691331611463</v>
      </c>
      <c r="P412">
        <f>INDEX(Data!AH:AH,MATCH($G412,Data!$A:$A,0),1)</f>
        <v>2.4027505261813573</v>
      </c>
      <c r="Q412">
        <f>IFERROR(IF(MATCH(B412,#REF!,0)&gt;0,1),0)</f>
        <v>0</v>
      </c>
    </row>
    <row r="413" spans="1:17" x14ac:dyDescent="0.2">
      <c r="A413" s="2" t="s">
        <v>49</v>
      </c>
      <c r="D413" t="s">
        <v>95</v>
      </c>
      <c r="E413">
        <v>0</v>
      </c>
      <c r="G413" s="2" t="s">
        <v>337</v>
      </c>
      <c r="H413" s="2">
        <f>INDEX(Data!G:G,MATCH(G413,Data!A:A,0),1)</f>
        <v>1.0858855073623837</v>
      </c>
      <c r="I413" s="2">
        <f>INDEX(Data!J:J,MATCH(G413,Data!A:A,0),1)</f>
        <v>0.76053043758401917</v>
      </c>
      <c r="J413" s="2">
        <f>INDEX(Data!R:R,MATCH(G413,Data!A:A,0),1)</f>
        <v>3.7079999999999997</v>
      </c>
      <c r="K413" s="2">
        <f>INDEX(Data!S:S,MATCH(G413,Data!A:A,0),1)</f>
        <v>0</v>
      </c>
      <c r="L413" t="str">
        <f t="shared" si="6"/>
        <v>Production of lime, or calcination of dolomite/magnesite</v>
      </c>
      <c r="M413">
        <f>INDEX(Data!AD:AD,MATCH($G413,Data!$A:$A,0),1)</f>
        <v>0.6</v>
      </c>
      <c r="N413">
        <f>INDEX(Data!AE:AE,MATCH($G413,Data!$A:$A,0),1)</f>
        <v>0.59799999999999998</v>
      </c>
      <c r="O413">
        <f>INDEX(Data!AG:AG,MATCH($G413,Data!$A:$A,0),1)</f>
        <v>1.948717100000001</v>
      </c>
      <c r="P413">
        <f>INDEX(Data!AH:AH,MATCH($G413,Data!$A:$A,0),1)</f>
        <v>118.49939476920679</v>
      </c>
      <c r="Q413">
        <f>IFERROR(IF(MATCH(B413,#REF!,0)&gt;0,1),0)</f>
        <v>0</v>
      </c>
    </row>
    <row r="414" spans="1:17" x14ac:dyDescent="0.2">
      <c r="A414" t="s">
        <v>135</v>
      </c>
      <c r="B414" t="s">
        <v>134</v>
      </c>
      <c r="C414" t="s">
        <v>95</v>
      </c>
      <c r="D414" t="s">
        <v>95</v>
      </c>
      <c r="E414" t="s">
        <v>95</v>
      </c>
      <c r="F414">
        <v>26</v>
      </c>
      <c r="G414" t="s">
        <v>341</v>
      </c>
      <c r="H414" s="2">
        <f>INDEX(Data!G:G,MATCH(G414,Data!A:A,0),1)</f>
        <v>0.20499999999999999</v>
      </c>
      <c r="I414" s="2">
        <f>INDEX(Data!J:J,MATCH(G414,Data!A:A,0),1)</f>
        <v>0.23</v>
      </c>
      <c r="J414" s="2">
        <f>INDEX(Data!R:R,MATCH(G414,Data!A:A,0),1)</f>
        <v>0</v>
      </c>
      <c r="K414" s="2">
        <f>INDEX(Data!S:S,MATCH(G414,Data!A:A,0),1)</f>
        <v>5.9673600000000002</v>
      </c>
      <c r="L414" t="str">
        <f t="shared" si="6"/>
        <v>Production of nitric acid_Manufacture of fertilisers and nitrogen compounds</v>
      </c>
      <c r="M414">
        <f>INDEX(Data!AD:AD,MATCH($G414,Data!$A:$A,0),1)</f>
        <v>0.81200000000000006</v>
      </c>
      <c r="N414">
        <f>INDEX(Data!AE:AE,MATCH($G414,Data!$A:$A,0),1)</f>
        <v>0.73899999999999999</v>
      </c>
      <c r="O414">
        <f>INDEX(Data!AG:AG,MATCH($G414,Data!$A:$A,0),1)</f>
        <v>1.2983191848894986</v>
      </c>
      <c r="P414">
        <f>INDEX(Data!AH:AH,MATCH($G414,Data!$A:$A,0),1)</f>
        <v>4.8395672422172105</v>
      </c>
      <c r="Q414">
        <f>IFERROR(IF(MATCH(B414,#REF!,0)&gt;0,1),0)</f>
        <v>0</v>
      </c>
    </row>
    <row r="415" spans="1:17" x14ac:dyDescent="0.2">
      <c r="A415" t="s">
        <v>135</v>
      </c>
      <c r="B415" t="s">
        <v>191</v>
      </c>
      <c r="C415" t="s">
        <v>95</v>
      </c>
      <c r="D415" t="s">
        <v>95</v>
      </c>
      <c r="E415" t="s">
        <v>95</v>
      </c>
      <c r="F415">
        <v>1</v>
      </c>
      <c r="G415" t="s">
        <v>341</v>
      </c>
      <c r="H415" s="2">
        <f>INDEX(Data!G:G,MATCH(G415,Data!A:A,0),1)</f>
        <v>0.20499999999999999</v>
      </c>
      <c r="I415" s="2">
        <f>INDEX(Data!J:J,MATCH(G415,Data!A:A,0),1)</f>
        <v>0.23</v>
      </c>
      <c r="J415" s="2">
        <f>INDEX(Data!R:R,MATCH(G415,Data!A:A,0),1)</f>
        <v>0</v>
      </c>
      <c r="K415" s="2">
        <f>INDEX(Data!S:S,MATCH(G415,Data!A:A,0),1)</f>
        <v>5.9673600000000002</v>
      </c>
      <c r="L415" t="str">
        <f t="shared" si="6"/>
        <v>Production of nitric acid_Manufacture of other organic basic chemicals</v>
      </c>
      <c r="M415">
        <f>INDEX(Data!AD:AD,MATCH($G415,Data!$A:$A,0),1)</f>
        <v>0.81200000000000006</v>
      </c>
      <c r="N415">
        <f>INDEX(Data!AE:AE,MATCH($G415,Data!$A:$A,0),1)</f>
        <v>0.73899999999999999</v>
      </c>
      <c r="O415">
        <f>INDEX(Data!AG:AG,MATCH($G415,Data!$A:$A,0),1)</f>
        <v>1.2983191848894986</v>
      </c>
      <c r="P415">
        <f>INDEX(Data!AH:AH,MATCH($G415,Data!$A:$A,0),1)</f>
        <v>4.8395672422172105</v>
      </c>
      <c r="Q415">
        <f>IFERROR(IF(MATCH(B415,#REF!,0)&gt;0,1),0)</f>
        <v>0</v>
      </c>
    </row>
    <row r="416" spans="1:17" x14ac:dyDescent="0.2">
      <c r="A416" s="2" t="s">
        <v>135</v>
      </c>
      <c r="D416" t="s">
        <v>95</v>
      </c>
      <c r="E416">
        <v>0</v>
      </c>
      <c r="G416" s="2" t="s">
        <v>341</v>
      </c>
      <c r="H416" s="2">
        <f>INDEX(Data!G:G,MATCH(G416,Data!A:A,0),1)</f>
        <v>0.20499999999999999</v>
      </c>
      <c r="I416" s="2">
        <f>INDEX(Data!J:J,MATCH(G416,Data!A:A,0),1)</f>
        <v>0.23</v>
      </c>
      <c r="J416" s="2">
        <f>INDEX(Data!R:R,MATCH(G416,Data!A:A,0),1)</f>
        <v>0</v>
      </c>
      <c r="K416" s="2">
        <f>INDEX(Data!S:S,MATCH(G416,Data!A:A,0),1)</f>
        <v>5.9673600000000002</v>
      </c>
      <c r="L416" t="str">
        <f t="shared" si="6"/>
        <v>Production of nitric acid</v>
      </c>
      <c r="M416">
        <f>INDEX(Data!AD:AD,MATCH($G416,Data!$A:$A,0),1)</f>
        <v>0.81200000000000006</v>
      </c>
      <c r="N416">
        <f>INDEX(Data!AE:AE,MATCH($G416,Data!$A:$A,0),1)</f>
        <v>0.73899999999999999</v>
      </c>
      <c r="O416">
        <f>INDEX(Data!AG:AG,MATCH($G416,Data!$A:$A,0),1)</f>
        <v>1.2983191848894986</v>
      </c>
      <c r="P416">
        <f>INDEX(Data!AH:AH,MATCH($G416,Data!$A:$A,0),1)</f>
        <v>4.8395672422172105</v>
      </c>
      <c r="Q416">
        <f>IFERROR(IF(MATCH(B416,#REF!,0)&gt;0,1),0)</f>
        <v>0</v>
      </c>
    </row>
    <row r="417" spans="1:17" x14ac:dyDescent="0.2">
      <c r="A417" t="s">
        <v>35</v>
      </c>
      <c r="B417" t="s">
        <v>121</v>
      </c>
      <c r="C417" t="s">
        <v>122</v>
      </c>
      <c r="D417" t="s">
        <v>410</v>
      </c>
      <c r="E417" t="s">
        <v>123</v>
      </c>
      <c r="F417">
        <v>12</v>
      </c>
      <c r="G417" t="s">
        <v>328</v>
      </c>
      <c r="H417" s="2">
        <f>INDEX(Data!G:G,MATCH(G417,Data!A:A,0),1)</f>
        <v>0.20263440019098061</v>
      </c>
      <c r="I417" s="2">
        <f>INDEX(Data!J:J,MATCH(G417,Data!A:A,0),1)</f>
        <v>0.19255330027571974</v>
      </c>
      <c r="J417" s="2">
        <f>INDEX(Data!R:R,MATCH(G417,Data!A:A,0),1)</f>
        <v>4.968</v>
      </c>
      <c r="K417" s="2">
        <f>INDEX(Data!S:S,MATCH(G417,Data!A:A,0),1)</f>
        <v>0</v>
      </c>
      <c r="L417" t="str">
        <f t="shared" si="6"/>
        <v>Production of paper or cardboard_Manufacture of corrugated paper and paperboard and of containers of paper and paperboard</v>
      </c>
      <c r="M417">
        <f>INDEX(Data!AD:AD,MATCH($G417,Data!$A:$A,0),1)</f>
        <v>0.79800000000000004</v>
      </c>
      <c r="N417">
        <f>INDEX(Data!AE:AE,MATCH($G417,Data!$A:$A,0),1)</f>
        <v>0.92099999999999993</v>
      </c>
      <c r="O417">
        <f>INDEX(Data!AG:AG,MATCH($G417,Data!$A:$A,0),1)</f>
        <v>1.2809090316655365</v>
      </c>
      <c r="P417">
        <f>INDEX(Data!AH:AH,MATCH($G417,Data!$A:$A,0),1)</f>
        <v>4.1862577628706559</v>
      </c>
      <c r="Q417">
        <f>IFERROR(IF(MATCH(B417,#REF!,0)&gt;0,1),0)</f>
        <v>0</v>
      </c>
    </row>
    <row r="418" spans="1:17" x14ac:dyDescent="0.2">
      <c r="A418" t="s">
        <v>35</v>
      </c>
      <c r="B418" t="s">
        <v>31</v>
      </c>
      <c r="C418" t="s">
        <v>32</v>
      </c>
      <c r="D418" t="s">
        <v>403</v>
      </c>
      <c r="E418" t="s">
        <v>15</v>
      </c>
      <c r="F418">
        <v>1</v>
      </c>
      <c r="G418" t="s">
        <v>325</v>
      </c>
      <c r="H418" s="2">
        <f>INDEX(Data!G:G,MATCH(G418,Data!A:A,0),1)</f>
        <v>5.79E-2</v>
      </c>
      <c r="I418" s="2">
        <f>INDEX(Data!J:J,MATCH(G418,Data!A:A,0),1)</f>
        <v>4.2599999999999999E-2</v>
      </c>
      <c r="J418" s="2">
        <f>INDEX(Data!R:R,MATCH(G418,Data!A:A,0),1)</f>
        <v>1</v>
      </c>
      <c r="K418" s="2">
        <f>INDEX(Data!S:S,MATCH(G418,Data!A:A,0),1)</f>
        <v>0</v>
      </c>
      <c r="L418" t="str">
        <f t="shared" si="6"/>
        <v>Production of paper or cardboard_Data processing, hosting and related activities</v>
      </c>
      <c r="M418">
        <f>INDEX(Data!AD:AD,MATCH($G418,Data!$A:$A,0),1)</f>
        <v>0.78200000000000003</v>
      </c>
      <c r="N418">
        <f>INDEX(Data!AE:AE,MATCH($G418,Data!$A:$A,0),1)</f>
        <v>0.63500000000000001</v>
      </c>
      <c r="O418">
        <f>INDEX(Data!AG:AG,MATCH($G418,Data!$A:$A,0),1)</f>
        <v>1.1486856676492798</v>
      </c>
      <c r="P418">
        <f>INDEX(Data!AH:AH,MATCH($G418,Data!$A:$A,0),1)</f>
        <v>1.7068864766411047</v>
      </c>
      <c r="Q418">
        <f>IFERROR(IF(MATCH(B418,#REF!,0)&gt;0,1),0)</f>
        <v>0</v>
      </c>
    </row>
    <row r="419" spans="1:17" x14ac:dyDescent="0.2">
      <c r="A419" t="s">
        <v>35</v>
      </c>
      <c r="B419" t="s">
        <v>170</v>
      </c>
      <c r="C419" t="s">
        <v>62</v>
      </c>
      <c r="D419" t="s">
        <v>403</v>
      </c>
      <c r="E419" t="s">
        <v>15</v>
      </c>
      <c r="F419">
        <v>1</v>
      </c>
      <c r="G419" t="s">
        <v>325</v>
      </c>
      <c r="H419" s="2">
        <f>INDEX(Data!G:G,MATCH(G419,Data!A:A,0),1)</f>
        <v>5.79E-2</v>
      </c>
      <c r="I419" s="2">
        <f>INDEX(Data!J:J,MATCH(G419,Data!A:A,0),1)</f>
        <v>4.2599999999999999E-2</v>
      </c>
      <c r="J419" s="2">
        <f>INDEX(Data!R:R,MATCH(G419,Data!A:A,0),1)</f>
        <v>1</v>
      </c>
      <c r="K419" s="2">
        <f>INDEX(Data!S:S,MATCH(G419,Data!A:A,0),1)</f>
        <v>0</v>
      </c>
      <c r="L419" t="str">
        <f t="shared" si="6"/>
        <v>Production of paper or cardboard_Manufacture of non-wovens and articles made from non-wovens, except apparel</v>
      </c>
      <c r="M419">
        <f>INDEX(Data!AD:AD,MATCH($G419,Data!$A:$A,0),1)</f>
        <v>0.78200000000000003</v>
      </c>
      <c r="N419">
        <f>INDEX(Data!AE:AE,MATCH($G419,Data!$A:$A,0),1)</f>
        <v>0.63500000000000001</v>
      </c>
      <c r="O419">
        <f>INDEX(Data!AG:AG,MATCH($G419,Data!$A:$A,0),1)</f>
        <v>1.1486856676492798</v>
      </c>
      <c r="P419">
        <f>INDEX(Data!AH:AH,MATCH($G419,Data!$A:$A,0),1)</f>
        <v>1.7068864766411047</v>
      </c>
      <c r="Q419">
        <f>IFERROR(IF(MATCH(B419,#REF!,0)&gt;0,1),0)</f>
        <v>0</v>
      </c>
    </row>
    <row r="420" spans="1:17" x14ac:dyDescent="0.2">
      <c r="A420" t="s">
        <v>35</v>
      </c>
      <c r="B420" t="s">
        <v>238</v>
      </c>
      <c r="C420" t="s">
        <v>89</v>
      </c>
      <c r="D420" t="s">
        <v>403</v>
      </c>
      <c r="E420" t="s">
        <v>15</v>
      </c>
      <c r="F420">
        <v>1</v>
      </c>
      <c r="G420" t="s">
        <v>325</v>
      </c>
      <c r="H420" s="2">
        <f>INDEX(Data!G:G,MATCH(G420,Data!A:A,0),1)</f>
        <v>5.79E-2</v>
      </c>
      <c r="I420" s="2">
        <f>INDEX(Data!J:J,MATCH(G420,Data!A:A,0),1)</f>
        <v>4.2599999999999999E-2</v>
      </c>
      <c r="J420" s="2">
        <f>INDEX(Data!R:R,MATCH(G420,Data!A:A,0),1)</f>
        <v>1</v>
      </c>
      <c r="K420" s="2">
        <f>INDEX(Data!S:S,MATCH(G420,Data!A:A,0),1)</f>
        <v>0</v>
      </c>
      <c r="L420" t="str">
        <f t="shared" si="6"/>
        <v>Production of paper or cardboard_Manufacture of veneer sheets and wood-based panels</v>
      </c>
      <c r="M420">
        <f>INDEX(Data!AD:AD,MATCH($G420,Data!$A:$A,0),1)</f>
        <v>0.78200000000000003</v>
      </c>
      <c r="N420">
        <f>INDEX(Data!AE:AE,MATCH($G420,Data!$A:$A,0),1)</f>
        <v>0.63500000000000001</v>
      </c>
      <c r="O420">
        <f>INDEX(Data!AG:AG,MATCH($G420,Data!$A:$A,0),1)</f>
        <v>1.1486856676492798</v>
      </c>
      <c r="P420">
        <f>INDEX(Data!AH:AH,MATCH($G420,Data!$A:$A,0),1)</f>
        <v>1.7068864766411047</v>
      </c>
      <c r="Q420">
        <f>IFERROR(IF(MATCH(B420,#REF!,0)&gt;0,1),0)</f>
        <v>0</v>
      </c>
    </row>
    <row r="421" spans="1:17" x14ac:dyDescent="0.2">
      <c r="A421" t="s">
        <v>35</v>
      </c>
      <c r="B421" t="s">
        <v>172</v>
      </c>
      <c r="C421" t="s">
        <v>122</v>
      </c>
      <c r="D421" t="s">
        <v>410</v>
      </c>
      <c r="E421" t="s">
        <v>173</v>
      </c>
      <c r="F421">
        <v>4</v>
      </c>
      <c r="G421" t="s">
        <v>356</v>
      </c>
      <c r="H421" s="2">
        <f>INDEX(Data!G:G,MATCH(G421,Data!A:A,0),1)</f>
        <v>0.2201185822484337</v>
      </c>
      <c r="I421" s="2">
        <f>INDEX(Data!J:J,MATCH(G421,Data!A:A,0),1)</f>
        <v>0.22144473697589778</v>
      </c>
      <c r="J421" s="2">
        <f>INDEX(Data!R:R,MATCH(G421,Data!A:A,0),1)</f>
        <v>6.1071928683366004</v>
      </c>
      <c r="K421" s="2">
        <f>INDEX(Data!S:S,MATCH(G421,Data!A:A,0),1)</f>
        <v>0</v>
      </c>
      <c r="L421" t="str">
        <f t="shared" si="6"/>
        <v>Production of paper or cardboard_Manufacture of other articles of paper and paperboard</v>
      </c>
      <c r="M421">
        <f>INDEX(Data!AD:AD,MATCH($G421,Data!$A:$A,0),1)</f>
        <v>0.79800000000000015</v>
      </c>
      <c r="N421">
        <f>INDEX(Data!AE:AE,MATCH($G421,Data!$A:$A,0),1)</f>
        <v>0.92100000000000015</v>
      </c>
      <c r="O421">
        <f>INDEX(Data!AG:AG,MATCH($G421,Data!$A:$A,0),1)</f>
        <v>1.2809090316655365</v>
      </c>
      <c r="P421">
        <f>INDEX(Data!AH:AH,MATCH($G421,Data!$A:$A,0),1)</f>
        <v>4.1862577628706559</v>
      </c>
      <c r="Q421">
        <f>IFERROR(IF(MATCH(B421,#REF!,0)&gt;0,1),0)</f>
        <v>0</v>
      </c>
    </row>
    <row r="422" spans="1:17" x14ac:dyDescent="0.2">
      <c r="A422" t="s">
        <v>35</v>
      </c>
      <c r="B422" t="s">
        <v>208</v>
      </c>
      <c r="C422" t="s">
        <v>122</v>
      </c>
      <c r="D422" t="s">
        <v>410</v>
      </c>
      <c r="E422" t="s">
        <v>173</v>
      </c>
      <c r="F422">
        <v>397</v>
      </c>
      <c r="G422" t="s">
        <v>356</v>
      </c>
      <c r="H422" s="2">
        <f>INDEX(Data!G:G,MATCH(G422,Data!A:A,0),1)</f>
        <v>0.2201185822484337</v>
      </c>
      <c r="I422" s="2">
        <f>INDEX(Data!J:J,MATCH(G422,Data!A:A,0),1)</f>
        <v>0.22144473697589778</v>
      </c>
      <c r="J422" s="2">
        <f>INDEX(Data!R:R,MATCH(G422,Data!A:A,0),1)</f>
        <v>6.1071928683366004</v>
      </c>
      <c r="K422" s="2">
        <f>INDEX(Data!S:S,MATCH(G422,Data!A:A,0),1)</f>
        <v>0</v>
      </c>
      <c r="L422" t="str">
        <f t="shared" si="6"/>
        <v>Production of paper or cardboard_Manufacture of paper and paperboard</v>
      </c>
      <c r="M422">
        <f>INDEX(Data!AD:AD,MATCH($G422,Data!$A:$A,0),1)</f>
        <v>0.79800000000000015</v>
      </c>
      <c r="N422">
        <f>INDEX(Data!AE:AE,MATCH($G422,Data!$A:$A,0),1)</f>
        <v>0.92100000000000015</v>
      </c>
      <c r="O422">
        <f>INDEX(Data!AG:AG,MATCH($G422,Data!$A:$A,0),1)</f>
        <v>1.2809090316655365</v>
      </c>
      <c r="P422">
        <f>INDEX(Data!AH:AH,MATCH($G422,Data!$A:$A,0),1)</f>
        <v>4.1862577628706559</v>
      </c>
      <c r="Q422">
        <f>IFERROR(IF(MATCH(B422,#REF!,0)&gt;0,1),0)</f>
        <v>0</v>
      </c>
    </row>
    <row r="423" spans="1:17" x14ac:dyDescent="0.2">
      <c r="A423" t="s">
        <v>35</v>
      </c>
      <c r="B423" t="s">
        <v>239</v>
      </c>
      <c r="C423" t="s">
        <v>122</v>
      </c>
      <c r="D423" t="s">
        <v>410</v>
      </c>
      <c r="E423" t="s">
        <v>173</v>
      </c>
      <c r="F423">
        <v>1</v>
      </c>
      <c r="G423" t="s">
        <v>356</v>
      </c>
      <c r="H423" s="2">
        <f>INDEX(Data!G:G,MATCH(G423,Data!A:A,0),1)</f>
        <v>0.2201185822484337</v>
      </c>
      <c r="I423" s="2">
        <f>INDEX(Data!J:J,MATCH(G423,Data!A:A,0),1)</f>
        <v>0.22144473697589778</v>
      </c>
      <c r="J423" s="2">
        <f>INDEX(Data!R:R,MATCH(G423,Data!A:A,0),1)</f>
        <v>6.1071928683366004</v>
      </c>
      <c r="K423" s="2">
        <f>INDEX(Data!S:S,MATCH(G423,Data!A:A,0),1)</f>
        <v>0</v>
      </c>
      <c r="L423" t="str">
        <f t="shared" si="6"/>
        <v>Production of paper or cardboard_Manufacture of wallpaper</v>
      </c>
      <c r="M423">
        <f>INDEX(Data!AD:AD,MATCH($G423,Data!$A:$A,0),1)</f>
        <v>0.79800000000000015</v>
      </c>
      <c r="N423">
        <f>INDEX(Data!AE:AE,MATCH($G423,Data!$A:$A,0),1)</f>
        <v>0.92100000000000015</v>
      </c>
      <c r="O423">
        <f>INDEX(Data!AG:AG,MATCH($G423,Data!$A:$A,0),1)</f>
        <v>1.2809090316655365</v>
      </c>
      <c r="P423">
        <f>INDEX(Data!AH:AH,MATCH($G423,Data!$A:$A,0),1)</f>
        <v>4.1862577628706559</v>
      </c>
      <c r="Q423">
        <f>IFERROR(IF(MATCH(B423,#REF!,0)&gt;0,1),0)</f>
        <v>0</v>
      </c>
    </row>
    <row r="424" spans="1:17" x14ac:dyDescent="0.2">
      <c r="A424" t="s">
        <v>35</v>
      </c>
      <c r="B424" t="s">
        <v>47</v>
      </c>
      <c r="C424" t="s">
        <v>44</v>
      </c>
      <c r="D424" t="s">
        <v>45</v>
      </c>
      <c r="E424" t="s">
        <v>45</v>
      </c>
      <c r="F424">
        <v>3</v>
      </c>
      <c r="G424" t="s">
        <v>325</v>
      </c>
      <c r="H424" s="2">
        <f>INDEX(Data!G:G,MATCH(G424,Data!A:A,0),1)</f>
        <v>5.79E-2</v>
      </c>
      <c r="I424" s="2">
        <f>INDEX(Data!J:J,MATCH(G424,Data!A:A,0),1)</f>
        <v>4.2599999999999999E-2</v>
      </c>
      <c r="J424" s="2">
        <f>INDEX(Data!R:R,MATCH(G424,Data!A:A,0),1)</f>
        <v>1</v>
      </c>
      <c r="K424" s="2">
        <f>INDEX(Data!S:S,MATCH(G424,Data!A:A,0),1)</f>
        <v>0</v>
      </c>
      <c r="L424" t="str">
        <f t="shared" si="6"/>
        <v>Production of paper or cardboard_Electric power generation, transmission and distribution</v>
      </c>
      <c r="M424">
        <f>INDEX(Data!AD:AD,MATCH($G424,Data!$A:$A,0),1)</f>
        <v>0.78200000000000003</v>
      </c>
      <c r="N424">
        <f>INDEX(Data!AE:AE,MATCH($G424,Data!$A:$A,0),1)</f>
        <v>0.63500000000000001</v>
      </c>
      <c r="O424">
        <f>INDEX(Data!AG:AG,MATCH($G424,Data!$A:$A,0),1)</f>
        <v>1.1486856676492798</v>
      </c>
      <c r="P424">
        <f>INDEX(Data!AH:AH,MATCH($G424,Data!$A:$A,0),1)</f>
        <v>1.7068864766411047</v>
      </c>
      <c r="Q424">
        <f>IFERROR(IF(MATCH(B424,#REF!,0)&gt;0,1),0)</f>
        <v>0</v>
      </c>
    </row>
    <row r="425" spans="1:17" x14ac:dyDescent="0.2">
      <c r="A425" t="s">
        <v>35</v>
      </c>
      <c r="B425" t="s">
        <v>44</v>
      </c>
      <c r="C425" t="s">
        <v>44</v>
      </c>
      <c r="D425" t="s">
        <v>45</v>
      </c>
      <c r="E425" t="s">
        <v>45</v>
      </c>
      <c r="F425">
        <v>1</v>
      </c>
      <c r="G425" t="s">
        <v>329</v>
      </c>
      <c r="H425" s="2">
        <f>INDEX(Data!G:G,MATCH(G425,Data!A:A,0),1)</f>
        <v>7.6799999999999993E-2</v>
      </c>
      <c r="I425" s="2">
        <f>INDEX(Data!J:J,MATCH(G425,Data!A:A,0),1)</f>
        <v>4.7300000000000002E-2</v>
      </c>
      <c r="J425" s="2">
        <f>INDEX(Data!R:R,MATCH(G425,Data!A:A,0),1)</f>
        <v>1</v>
      </c>
      <c r="K425" s="2">
        <f>INDEX(Data!S:S,MATCH(G425,Data!A:A,0),1)</f>
        <v>0</v>
      </c>
      <c r="L425" t="str">
        <f t="shared" si="6"/>
        <v>Production of paper or cardboard_Electricity, gas, steam and air conditioning supply</v>
      </c>
      <c r="M425">
        <f>INDEX(Data!AD:AD,MATCH($G425,Data!$A:$A,0),1)</f>
        <v>0.78200000000000003</v>
      </c>
      <c r="N425">
        <f>INDEX(Data!AE:AE,MATCH($G425,Data!$A:$A,0),1)</f>
        <v>0.63500000000000001</v>
      </c>
      <c r="O425">
        <f>INDEX(Data!AG:AG,MATCH($G425,Data!$A:$A,0),1)</f>
        <v>1.1486856676492798</v>
      </c>
      <c r="P425">
        <f>INDEX(Data!AH:AH,MATCH($G425,Data!$A:$A,0),1)</f>
        <v>1.7068864766411047</v>
      </c>
      <c r="Q425">
        <f>IFERROR(IF(MATCH(B425,#REF!,0)&gt;0,1),0)</f>
        <v>0</v>
      </c>
    </row>
    <row r="426" spans="1:17" x14ac:dyDescent="0.2">
      <c r="A426" t="s">
        <v>35</v>
      </c>
      <c r="B426" t="s">
        <v>282</v>
      </c>
      <c r="C426" t="s">
        <v>44</v>
      </c>
      <c r="D426" t="s">
        <v>45</v>
      </c>
      <c r="E426" t="s">
        <v>45</v>
      </c>
      <c r="F426">
        <v>1</v>
      </c>
      <c r="G426" t="s">
        <v>325</v>
      </c>
      <c r="H426" s="2">
        <f>INDEX(Data!G:G,MATCH(G426,Data!A:A,0),1)</f>
        <v>5.79E-2</v>
      </c>
      <c r="I426" s="2">
        <f>INDEX(Data!J:J,MATCH(G426,Data!A:A,0),1)</f>
        <v>4.2599999999999999E-2</v>
      </c>
      <c r="J426" s="2">
        <f>INDEX(Data!R:R,MATCH(G426,Data!A:A,0),1)</f>
        <v>1</v>
      </c>
      <c r="K426" s="2">
        <f>INDEX(Data!S:S,MATCH(G426,Data!A:A,0),1)</f>
        <v>0</v>
      </c>
      <c r="L426" t="str">
        <f t="shared" si="6"/>
        <v>Production of paper or cardboard_Production of electricity</v>
      </c>
      <c r="M426">
        <f>INDEX(Data!AD:AD,MATCH($G426,Data!$A:$A,0),1)</f>
        <v>0.78200000000000003</v>
      </c>
      <c r="N426">
        <f>INDEX(Data!AE:AE,MATCH($G426,Data!$A:$A,0),1)</f>
        <v>0.63500000000000001</v>
      </c>
      <c r="O426">
        <f>INDEX(Data!AG:AG,MATCH($G426,Data!$A:$A,0),1)</f>
        <v>1.1486856676492798</v>
      </c>
      <c r="P426">
        <f>INDEX(Data!AH:AH,MATCH($G426,Data!$A:$A,0),1)</f>
        <v>1.7068864766411047</v>
      </c>
      <c r="Q426">
        <f>IFERROR(IF(MATCH(B426,#REF!,0)&gt;0,1),0)</f>
        <v>0</v>
      </c>
    </row>
    <row r="427" spans="1:17" x14ac:dyDescent="0.2">
      <c r="A427" t="s">
        <v>35</v>
      </c>
      <c r="B427" t="s">
        <v>301</v>
      </c>
      <c r="C427" t="s">
        <v>44</v>
      </c>
      <c r="D427" t="s">
        <v>45</v>
      </c>
      <c r="E427" t="s">
        <v>45</v>
      </c>
      <c r="F427">
        <v>2</v>
      </c>
      <c r="G427" t="s">
        <v>329</v>
      </c>
      <c r="H427" s="2">
        <f>INDEX(Data!G:G,MATCH(G427,Data!A:A,0),1)</f>
        <v>7.6799999999999993E-2</v>
      </c>
      <c r="I427" s="2">
        <f>INDEX(Data!J:J,MATCH(G427,Data!A:A,0),1)</f>
        <v>4.7300000000000002E-2</v>
      </c>
      <c r="J427" s="2">
        <f>INDEX(Data!R:R,MATCH(G427,Data!A:A,0),1)</f>
        <v>1</v>
      </c>
      <c r="K427" s="2">
        <f>INDEX(Data!S:S,MATCH(G427,Data!A:A,0),1)</f>
        <v>0</v>
      </c>
      <c r="L427" t="str">
        <f t="shared" si="6"/>
        <v>Production of paper or cardboard_Steam and air conditioning supply</v>
      </c>
      <c r="M427">
        <f>INDEX(Data!AD:AD,MATCH($G427,Data!$A:$A,0),1)</f>
        <v>0.78200000000000003</v>
      </c>
      <c r="N427">
        <f>INDEX(Data!AE:AE,MATCH($G427,Data!$A:$A,0),1)</f>
        <v>0.63500000000000001</v>
      </c>
      <c r="O427">
        <f>INDEX(Data!AG:AG,MATCH($G427,Data!$A:$A,0),1)</f>
        <v>1.1486856676492798</v>
      </c>
      <c r="P427">
        <f>INDEX(Data!AH:AH,MATCH($G427,Data!$A:$A,0),1)</f>
        <v>1.7068864766411047</v>
      </c>
      <c r="Q427">
        <f>IFERROR(IF(MATCH(B427,#REF!,0)&gt;0,1),0)</f>
        <v>0</v>
      </c>
    </row>
    <row r="428" spans="1:17" x14ac:dyDescent="0.2">
      <c r="A428" t="s">
        <v>35</v>
      </c>
      <c r="B428" t="s">
        <v>220</v>
      </c>
      <c r="C428" t="s">
        <v>122</v>
      </c>
      <c r="D428" t="s">
        <v>410</v>
      </c>
      <c r="E428" t="s">
        <v>221</v>
      </c>
      <c r="F428">
        <v>5</v>
      </c>
      <c r="G428" t="s">
        <v>330</v>
      </c>
      <c r="H428" s="2">
        <f>INDEX(Data!G:G,MATCH(G428,Data!A:A,0),1)</f>
        <v>7.0004406322813018E-2</v>
      </c>
      <c r="I428" s="2">
        <f>INDEX(Data!J:J,MATCH(G428,Data!A:A,0),1)</f>
        <v>4.658929294687298E-2</v>
      </c>
      <c r="J428" s="2">
        <f>INDEX(Data!R:R,MATCH(G428,Data!A:A,0),1)</f>
        <v>3.2582614424994669</v>
      </c>
      <c r="K428" s="2">
        <f>INDEX(Data!S:S,MATCH(G428,Data!A:A,0),1)</f>
        <v>0</v>
      </c>
      <c r="L428" t="str">
        <f t="shared" si="6"/>
        <v>Production of paper or cardboard_Manufacture of pulp</v>
      </c>
      <c r="M428">
        <f>INDEX(Data!AD:AD,MATCH($G428,Data!$A:$A,0),1)</f>
        <v>0.79800000000000015</v>
      </c>
      <c r="N428">
        <f>INDEX(Data!AE:AE,MATCH($G428,Data!$A:$A,0),1)</f>
        <v>0.92100000000000015</v>
      </c>
      <c r="O428">
        <f>INDEX(Data!AG:AG,MATCH($G428,Data!$A:$A,0),1)</f>
        <v>1.2809090316655367</v>
      </c>
      <c r="P428">
        <f>INDEX(Data!AH:AH,MATCH($G428,Data!$A:$A,0),1)</f>
        <v>4.1862577628706568</v>
      </c>
      <c r="Q428">
        <f>IFERROR(IF(MATCH(B428,#REF!,0)&gt;0,1),0)</f>
        <v>0</v>
      </c>
    </row>
    <row r="429" spans="1:17" x14ac:dyDescent="0.2">
      <c r="A429" t="s">
        <v>35</v>
      </c>
      <c r="B429" t="s">
        <v>148</v>
      </c>
      <c r="C429" t="s">
        <v>122</v>
      </c>
      <c r="D429" t="s">
        <v>410</v>
      </c>
      <c r="E429" t="s">
        <v>173</v>
      </c>
      <c r="F429">
        <v>20</v>
      </c>
      <c r="G429" t="s">
        <v>356</v>
      </c>
      <c r="H429" s="2">
        <f>INDEX(Data!G:G,MATCH(G429,Data!A:A,0),1)</f>
        <v>0.2201185822484337</v>
      </c>
      <c r="I429" s="2">
        <f>INDEX(Data!J:J,MATCH(G429,Data!A:A,0),1)</f>
        <v>0.22144473697589778</v>
      </c>
      <c r="J429" s="2">
        <f>INDEX(Data!R:R,MATCH(G429,Data!A:A,0),1)</f>
        <v>6.1071928683366004</v>
      </c>
      <c r="K429" s="2">
        <f>INDEX(Data!S:S,MATCH(G429,Data!A:A,0),1)</f>
        <v>0</v>
      </c>
      <c r="L429" t="str">
        <f t="shared" si="6"/>
        <v>Production of paper or cardboard_Manufacture of household and sanitary goods and of toilet requisites</v>
      </c>
      <c r="M429">
        <f>INDEX(Data!AD:AD,MATCH($G429,Data!$A:$A,0),1)</f>
        <v>0.79800000000000015</v>
      </c>
      <c r="N429">
        <f>INDEX(Data!AE:AE,MATCH($G429,Data!$A:$A,0),1)</f>
        <v>0.92100000000000015</v>
      </c>
      <c r="O429">
        <f>INDEX(Data!AG:AG,MATCH($G429,Data!$A:$A,0),1)</f>
        <v>1.2809090316655365</v>
      </c>
      <c r="P429">
        <f>INDEX(Data!AH:AH,MATCH($G429,Data!$A:$A,0),1)</f>
        <v>4.1862577628706559</v>
      </c>
      <c r="Q429">
        <f>IFERROR(IF(MATCH(B429,#REF!,0)&gt;0,1),0)</f>
        <v>0</v>
      </c>
    </row>
    <row r="430" spans="1:17" x14ac:dyDescent="0.2">
      <c r="A430" s="2" t="s">
        <v>35</v>
      </c>
      <c r="D430" t="s">
        <v>410</v>
      </c>
      <c r="E430">
        <v>0</v>
      </c>
      <c r="G430" s="2" t="s">
        <v>356</v>
      </c>
      <c r="H430" s="2">
        <f>INDEX(Data!G:G,MATCH(G430,Data!A:A,0),1)</f>
        <v>0.2201185822484337</v>
      </c>
      <c r="I430" s="2">
        <f>INDEX(Data!J:J,MATCH(G430,Data!A:A,0),1)</f>
        <v>0.22144473697589778</v>
      </c>
      <c r="J430" s="2">
        <f>INDEX(Data!R:R,MATCH(G430,Data!A:A,0),1)</f>
        <v>6.1071928683366004</v>
      </c>
      <c r="K430" s="2">
        <f>INDEX(Data!S:S,MATCH(G430,Data!A:A,0),1)</f>
        <v>0</v>
      </c>
      <c r="L430" t="str">
        <f t="shared" si="6"/>
        <v>Production of paper or cardboard</v>
      </c>
      <c r="M430">
        <f>INDEX(Data!AD:AD,MATCH($G430,Data!$A:$A,0),1)</f>
        <v>0.79800000000000015</v>
      </c>
      <c r="N430">
        <f>INDEX(Data!AE:AE,MATCH($G430,Data!$A:$A,0),1)</f>
        <v>0.92100000000000015</v>
      </c>
      <c r="O430">
        <f>INDEX(Data!AG:AG,MATCH($G430,Data!$A:$A,0),1)</f>
        <v>1.2809090316655365</v>
      </c>
      <c r="P430">
        <f>INDEX(Data!AH:AH,MATCH($G430,Data!$A:$A,0),1)</f>
        <v>4.1862577628706559</v>
      </c>
      <c r="Q430">
        <f>IFERROR(IF(MATCH(B430,#REF!,0)&gt;0,1),0)</f>
        <v>0</v>
      </c>
    </row>
    <row r="431" spans="1:17" x14ac:dyDescent="0.2">
      <c r="A431" t="s">
        <v>21</v>
      </c>
      <c r="B431" t="s">
        <v>19</v>
      </c>
      <c r="C431" t="s">
        <v>6</v>
      </c>
      <c r="D431" t="s">
        <v>237</v>
      </c>
      <c r="E431" t="s">
        <v>237</v>
      </c>
      <c r="F431">
        <v>6</v>
      </c>
      <c r="G431" t="s">
        <v>352</v>
      </c>
      <c r="H431" s="2">
        <f>INDEX(Data!G:G,MATCH(G431,Data!A:A,0),1)</f>
        <v>0.37</v>
      </c>
      <c r="I431" s="2">
        <f>INDEX(Data!J:J,MATCH(G431,Data!A:A,0),1)</f>
        <v>0.28199999999999997</v>
      </c>
      <c r="J431" s="2">
        <f>INDEX(Data!R:R,MATCH(G431,Data!A:A,0),1)</f>
        <v>2.4768000000000003</v>
      </c>
      <c r="K431" s="2">
        <f>INDEX(Data!S:S,MATCH(G431,Data!A:A,0),1)</f>
        <v>0</v>
      </c>
      <c r="L431" t="str">
        <f t="shared" si="6"/>
        <v>Production of pig iron or steel_Casting of iron</v>
      </c>
      <c r="M431">
        <f>INDEX(Data!AD:AD,MATCH($G431,Data!$A:$A,0),1)</f>
        <v>0.48099999999999998</v>
      </c>
      <c r="N431">
        <f>INDEX(Data!AE:AE,MATCH($G431,Data!$A:$A,0),1)</f>
        <v>0.41199999999999998</v>
      </c>
      <c r="O431">
        <f>INDEX(Data!AG:AG,MATCH($G431,Data!$A:$A,0),1)</f>
        <v>1.0573620640499655</v>
      </c>
      <c r="P431">
        <f>INDEX(Data!AH:AH,MATCH($G431,Data!$A:$A,0),1)</f>
        <v>0.79755753713664312</v>
      </c>
      <c r="Q431">
        <f>IFERROR(IF(MATCH(B431,#REF!,0)&gt;0,1),0)</f>
        <v>0</v>
      </c>
    </row>
    <row r="432" spans="1:17" x14ac:dyDescent="0.2">
      <c r="A432" t="s">
        <v>21</v>
      </c>
      <c r="B432" t="s">
        <v>90</v>
      </c>
      <c r="C432" t="s">
        <v>6</v>
      </c>
      <c r="D432" t="s">
        <v>237</v>
      </c>
      <c r="E432" t="s">
        <v>237</v>
      </c>
      <c r="F432">
        <v>163</v>
      </c>
      <c r="G432" s="2" t="s">
        <v>377</v>
      </c>
      <c r="H432" s="2">
        <f>INDEX(Data!G:G,MATCH(G432,Data!A:A,0),1)</f>
        <v>1.4950000000000001</v>
      </c>
      <c r="I432" s="2">
        <f>INDEX(Data!J:J,MATCH(G432,Data!A:A,0),1)</f>
        <v>1.288</v>
      </c>
      <c r="J432" s="2">
        <f>INDEX(Data!R:R,MATCH(G432,Data!A:A,0),1)</f>
        <v>14.976000000000001</v>
      </c>
      <c r="K432" s="2">
        <f>INDEX(Data!S:S,MATCH(G432,Data!A:A,0),1)</f>
        <v>6.8039999999999985</v>
      </c>
      <c r="L432" t="str">
        <f t="shared" si="6"/>
        <v>Production of pig iron or steel_Manufacture of basic iron and steel and of ferro-alloys</v>
      </c>
      <c r="M432">
        <f>INDEX(Data!AD:AD,MATCH($G432,Data!$A:$A,0),1)</f>
        <v>0.48099999999999998</v>
      </c>
      <c r="N432">
        <f>INDEX(Data!AE:AE,MATCH($G432,Data!$A:$A,0),1)</f>
        <v>0.41199999999999992</v>
      </c>
      <c r="O432">
        <f>INDEX(Data!AG:AG,MATCH($G432,Data!$A:$A,0),1)</f>
        <v>1.2895889249131132</v>
      </c>
      <c r="P432">
        <f>INDEX(Data!AH:AH,MATCH($G432,Data!$A:$A,0),1)</f>
        <v>0.59422748497442568</v>
      </c>
      <c r="Q432">
        <f>IFERROR(IF(MATCH(B432,#REF!,0)&gt;0,1),0)</f>
        <v>0</v>
      </c>
    </row>
    <row r="433" spans="1:17" x14ac:dyDescent="0.2">
      <c r="A433" t="s">
        <v>21</v>
      </c>
      <c r="B433" t="s">
        <v>180</v>
      </c>
      <c r="C433" t="s">
        <v>65</v>
      </c>
      <c r="D433" t="s">
        <v>237</v>
      </c>
      <c r="E433" t="s">
        <v>237</v>
      </c>
      <c r="F433">
        <v>2</v>
      </c>
      <c r="G433" s="2" t="s">
        <v>377</v>
      </c>
      <c r="H433" s="2">
        <f>INDEX(Data!G:G,MATCH(G433,Data!A:A,0),1)</f>
        <v>1.4950000000000001</v>
      </c>
      <c r="I433" s="2">
        <f>INDEX(Data!J:J,MATCH(G433,Data!A:A,0),1)</f>
        <v>1.288</v>
      </c>
      <c r="J433" s="2">
        <f>INDEX(Data!R:R,MATCH(G433,Data!A:A,0),1)</f>
        <v>14.976000000000001</v>
      </c>
      <c r="K433" s="2">
        <f>INDEX(Data!S:S,MATCH(G433,Data!A:A,0),1)</f>
        <v>6.8039999999999985</v>
      </c>
      <c r="L433" t="str">
        <f t="shared" si="6"/>
        <v>Production of pig iron or steel_Manufacture of other fabricated metal products n.e.c.</v>
      </c>
      <c r="M433">
        <f>INDEX(Data!AD:AD,MATCH($G433,Data!$A:$A,0),1)</f>
        <v>0.48099999999999998</v>
      </c>
      <c r="N433">
        <f>INDEX(Data!AE:AE,MATCH($G433,Data!$A:$A,0),1)</f>
        <v>0.41199999999999992</v>
      </c>
      <c r="O433">
        <f>INDEX(Data!AG:AG,MATCH($G433,Data!$A:$A,0),1)</f>
        <v>1.2895889249131132</v>
      </c>
      <c r="P433">
        <f>INDEX(Data!AH:AH,MATCH($G433,Data!$A:$A,0),1)</f>
        <v>0.59422748497442568</v>
      </c>
      <c r="Q433">
        <f>IFERROR(IF(MATCH(B433,#REF!,0)&gt;0,1),0)</f>
        <v>0</v>
      </c>
    </row>
    <row r="434" spans="1:17" x14ac:dyDescent="0.2">
      <c r="A434" t="s">
        <v>21</v>
      </c>
      <c r="B434" t="s">
        <v>236</v>
      </c>
      <c r="C434" t="s">
        <v>6</v>
      </c>
      <c r="D434" t="s">
        <v>237</v>
      </c>
      <c r="E434" t="s">
        <v>237</v>
      </c>
      <c r="F434">
        <v>4</v>
      </c>
      <c r="G434" s="2" t="s">
        <v>446</v>
      </c>
      <c r="H434" s="2">
        <f>INDEX(Data!G:G,MATCH(G434,Data!A:A,0),1)</f>
        <v>0.28693460797283676</v>
      </c>
      <c r="I434" s="2">
        <f>INDEX(Data!J:J,MATCH(G434,Data!A:A,0),1)</f>
        <v>0.24234523094630439</v>
      </c>
      <c r="J434" s="2">
        <f>INDEX(Data!R:R,MATCH(G434,Data!A:A,0),1)</f>
        <v>2.4768000000000003</v>
      </c>
      <c r="K434" s="2">
        <f>INDEX(Data!S:S,MATCH(G434,Data!A:A,0),1)</f>
        <v>0</v>
      </c>
      <c r="L434" t="str">
        <f t="shared" si="6"/>
        <v>Production of pig iron or steel_Manufacture of tubes, pipes, hollow profiles and related fittings, of steel</v>
      </c>
      <c r="M434">
        <f>INDEX(Data!AD:AD,MATCH($G434,Data!$A:$A,0),1)</f>
        <v>0.48099999999999998</v>
      </c>
      <c r="N434">
        <f>INDEX(Data!AE:AE,MATCH($G434,Data!$A:$A,0),1)</f>
        <v>0.41199999999999998</v>
      </c>
      <c r="O434">
        <f>INDEX(Data!AG:AG,MATCH($G434,Data!$A:$A,0),1)</f>
        <v>1.2895889249131132</v>
      </c>
      <c r="P434">
        <f>INDEX(Data!AH:AH,MATCH($G434,Data!$A:$A,0),1)</f>
        <v>0.59422748497442568</v>
      </c>
      <c r="Q434">
        <f>IFERROR(IF(MATCH(B434,#REF!,0)&gt;0,1),0)</f>
        <v>0</v>
      </c>
    </row>
    <row r="435" spans="1:17" x14ac:dyDescent="0.2">
      <c r="A435" s="2" t="s">
        <v>21</v>
      </c>
      <c r="D435" t="s">
        <v>237</v>
      </c>
      <c r="E435">
        <v>0</v>
      </c>
      <c r="G435" s="2" t="s">
        <v>377</v>
      </c>
      <c r="H435" s="2">
        <f>INDEX(Data!G:G,MATCH(G435,Data!A:A,0),1)</f>
        <v>1.4950000000000001</v>
      </c>
      <c r="I435" s="2">
        <f>INDEX(Data!J:J,MATCH(G435,Data!A:A,0),1)</f>
        <v>1.288</v>
      </c>
      <c r="J435" s="2">
        <f>INDEX(Data!R:R,MATCH(G435,Data!A:A,0),1)</f>
        <v>14.976000000000001</v>
      </c>
      <c r="K435" s="2">
        <f>INDEX(Data!S:S,MATCH(G435,Data!A:A,0),1)</f>
        <v>6.8039999999999985</v>
      </c>
      <c r="L435" t="str">
        <f t="shared" si="6"/>
        <v>Production of pig iron or steel</v>
      </c>
      <c r="M435">
        <f>INDEX(Data!AD:AD,MATCH($G435,Data!$A:$A,0),1)</f>
        <v>0.48099999999999998</v>
      </c>
      <c r="N435">
        <f>INDEX(Data!AE:AE,MATCH($G435,Data!$A:$A,0),1)</f>
        <v>0.41199999999999992</v>
      </c>
      <c r="O435">
        <f>INDEX(Data!AG:AG,MATCH($G435,Data!$A:$A,0),1)</f>
        <v>1.2895889249131132</v>
      </c>
      <c r="P435">
        <f>INDEX(Data!AH:AH,MATCH($G435,Data!$A:$A,0),1)</f>
        <v>0.59422748497442568</v>
      </c>
      <c r="Q435">
        <f>IFERROR(IF(MATCH(B435,#REF!,0)&gt;0,1),0)</f>
        <v>0</v>
      </c>
    </row>
    <row r="436" spans="1:17" x14ac:dyDescent="0.2">
      <c r="A436" t="s">
        <v>4</v>
      </c>
      <c r="B436" t="s">
        <v>5</v>
      </c>
      <c r="C436" t="s">
        <v>6</v>
      </c>
      <c r="D436" t="s">
        <v>256</v>
      </c>
      <c r="E436" t="s">
        <v>7</v>
      </c>
      <c r="F436">
        <v>28</v>
      </c>
      <c r="G436" t="s">
        <v>324</v>
      </c>
      <c r="H436" s="2">
        <f>INDEX(Data!G:G,MATCH(G436,Data!A:A,0),1)</f>
        <v>1.641</v>
      </c>
      <c r="I436" s="2">
        <f>INDEX(Data!J:J,MATCH(G436,Data!A:A,0),1)</f>
        <v>1.464</v>
      </c>
      <c r="J436" s="2">
        <f>INDEX(Data!R:R,MATCH(G436,Data!A:A,0),1)</f>
        <v>12.024000000000001</v>
      </c>
      <c r="K436" s="2">
        <f>INDEX(Data!S:S,MATCH(G436,Data!A:A,0),1)</f>
        <v>0</v>
      </c>
      <c r="L436" t="str">
        <f t="shared" si="6"/>
        <v>Production of primary aluminium_Aluminium production</v>
      </c>
      <c r="M436">
        <f>INDEX(Data!AD:AD,MATCH($G436,Data!$A:$A,0),1)</f>
        <v>0.80400000000000005</v>
      </c>
      <c r="N436">
        <f>INDEX(Data!AE:AE,MATCH($G436,Data!$A:$A,0),1)</f>
        <v>0.85799999999999998</v>
      </c>
      <c r="O436">
        <f>INDEX(Data!AG:AG,MATCH($G436,Data!$A:$A,0),1)</f>
        <v>1.3517721377141791</v>
      </c>
      <c r="P436">
        <f>INDEX(Data!AH:AH,MATCH($G436,Data!$A:$A,0),1)</f>
        <v>3.1982577724511621</v>
      </c>
      <c r="Q436">
        <f>IFERROR(IF(MATCH(B436,#REF!,0)&gt;0,1),0)</f>
        <v>0</v>
      </c>
    </row>
    <row r="437" spans="1:17" x14ac:dyDescent="0.2">
      <c r="A437" s="2" t="s">
        <v>4</v>
      </c>
      <c r="D437" t="s">
        <v>409</v>
      </c>
      <c r="E437">
        <v>0</v>
      </c>
      <c r="G437" s="2" t="s">
        <v>324</v>
      </c>
      <c r="H437" s="2">
        <f>INDEX(Data!G:G,MATCH(G437,Data!A:A,0),1)</f>
        <v>1.641</v>
      </c>
      <c r="I437" s="2">
        <f>INDEX(Data!J:J,MATCH(G437,Data!A:A,0),1)</f>
        <v>1.464</v>
      </c>
      <c r="J437" s="2">
        <f>INDEX(Data!R:R,MATCH(G437,Data!A:A,0),1)</f>
        <v>12.024000000000001</v>
      </c>
      <c r="K437" s="2">
        <f>INDEX(Data!S:S,MATCH(G437,Data!A:A,0),1)</f>
        <v>0</v>
      </c>
      <c r="L437" t="str">
        <f t="shared" si="6"/>
        <v>Production of primary aluminium</v>
      </c>
      <c r="M437">
        <f>INDEX(Data!AD:AD,MATCH($G437,Data!$A:$A,0),1)</f>
        <v>0.80400000000000005</v>
      </c>
      <c r="N437">
        <f>INDEX(Data!AE:AE,MATCH($G437,Data!$A:$A,0),1)</f>
        <v>0.85799999999999998</v>
      </c>
      <c r="O437">
        <f>INDEX(Data!AG:AG,MATCH($G437,Data!$A:$A,0),1)</f>
        <v>1.3517721377141791</v>
      </c>
      <c r="P437">
        <f>INDEX(Data!AH:AH,MATCH($G437,Data!$A:$A,0),1)</f>
        <v>3.1982577724511621</v>
      </c>
      <c r="Q437">
        <f>IFERROR(IF(MATCH(B437,#REF!,0)&gt;0,1),0)</f>
        <v>0</v>
      </c>
    </row>
    <row r="438" spans="1:17" x14ac:dyDescent="0.2">
      <c r="A438" t="s">
        <v>124</v>
      </c>
      <c r="B438" t="s">
        <v>162</v>
      </c>
      <c r="C438" t="s">
        <v>95</v>
      </c>
      <c r="D438" t="s">
        <v>95</v>
      </c>
      <c r="E438" t="s">
        <v>95</v>
      </c>
      <c r="F438">
        <v>1</v>
      </c>
      <c r="G438" t="s">
        <v>335</v>
      </c>
      <c r="H438" s="2">
        <f>INDEX(Data!G:G,MATCH(G438,Data!A:A,0),1)</f>
        <v>0.49494039340491602</v>
      </c>
      <c r="I438" s="2">
        <f>INDEX(Data!J:J,MATCH(G438,Data!A:A,0),1)</f>
        <v>0.76276347235126118</v>
      </c>
      <c r="J438" s="2">
        <f>INDEX(Data!R:R,MATCH(G438,Data!A:A,0),1)</f>
        <v>6.0728236366858992</v>
      </c>
      <c r="K438" s="2">
        <f>INDEX(Data!S:S,MATCH(G438,Data!A:A,0),1)</f>
        <v>0</v>
      </c>
      <c r="L438" t="str">
        <f t="shared" si="6"/>
        <v>Production of pulp_Manufacture of man-made fibres</v>
      </c>
      <c r="M438">
        <f>INDEX(Data!AD:AD,MATCH($G438,Data!$A:$A,0),1)</f>
        <v>0.81200000000000017</v>
      </c>
      <c r="N438">
        <f>INDEX(Data!AE:AE,MATCH($G438,Data!$A:$A,0),1)</f>
        <v>0.73900000000000021</v>
      </c>
      <c r="O438">
        <f>INDEX(Data!AG:AG,MATCH($G438,Data!$A:$A,0),1)</f>
        <v>1.298319184889499</v>
      </c>
      <c r="P438">
        <f>INDEX(Data!AH:AH,MATCH($G438,Data!$A:$A,0),1)</f>
        <v>4.8395672422172114</v>
      </c>
      <c r="Q438">
        <f>IFERROR(IF(MATCH(B438,#REF!,0)&gt;0,1),0)</f>
        <v>0</v>
      </c>
    </row>
    <row r="439" spans="1:17" x14ac:dyDescent="0.2">
      <c r="A439" t="s">
        <v>124</v>
      </c>
      <c r="B439" t="s">
        <v>191</v>
      </c>
      <c r="C439" t="s">
        <v>95</v>
      </c>
      <c r="D439" t="s">
        <v>95</v>
      </c>
      <c r="E439" t="s">
        <v>95</v>
      </c>
      <c r="F439">
        <v>1</v>
      </c>
      <c r="G439" t="s">
        <v>348</v>
      </c>
      <c r="H439" s="2">
        <f>INDEX(Data!G:G,MATCH(G439,Data!A:A,0),1)</f>
        <v>0.7451576638020061</v>
      </c>
      <c r="I439" s="2">
        <f>INDEX(Data!J:J,MATCH(G439,Data!A:A,0),1)</f>
        <v>0.6864801988122935</v>
      </c>
      <c r="J439" s="2">
        <f>INDEX(Data!R:R,MATCH(G439,Data!A:A,0),1)</f>
        <v>2.1991404818942466</v>
      </c>
      <c r="K439" s="2">
        <f>INDEX(Data!S:S,MATCH(G439,Data!A:A,0),1)</f>
        <v>40.412685922642247</v>
      </c>
      <c r="L439" t="str">
        <f t="shared" si="6"/>
        <v>Production of pulp_Manufacture of other organic basic chemicals</v>
      </c>
      <c r="M439">
        <f>INDEX(Data!AD:AD,MATCH($G439,Data!$A:$A,0),1)</f>
        <v>0.81200000000000028</v>
      </c>
      <c r="N439">
        <f>INDEX(Data!AE:AE,MATCH($G439,Data!$A:$A,0),1)</f>
        <v>0.73899999999999988</v>
      </c>
      <c r="O439">
        <f>INDEX(Data!AG:AG,MATCH($G439,Data!$A:$A,0),1)</f>
        <v>1.303636940513492</v>
      </c>
      <c r="P439">
        <f>INDEX(Data!AH:AH,MATCH($G439,Data!$A:$A,0),1)</f>
        <v>9.6821078775000036</v>
      </c>
      <c r="Q439">
        <f>IFERROR(IF(MATCH(B439,#REF!,0)&gt;0,1),0)</f>
        <v>0</v>
      </c>
    </row>
    <row r="440" spans="1:17" x14ac:dyDescent="0.2">
      <c r="A440" t="s">
        <v>124</v>
      </c>
      <c r="B440" t="s">
        <v>121</v>
      </c>
      <c r="C440" t="s">
        <v>122</v>
      </c>
      <c r="D440" t="s">
        <v>410</v>
      </c>
      <c r="E440" t="s">
        <v>123</v>
      </c>
      <c r="F440">
        <v>4</v>
      </c>
      <c r="G440" t="s">
        <v>328</v>
      </c>
      <c r="H440" s="2">
        <f>INDEX(Data!G:G,MATCH(G440,Data!A:A,0),1)</f>
        <v>0.20263440019098061</v>
      </c>
      <c r="I440" s="2">
        <f>INDEX(Data!J:J,MATCH(G440,Data!A:A,0),1)</f>
        <v>0.19255330027571974</v>
      </c>
      <c r="J440" s="2">
        <f>INDEX(Data!R:R,MATCH(G440,Data!A:A,0),1)</f>
        <v>4.968</v>
      </c>
      <c r="K440" s="2">
        <f>INDEX(Data!S:S,MATCH(G440,Data!A:A,0),1)</f>
        <v>0</v>
      </c>
      <c r="L440" t="str">
        <f t="shared" si="6"/>
        <v>Production of pulp_Manufacture of corrugated paper and paperboard and of containers of paper and paperboard</v>
      </c>
      <c r="M440">
        <f>INDEX(Data!AD:AD,MATCH($G440,Data!$A:$A,0),1)</f>
        <v>0.79800000000000004</v>
      </c>
      <c r="N440">
        <f>INDEX(Data!AE:AE,MATCH($G440,Data!$A:$A,0),1)</f>
        <v>0.92099999999999993</v>
      </c>
      <c r="O440">
        <f>INDEX(Data!AG:AG,MATCH($G440,Data!$A:$A,0),1)</f>
        <v>1.2809090316655365</v>
      </c>
      <c r="P440">
        <f>INDEX(Data!AH:AH,MATCH($G440,Data!$A:$A,0),1)</f>
        <v>4.1862577628706559</v>
      </c>
      <c r="Q440">
        <f>IFERROR(IF(MATCH(B440,#REF!,0)&gt;0,1),0)</f>
        <v>0</v>
      </c>
    </row>
    <row r="441" spans="1:17" x14ac:dyDescent="0.2">
      <c r="A441" t="s">
        <v>124</v>
      </c>
      <c r="B441" t="s">
        <v>170</v>
      </c>
      <c r="C441" t="s">
        <v>62</v>
      </c>
      <c r="D441" t="s">
        <v>403</v>
      </c>
      <c r="E441" t="s">
        <v>15</v>
      </c>
      <c r="F441">
        <v>1</v>
      </c>
      <c r="G441" t="s">
        <v>325</v>
      </c>
      <c r="H441" s="2">
        <f>INDEX(Data!G:G,MATCH(G441,Data!A:A,0),1)</f>
        <v>5.79E-2</v>
      </c>
      <c r="I441" s="2">
        <f>INDEX(Data!J:J,MATCH(G441,Data!A:A,0),1)</f>
        <v>4.2599999999999999E-2</v>
      </c>
      <c r="J441" s="2">
        <f>INDEX(Data!R:R,MATCH(G441,Data!A:A,0),1)</f>
        <v>1</v>
      </c>
      <c r="K441" s="2">
        <f>INDEX(Data!S:S,MATCH(G441,Data!A:A,0),1)</f>
        <v>0</v>
      </c>
      <c r="L441" t="str">
        <f t="shared" si="6"/>
        <v>Production of pulp_Manufacture of non-wovens and articles made from non-wovens, except apparel</v>
      </c>
      <c r="M441">
        <f>INDEX(Data!AD:AD,MATCH($G441,Data!$A:$A,0),1)</f>
        <v>0.78200000000000003</v>
      </c>
      <c r="N441">
        <f>INDEX(Data!AE:AE,MATCH($G441,Data!$A:$A,0),1)</f>
        <v>0.63500000000000001</v>
      </c>
      <c r="O441">
        <f>INDEX(Data!AG:AG,MATCH($G441,Data!$A:$A,0),1)</f>
        <v>1.1486856676492798</v>
      </c>
      <c r="P441">
        <f>INDEX(Data!AH:AH,MATCH($G441,Data!$A:$A,0),1)</f>
        <v>1.7068864766411047</v>
      </c>
      <c r="Q441">
        <f>IFERROR(IF(MATCH(B441,#REF!,0)&gt;0,1),0)</f>
        <v>0</v>
      </c>
    </row>
    <row r="442" spans="1:17" x14ac:dyDescent="0.2">
      <c r="A442" t="s">
        <v>124</v>
      </c>
      <c r="B442" t="s">
        <v>238</v>
      </c>
      <c r="C442" t="s">
        <v>89</v>
      </c>
      <c r="D442" t="s">
        <v>403</v>
      </c>
      <c r="E442" t="s">
        <v>15</v>
      </c>
      <c r="F442">
        <v>1</v>
      </c>
      <c r="G442" t="s">
        <v>325</v>
      </c>
      <c r="H442" s="2">
        <f>INDEX(Data!G:G,MATCH(G442,Data!A:A,0),1)</f>
        <v>5.79E-2</v>
      </c>
      <c r="I442" s="2">
        <f>INDEX(Data!J:J,MATCH(G442,Data!A:A,0),1)</f>
        <v>4.2599999999999999E-2</v>
      </c>
      <c r="J442" s="2">
        <f>INDEX(Data!R:R,MATCH(G442,Data!A:A,0),1)</f>
        <v>1</v>
      </c>
      <c r="K442" s="2">
        <f>INDEX(Data!S:S,MATCH(G442,Data!A:A,0),1)</f>
        <v>0</v>
      </c>
      <c r="L442" t="str">
        <f t="shared" si="6"/>
        <v>Production of pulp_Manufacture of veneer sheets and wood-based panels</v>
      </c>
      <c r="M442">
        <f>INDEX(Data!AD:AD,MATCH($G442,Data!$A:$A,0),1)</f>
        <v>0.78200000000000003</v>
      </c>
      <c r="N442">
        <f>INDEX(Data!AE:AE,MATCH($G442,Data!$A:$A,0),1)</f>
        <v>0.63500000000000001</v>
      </c>
      <c r="O442">
        <f>INDEX(Data!AG:AG,MATCH($G442,Data!$A:$A,0),1)</f>
        <v>1.1486856676492798</v>
      </c>
      <c r="P442">
        <f>INDEX(Data!AH:AH,MATCH($G442,Data!$A:$A,0),1)</f>
        <v>1.7068864766411047</v>
      </c>
      <c r="Q442">
        <f>IFERROR(IF(MATCH(B442,#REF!,0)&gt;0,1),0)</f>
        <v>0</v>
      </c>
    </row>
    <row r="443" spans="1:17" x14ac:dyDescent="0.2">
      <c r="A443" t="s">
        <v>124</v>
      </c>
      <c r="B443" t="s">
        <v>208</v>
      </c>
      <c r="C443" t="s">
        <v>122</v>
      </c>
      <c r="D443" t="s">
        <v>410</v>
      </c>
      <c r="E443" t="s">
        <v>173</v>
      </c>
      <c r="F443">
        <v>78</v>
      </c>
      <c r="G443" t="s">
        <v>356</v>
      </c>
      <c r="H443" s="2">
        <f>INDEX(Data!G:G,MATCH(G443,Data!A:A,0),1)</f>
        <v>0.2201185822484337</v>
      </c>
      <c r="I443" s="2">
        <f>INDEX(Data!J:J,MATCH(G443,Data!A:A,0),1)</f>
        <v>0.22144473697589778</v>
      </c>
      <c r="J443" s="2">
        <f>INDEX(Data!R:R,MATCH(G443,Data!A:A,0),1)</f>
        <v>6.1071928683366004</v>
      </c>
      <c r="K443" s="2">
        <f>INDEX(Data!S:S,MATCH(G443,Data!A:A,0),1)</f>
        <v>0</v>
      </c>
      <c r="L443" t="str">
        <f t="shared" si="6"/>
        <v>Production of pulp_Manufacture of paper and paperboard</v>
      </c>
      <c r="M443">
        <f>INDEX(Data!AD:AD,MATCH($G443,Data!$A:$A,0),1)</f>
        <v>0.79800000000000015</v>
      </c>
      <c r="N443">
        <f>INDEX(Data!AE:AE,MATCH($G443,Data!$A:$A,0),1)</f>
        <v>0.92100000000000015</v>
      </c>
      <c r="O443">
        <f>INDEX(Data!AG:AG,MATCH($G443,Data!$A:$A,0),1)</f>
        <v>1.2809090316655365</v>
      </c>
      <c r="P443">
        <f>INDEX(Data!AH:AH,MATCH($G443,Data!$A:$A,0),1)</f>
        <v>4.1862577628706559</v>
      </c>
      <c r="Q443">
        <f>IFERROR(IF(MATCH(B443,#REF!,0)&gt;0,1),0)</f>
        <v>0</v>
      </c>
    </row>
    <row r="444" spans="1:17" x14ac:dyDescent="0.2">
      <c r="A444" t="s">
        <v>124</v>
      </c>
      <c r="B444" t="s">
        <v>282</v>
      </c>
      <c r="C444" t="s">
        <v>44</v>
      </c>
      <c r="D444" t="s">
        <v>45</v>
      </c>
      <c r="E444" t="s">
        <v>45</v>
      </c>
      <c r="F444">
        <v>1</v>
      </c>
      <c r="G444" t="s">
        <v>325</v>
      </c>
      <c r="H444" s="2">
        <f>INDEX(Data!G:G,MATCH(G444,Data!A:A,0),1)</f>
        <v>5.79E-2</v>
      </c>
      <c r="I444" s="2">
        <f>INDEX(Data!J:J,MATCH(G444,Data!A:A,0),1)</f>
        <v>4.2599999999999999E-2</v>
      </c>
      <c r="J444" s="2">
        <f>INDEX(Data!R:R,MATCH(G444,Data!A:A,0),1)</f>
        <v>1</v>
      </c>
      <c r="K444" s="2">
        <f>INDEX(Data!S:S,MATCH(G444,Data!A:A,0),1)</f>
        <v>0</v>
      </c>
      <c r="L444" t="str">
        <f t="shared" si="6"/>
        <v>Production of pulp_Production of electricity</v>
      </c>
      <c r="M444">
        <f>INDEX(Data!AD:AD,MATCH($G444,Data!$A:$A,0),1)</f>
        <v>0.78200000000000003</v>
      </c>
      <c r="N444">
        <f>INDEX(Data!AE:AE,MATCH($G444,Data!$A:$A,0),1)</f>
        <v>0.63500000000000001</v>
      </c>
      <c r="O444">
        <f>INDEX(Data!AG:AG,MATCH($G444,Data!$A:$A,0),1)</f>
        <v>1.1486856676492798</v>
      </c>
      <c r="P444">
        <f>INDEX(Data!AH:AH,MATCH($G444,Data!$A:$A,0),1)</f>
        <v>1.7068864766411047</v>
      </c>
      <c r="Q444">
        <f>IFERROR(IF(MATCH(B444,#REF!,0)&gt;0,1),0)</f>
        <v>0</v>
      </c>
    </row>
    <row r="445" spans="1:17" x14ac:dyDescent="0.2">
      <c r="A445" t="s">
        <v>124</v>
      </c>
      <c r="B445" t="s">
        <v>220</v>
      </c>
      <c r="C445" t="s">
        <v>122</v>
      </c>
      <c r="D445" t="s">
        <v>410</v>
      </c>
      <c r="E445" t="s">
        <v>221</v>
      </c>
      <c r="F445">
        <v>47</v>
      </c>
      <c r="G445" t="s">
        <v>330</v>
      </c>
      <c r="H445" s="2">
        <f>INDEX(Data!G:G,MATCH(G445,Data!A:A,0),1)</f>
        <v>7.0004406322813018E-2</v>
      </c>
      <c r="I445" s="2">
        <f>INDEX(Data!J:J,MATCH(G445,Data!A:A,0),1)</f>
        <v>4.658929294687298E-2</v>
      </c>
      <c r="J445" s="2">
        <f>INDEX(Data!R:R,MATCH(G445,Data!A:A,0),1)</f>
        <v>3.2582614424994669</v>
      </c>
      <c r="K445" s="2">
        <f>INDEX(Data!S:S,MATCH(G445,Data!A:A,0),1)</f>
        <v>0</v>
      </c>
      <c r="L445" t="str">
        <f t="shared" si="6"/>
        <v>Production of pulp_Manufacture of pulp</v>
      </c>
      <c r="M445">
        <f>INDEX(Data!AD:AD,MATCH($G445,Data!$A:$A,0),1)</f>
        <v>0.79800000000000015</v>
      </c>
      <c r="N445">
        <f>INDEX(Data!AE:AE,MATCH($G445,Data!$A:$A,0),1)</f>
        <v>0.92100000000000015</v>
      </c>
      <c r="O445">
        <f>INDEX(Data!AG:AG,MATCH($G445,Data!$A:$A,0),1)</f>
        <v>1.2809090316655367</v>
      </c>
      <c r="P445">
        <f>INDEX(Data!AH:AH,MATCH($G445,Data!$A:$A,0),1)</f>
        <v>4.1862577628706568</v>
      </c>
      <c r="Q445">
        <f>IFERROR(IF(MATCH(B445,#REF!,0)&gt;0,1),0)</f>
        <v>0</v>
      </c>
    </row>
    <row r="446" spans="1:17" x14ac:dyDescent="0.2">
      <c r="A446" t="s">
        <v>124</v>
      </c>
      <c r="B446" t="s">
        <v>148</v>
      </c>
      <c r="C446" t="s">
        <v>122</v>
      </c>
      <c r="D446" t="s">
        <v>410</v>
      </c>
      <c r="E446" t="s">
        <v>173</v>
      </c>
      <c r="F446">
        <v>9</v>
      </c>
      <c r="G446" t="s">
        <v>356</v>
      </c>
      <c r="H446" s="2">
        <f>INDEX(Data!G:G,MATCH(G446,Data!A:A,0),1)</f>
        <v>0.2201185822484337</v>
      </c>
      <c r="I446" s="2">
        <f>INDEX(Data!J:J,MATCH(G446,Data!A:A,0),1)</f>
        <v>0.22144473697589778</v>
      </c>
      <c r="J446" s="2">
        <f>INDEX(Data!R:R,MATCH(G446,Data!A:A,0),1)</f>
        <v>6.1071928683366004</v>
      </c>
      <c r="K446" s="2">
        <f>INDEX(Data!S:S,MATCH(G446,Data!A:A,0),1)</f>
        <v>0</v>
      </c>
      <c r="L446" t="str">
        <f t="shared" si="6"/>
        <v>Production of pulp_Manufacture of household and sanitary goods and of toilet requisites</v>
      </c>
      <c r="M446">
        <f>INDEX(Data!AD:AD,MATCH($G446,Data!$A:$A,0),1)</f>
        <v>0.79800000000000015</v>
      </c>
      <c r="N446">
        <f>INDEX(Data!AE:AE,MATCH($G446,Data!$A:$A,0),1)</f>
        <v>0.92100000000000015</v>
      </c>
      <c r="O446">
        <f>INDEX(Data!AG:AG,MATCH($G446,Data!$A:$A,0),1)</f>
        <v>1.2809090316655365</v>
      </c>
      <c r="P446">
        <f>INDEX(Data!AH:AH,MATCH($G446,Data!$A:$A,0),1)</f>
        <v>4.1862577628706559</v>
      </c>
      <c r="Q446">
        <f>IFERROR(IF(MATCH(B446,#REF!,0)&gt;0,1),0)</f>
        <v>0</v>
      </c>
    </row>
    <row r="447" spans="1:17" x14ac:dyDescent="0.2">
      <c r="A447" s="2" t="s">
        <v>124</v>
      </c>
      <c r="D447" t="s">
        <v>410</v>
      </c>
      <c r="E447">
        <v>0</v>
      </c>
      <c r="G447" s="2" t="s">
        <v>330</v>
      </c>
      <c r="H447" s="2">
        <f>INDEX(Data!G:G,MATCH(G447,Data!A:A,0),1)</f>
        <v>7.0004406322813018E-2</v>
      </c>
      <c r="I447" s="2">
        <f>INDEX(Data!J:J,MATCH(G447,Data!A:A,0),1)</f>
        <v>4.658929294687298E-2</v>
      </c>
      <c r="J447" s="2">
        <f>INDEX(Data!R:R,MATCH(G447,Data!A:A,0),1)</f>
        <v>3.2582614424994669</v>
      </c>
      <c r="K447" s="2">
        <f>INDEX(Data!S:S,MATCH(G447,Data!A:A,0),1)</f>
        <v>0</v>
      </c>
      <c r="L447" t="str">
        <f t="shared" si="6"/>
        <v>Production of pulp</v>
      </c>
      <c r="M447">
        <f>INDEX(Data!AD:AD,MATCH($G447,Data!$A:$A,0),1)</f>
        <v>0.79800000000000015</v>
      </c>
      <c r="N447">
        <f>INDEX(Data!AE:AE,MATCH($G447,Data!$A:$A,0),1)</f>
        <v>0.92100000000000015</v>
      </c>
      <c r="O447">
        <f>INDEX(Data!AG:AG,MATCH($G447,Data!$A:$A,0),1)</f>
        <v>1.2809090316655367</v>
      </c>
      <c r="P447">
        <f>INDEX(Data!AH:AH,MATCH($G447,Data!$A:$A,0),1)</f>
        <v>4.1862577628706568</v>
      </c>
      <c r="Q447">
        <f>IFERROR(IF(MATCH(B447,#REF!,0)&gt;0,1),0)</f>
        <v>0</v>
      </c>
    </row>
    <row r="448" spans="1:17" x14ac:dyDescent="0.2">
      <c r="A448" t="s">
        <v>8</v>
      </c>
      <c r="B448" t="s">
        <v>5</v>
      </c>
      <c r="C448" t="s">
        <v>6</v>
      </c>
      <c r="D448" t="s">
        <v>256</v>
      </c>
      <c r="E448" t="s">
        <v>7</v>
      </c>
      <c r="F448">
        <v>18</v>
      </c>
      <c r="G448" t="s">
        <v>324</v>
      </c>
      <c r="H448" s="2">
        <f>INDEX(Data!G:G,MATCH(G448,Data!A:A,0),1)</f>
        <v>1.641</v>
      </c>
      <c r="I448" s="2">
        <f>INDEX(Data!J:J,MATCH(G448,Data!A:A,0),1)</f>
        <v>1.464</v>
      </c>
      <c r="J448" s="2">
        <f>INDEX(Data!R:R,MATCH(G448,Data!A:A,0),1)</f>
        <v>12.024000000000001</v>
      </c>
      <c r="K448" s="2">
        <f>INDEX(Data!S:S,MATCH(G448,Data!A:A,0),1)</f>
        <v>0</v>
      </c>
      <c r="L448" t="str">
        <f t="shared" si="6"/>
        <v>Production of secondary aluminium_Aluminium production</v>
      </c>
      <c r="M448">
        <f>INDEX(Data!AD:AD,MATCH($G448,Data!$A:$A,0),1)</f>
        <v>0.80400000000000005</v>
      </c>
      <c r="N448">
        <f>INDEX(Data!AE:AE,MATCH($G448,Data!$A:$A,0),1)</f>
        <v>0.85799999999999998</v>
      </c>
      <c r="O448">
        <f>INDEX(Data!AG:AG,MATCH($G448,Data!$A:$A,0),1)</f>
        <v>1.3517721377141791</v>
      </c>
      <c r="P448">
        <f>INDEX(Data!AH:AH,MATCH($G448,Data!$A:$A,0),1)</f>
        <v>3.1982577724511621</v>
      </c>
      <c r="Q448">
        <f>IFERROR(IF(MATCH(B448,#REF!,0)&gt;0,1),0)</f>
        <v>0</v>
      </c>
    </row>
    <row r="449" spans="1:17" x14ac:dyDescent="0.2">
      <c r="A449" t="s">
        <v>8</v>
      </c>
      <c r="B449" t="s">
        <v>22</v>
      </c>
      <c r="C449" t="s">
        <v>6</v>
      </c>
      <c r="D449" t="s">
        <v>256</v>
      </c>
      <c r="E449" t="s">
        <v>256</v>
      </c>
      <c r="F449">
        <v>6</v>
      </c>
      <c r="G449" t="s">
        <v>354</v>
      </c>
      <c r="H449" s="2">
        <f>INDEX(Data!G:G,MATCH(G449,Data!A:A,0),1)</f>
        <v>1.6536666666666668</v>
      </c>
      <c r="I449" s="2">
        <f>INDEX(Data!J:J,MATCH(G449,Data!A:A,0),1)</f>
        <v>1.5946666666666667</v>
      </c>
      <c r="J449" s="2">
        <f>INDEX(Data!R:R,MATCH(G449,Data!A:A,0),1)</f>
        <v>2.2680000000000002</v>
      </c>
      <c r="K449" s="2">
        <f>INDEX(Data!S:S,MATCH(G449,Data!A:A,0),1)</f>
        <v>0</v>
      </c>
      <c r="L449" t="str">
        <f t="shared" si="6"/>
        <v>Production of secondary aluminium_Casting of light metals</v>
      </c>
      <c r="M449">
        <f>INDEX(Data!AD:AD,MATCH($G449,Data!$A:$A,0),1)</f>
        <v>0.80400000000000005</v>
      </c>
      <c r="N449">
        <f>INDEX(Data!AE:AE,MATCH($G449,Data!$A:$A,0),1)</f>
        <v>0.85799999999999998</v>
      </c>
      <c r="O449">
        <f>INDEX(Data!AG:AG,MATCH($G449,Data!$A:$A,0),1)</f>
        <v>1</v>
      </c>
      <c r="P449">
        <f>INDEX(Data!AH:AH,MATCH($G449,Data!$A:$A,0),1)</f>
        <v>1</v>
      </c>
      <c r="Q449">
        <f>IFERROR(IF(MATCH(B449,#REF!,0)&gt;0,1),0)</f>
        <v>0</v>
      </c>
    </row>
    <row r="450" spans="1:17" x14ac:dyDescent="0.2">
      <c r="A450" s="2" t="s">
        <v>8</v>
      </c>
      <c r="D450" t="s">
        <v>409</v>
      </c>
      <c r="E450">
        <v>0</v>
      </c>
      <c r="G450" s="2" t="s">
        <v>324</v>
      </c>
      <c r="H450" s="2">
        <f>INDEX(Data!G:G,MATCH(G450,Data!A:A,0),1)</f>
        <v>1.641</v>
      </c>
      <c r="I450" s="2">
        <f>INDEX(Data!J:J,MATCH(G450,Data!A:A,0),1)</f>
        <v>1.464</v>
      </c>
      <c r="J450" s="2">
        <f>INDEX(Data!R:R,MATCH(G450,Data!A:A,0),1)</f>
        <v>12.024000000000001</v>
      </c>
      <c r="K450" s="2">
        <f>INDEX(Data!S:S,MATCH(G450,Data!A:A,0),1)</f>
        <v>0</v>
      </c>
      <c r="L450" t="str">
        <f t="shared" ref="L450:L492" si="7">IF(B450="",A450,A450&amp;"_"&amp;B450)</f>
        <v>Production of secondary aluminium</v>
      </c>
      <c r="M450">
        <f>INDEX(Data!AD:AD,MATCH($G450,Data!$A:$A,0),1)</f>
        <v>0.80400000000000005</v>
      </c>
      <c r="N450">
        <f>INDEX(Data!AE:AE,MATCH($G450,Data!$A:$A,0),1)</f>
        <v>0.85799999999999998</v>
      </c>
      <c r="O450">
        <f>INDEX(Data!AG:AG,MATCH($G450,Data!$A:$A,0),1)</f>
        <v>1.3517721377141791</v>
      </c>
      <c r="P450">
        <f>INDEX(Data!AH:AH,MATCH($G450,Data!$A:$A,0),1)</f>
        <v>3.1982577724511621</v>
      </c>
      <c r="Q450">
        <f>IFERROR(IF(MATCH(B450,#REF!,0)&gt;0,1),0)</f>
        <v>0</v>
      </c>
    </row>
    <row r="451" spans="1:17" x14ac:dyDescent="0.2">
      <c r="A451" t="s">
        <v>187</v>
      </c>
      <c r="B451" t="s">
        <v>185</v>
      </c>
      <c r="C451" t="s">
        <v>95</v>
      </c>
      <c r="D451" t="s">
        <v>95</v>
      </c>
      <c r="E451" t="s">
        <v>95</v>
      </c>
      <c r="F451">
        <v>11</v>
      </c>
      <c r="G451" t="s">
        <v>347</v>
      </c>
      <c r="H451" s="2">
        <f>INDEX(Data!G:G,MATCH(G451,Data!A:A,0),1)</f>
        <v>0.94499999999999995</v>
      </c>
      <c r="I451" s="2">
        <f>INDEX(Data!J:J,MATCH(G451,Data!A:A,0),1)</f>
        <v>0.753</v>
      </c>
      <c r="J451" s="2">
        <f>INDEX(Data!R:R,MATCH(G451,Data!A:A,0),1)</f>
        <v>11.303999999999998</v>
      </c>
      <c r="K451" s="2">
        <f>INDEX(Data!S:S,MATCH(G451,Data!A:A,0),1)</f>
        <v>0</v>
      </c>
      <c r="L451" t="str">
        <f t="shared" si="7"/>
        <v>Production of soda ash and sodium bicarbonate_Manufacture of other inorganic basic chemicals</v>
      </c>
      <c r="M451">
        <f>INDEX(Data!AD:AD,MATCH($G451,Data!$A:$A,0),1)</f>
        <v>0.81200000000000006</v>
      </c>
      <c r="N451">
        <f>INDEX(Data!AE:AE,MATCH($G451,Data!$A:$A,0),1)</f>
        <v>0.73899999999999999</v>
      </c>
      <c r="O451">
        <f>INDEX(Data!AG:AG,MATCH($G451,Data!$A:$A,0),1)</f>
        <v>1.1486856676492798</v>
      </c>
      <c r="P451">
        <f>INDEX(Data!AH:AH,MATCH($G451,Data!$A:$A,0),1)</f>
        <v>1.2946751634148206</v>
      </c>
      <c r="Q451">
        <f>IFERROR(IF(MATCH(B451,#REF!,0)&gt;0,1),0)</f>
        <v>0</v>
      </c>
    </row>
    <row r="452" spans="1:17" x14ac:dyDescent="0.2">
      <c r="A452" s="2" t="s">
        <v>187</v>
      </c>
      <c r="D452" t="s">
        <v>95</v>
      </c>
      <c r="E452">
        <v>0</v>
      </c>
      <c r="G452" s="2" t="s">
        <v>368</v>
      </c>
      <c r="H452" s="2">
        <f>INDEX(Data!G:G,MATCH(G452,Data!A:A,0),1)</f>
        <v>0.94499999999999995</v>
      </c>
      <c r="I452" s="2">
        <f>INDEX(Data!J:J,MATCH(G452,Data!A:A,0),1)</f>
        <v>0.753</v>
      </c>
      <c r="J452" s="2">
        <f>INDEX(Data!R:R,MATCH(G452,Data!A:A,0),1)</f>
        <v>11.303999999999998</v>
      </c>
      <c r="K452" s="2">
        <f>INDEX(Data!S:S,MATCH(G452,Data!A:A,0),1)</f>
        <v>0</v>
      </c>
      <c r="L452" t="str">
        <f t="shared" si="7"/>
        <v>Production of soda ash and sodium bicarbonate</v>
      </c>
      <c r="M452">
        <f>INDEX(Data!AD:AD,MATCH($G452,Data!$A:$A,0),1)</f>
        <v>0.81200000000000006</v>
      </c>
      <c r="N452">
        <f>INDEX(Data!AE:AE,MATCH($G452,Data!$A:$A,0),1)</f>
        <v>0.73899999999999999</v>
      </c>
      <c r="O452">
        <f>INDEX(Data!AG:AG,MATCH($G452,Data!$A:$A,0),1)</f>
        <v>1.1486856676492798</v>
      </c>
      <c r="P452">
        <f>INDEX(Data!AH:AH,MATCH($G452,Data!$A:$A,0),1)</f>
        <v>1.2946751634148206</v>
      </c>
      <c r="Q452">
        <f>IFERROR(IF(MATCH(B452,#REF!,0)&gt;0,1),0)</f>
        <v>0</v>
      </c>
    </row>
    <row r="453" spans="1:17" x14ac:dyDescent="0.2">
      <c r="A453" t="s">
        <v>18</v>
      </c>
      <c r="B453" t="s">
        <v>23</v>
      </c>
      <c r="C453" t="s">
        <v>6</v>
      </c>
      <c r="D453" t="s">
        <v>237</v>
      </c>
      <c r="E453" t="s">
        <v>237</v>
      </c>
      <c r="F453">
        <v>1</v>
      </c>
      <c r="G453" s="2" t="s">
        <v>446</v>
      </c>
      <c r="H453" s="2">
        <f>INDEX(Data!G:G,MATCH(G453,Data!A:A,0),1)</f>
        <v>0.28693460797283676</v>
      </c>
      <c r="I453" s="2">
        <f>INDEX(Data!J:J,MATCH(G453,Data!A:A,0),1)</f>
        <v>0.24234523094630439</v>
      </c>
      <c r="J453" s="2">
        <f>INDEX(Data!R:R,MATCH(G453,Data!A:A,0),1)</f>
        <v>2.4768000000000003</v>
      </c>
      <c r="K453" s="2">
        <f>INDEX(Data!S:S,MATCH(G453,Data!A:A,0),1)</f>
        <v>0</v>
      </c>
      <c r="L453" t="str">
        <f t="shared" si="7"/>
        <v>Production or processing of ferrous metals_Cold drawing of bars</v>
      </c>
      <c r="M453">
        <f>INDEX(Data!AD:AD,MATCH($G453,Data!$A:$A,0),1)</f>
        <v>0.48099999999999998</v>
      </c>
      <c r="N453">
        <f>INDEX(Data!AE:AE,MATCH($G453,Data!$A:$A,0),1)</f>
        <v>0.41199999999999998</v>
      </c>
      <c r="O453">
        <f>INDEX(Data!AG:AG,MATCH($G453,Data!$A:$A,0),1)</f>
        <v>1.2895889249131132</v>
      </c>
      <c r="P453">
        <f>INDEX(Data!AH:AH,MATCH($G453,Data!$A:$A,0),1)</f>
        <v>0.59422748497442568</v>
      </c>
      <c r="Q453">
        <f>IFERROR(IF(MATCH(B453,#REF!,0)&gt;0,1),0)</f>
        <v>0</v>
      </c>
    </row>
    <row r="454" spans="1:17" x14ac:dyDescent="0.2">
      <c r="A454" t="s">
        <v>18</v>
      </c>
      <c r="B454" t="s">
        <v>24</v>
      </c>
      <c r="C454" t="s">
        <v>6</v>
      </c>
      <c r="D454" t="s">
        <v>237</v>
      </c>
      <c r="E454" t="s">
        <v>237</v>
      </c>
      <c r="F454">
        <v>1</v>
      </c>
      <c r="G454" s="2" t="s">
        <v>446</v>
      </c>
      <c r="H454" s="2">
        <f>INDEX(Data!G:G,MATCH(G454,Data!A:A,0),1)</f>
        <v>0.28693460797283676</v>
      </c>
      <c r="I454" s="2">
        <f>INDEX(Data!J:J,MATCH(G454,Data!A:A,0),1)</f>
        <v>0.24234523094630439</v>
      </c>
      <c r="J454" s="2">
        <f>INDEX(Data!R:R,MATCH(G454,Data!A:A,0),1)</f>
        <v>2.4768000000000003</v>
      </c>
      <c r="K454" s="2">
        <f>INDEX(Data!S:S,MATCH(G454,Data!A:A,0),1)</f>
        <v>0</v>
      </c>
      <c r="L454" t="str">
        <f t="shared" si="7"/>
        <v>Production or processing of ferrous metals_Cold drawing of wire</v>
      </c>
      <c r="M454">
        <f>INDEX(Data!AD:AD,MATCH($G454,Data!$A:$A,0),1)</f>
        <v>0.48099999999999998</v>
      </c>
      <c r="N454">
        <f>INDEX(Data!AE:AE,MATCH($G454,Data!$A:$A,0),1)</f>
        <v>0.41199999999999998</v>
      </c>
      <c r="O454">
        <f>INDEX(Data!AG:AG,MATCH($G454,Data!$A:$A,0),1)</f>
        <v>1.2895889249131132</v>
      </c>
      <c r="P454">
        <f>INDEX(Data!AH:AH,MATCH($G454,Data!$A:$A,0),1)</f>
        <v>0.59422748497442568</v>
      </c>
      <c r="Q454">
        <f>IFERROR(IF(MATCH(B454,#REF!,0)&gt;0,1),0)</f>
        <v>0</v>
      </c>
    </row>
    <row r="455" spans="1:17" x14ac:dyDescent="0.2">
      <c r="A455" t="s">
        <v>18</v>
      </c>
      <c r="B455" t="s">
        <v>25</v>
      </c>
      <c r="C455" t="s">
        <v>6</v>
      </c>
      <c r="D455" t="s">
        <v>237</v>
      </c>
      <c r="E455" t="s">
        <v>237</v>
      </c>
      <c r="F455">
        <v>2</v>
      </c>
      <c r="G455" s="2" t="s">
        <v>446</v>
      </c>
      <c r="H455" s="2">
        <f>INDEX(Data!G:G,MATCH(G455,Data!A:A,0),1)</f>
        <v>0.28693460797283676</v>
      </c>
      <c r="I455" s="2">
        <f>INDEX(Data!J:J,MATCH(G455,Data!A:A,0),1)</f>
        <v>0.24234523094630439</v>
      </c>
      <c r="J455" s="2">
        <f>INDEX(Data!R:R,MATCH(G455,Data!A:A,0),1)</f>
        <v>2.4768000000000003</v>
      </c>
      <c r="K455" s="2">
        <f>INDEX(Data!S:S,MATCH(G455,Data!A:A,0),1)</f>
        <v>0</v>
      </c>
      <c r="L455" t="str">
        <f t="shared" si="7"/>
        <v>Production or processing of ferrous metals_Cold forming or folding</v>
      </c>
      <c r="M455">
        <f>INDEX(Data!AD:AD,MATCH($G455,Data!$A:$A,0),1)</f>
        <v>0.48099999999999998</v>
      </c>
      <c r="N455">
        <f>INDEX(Data!AE:AE,MATCH($G455,Data!$A:$A,0),1)</f>
        <v>0.41199999999999998</v>
      </c>
      <c r="O455">
        <f>INDEX(Data!AG:AG,MATCH($G455,Data!$A:$A,0),1)</f>
        <v>1.2895889249131132</v>
      </c>
      <c r="P455">
        <f>INDEX(Data!AH:AH,MATCH($G455,Data!$A:$A,0),1)</f>
        <v>0.59422748497442568</v>
      </c>
      <c r="Q455">
        <f>IFERROR(IF(MATCH(B455,#REF!,0)&gt;0,1),0)</f>
        <v>0</v>
      </c>
    </row>
    <row r="456" spans="1:17" x14ac:dyDescent="0.2">
      <c r="A456" t="s">
        <v>18</v>
      </c>
      <c r="B456" t="s">
        <v>26</v>
      </c>
      <c r="C456" t="s">
        <v>6</v>
      </c>
      <c r="D456" t="s">
        <v>237</v>
      </c>
      <c r="E456" t="s">
        <v>237</v>
      </c>
      <c r="F456">
        <v>1</v>
      </c>
      <c r="G456" s="2" t="s">
        <v>446</v>
      </c>
      <c r="H456" s="2">
        <f>INDEX(Data!G:G,MATCH(G456,Data!A:A,0),1)</f>
        <v>0.28693460797283676</v>
      </c>
      <c r="I456" s="2">
        <f>INDEX(Data!J:J,MATCH(G456,Data!A:A,0),1)</f>
        <v>0.24234523094630439</v>
      </c>
      <c r="J456" s="2">
        <f>INDEX(Data!R:R,MATCH(G456,Data!A:A,0),1)</f>
        <v>2.4768000000000003</v>
      </c>
      <c r="K456" s="2">
        <f>INDEX(Data!S:S,MATCH(G456,Data!A:A,0),1)</f>
        <v>0</v>
      </c>
      <c r="L456" t="str">
        <f t="shared" si="7"/>
        <v>Production or processing of ferrous metals_Cold rolling of narrow strip</v>
      </c>
      <c r="M456">
        <f>INDEX(Data!AD:AD,MATCH($G456,Data!$A:$A,0),1)</f>
        <v>0.48099999999999998</v>
      </c>
      <c r="N456">
        <f>INDEX(Data!AE:AE,MATCH($G456,Data!$A:$A,0),1)</f>
        <v>0.41199999999999998</v>
      </c>
      <c r="O456">
        <f>INDEX(Data!AG:AG,MATCH($G456,Data!$A:$A,0),1)</f>
        <v>1.2895889249131132</v>
      </c>
      <c r="P456">
        <f>INDEX(Data!AH:AH,MATCH($G456,Data!$A:$A,0),1)</f>
        <v>0.59422748497442568</v>
      </c>
      <c r="Q456">
        <f>IFERROR(IF(MATCH(B456,#REF!,0)&gt;0,1),0)</f>
        <v>0</v>
      </c>
    </row>
    <row r="457" spans="1:17" x14ac:dyDescent="0.2">
      <c r="A457" t="s">
        <v>18</v>
      </c>
      <c r="B457" t="s">
        <v>64</v>
      </c>
      <c r="C457" t="s">
        <v>65</v>
      </c>
      <c r="D457" t="s">
        <v>237</v>
      </c>
      <c r="E457" t="s">
        <v>237</v>
      </c>
      <c r="F457">
        <v>21</v>
      </c>
      <c r="G457" s="2" t="s">
        <v>446</v>
      </c>
      <c r="H457" s="2">
        <f>INDEX(Data!G:G,MATCH(G457,Data!A:A,0),1)</f>
        <v>0.28693460797283676</v>
      </c>
      <c r="I457" s="2">
        <f>INDEX(Data!J:J,MATCH(G457,Data!A:A,0),1)</f>
        <v>0.24234523094630439</v>
      </c>
      <c r="J457" s="2">
        <f>INDEX(Data!R:R,MATCH(G457,Data!A:A,0),1)</f>
        <v>2.4768000000000003</v>
      </c>
      <c r="K457" s="2">
        <f>INDEX(Data!S:S,MATCH(G457,Data!A:A,0),1)</f>
        <v>0</v>
      </c>
      <c r="L457" t="str">
        <f t="shared" si="7"/>
        <v>Production or processing of ferrous metals_Forging, pressing, stamping and roll-forming of metal</v>
      </c>
      <c r="M457">
        <f>INDEX(Data!AD:AD,MATCH($G457,Data!$A:$A,0),1)</f>
        <v>0.48099999999999998</v>
      </c>
      <c r="N457">
        <f>INDEX(Data!AE:AE,MATCH($G457,Data!$A:$A,0),1)</f>
        <v>0.41199999999999998</v>
      </c>
      <c r="O457">
        <f>INDEX(Data!AG:AG,MATCH($G457,Data!$A:$A,0),1)</f>
        <v>1.2895889249131132</v>
      </c>
      <c r="P457">
        <f>INDEX(Data!AH:AH,MATCH($G457,Data!$A:$A,0),1)</f>
        <v>0.59422748497442568</v>
      </c>
      <c r="Q457">
        <f>IFERROR(IF(MATCH(B457,#REF!,0)&gt;0,1),0)</f>
        <v>0</v>
      </c>
    </row>
    <row r="458" spans="1:17" x14ac:dyDescent="0.2">
      <c r="A458" t="s">
        <v>18</v>
      </c>
      <c r="B458" t="s">
        <v>313</v>
      </c>
      <c r="C458" t="s">
        <v>65</v>
      </c>
      <c r="D458" t="s">
        <v>237</v>
      </c>
      <c r="E458" t="s">
        <v>237</v>
      </c>
      <c r="F458">
        <v>4</v>
      </c>
      <c r="G458" s="2" t="s">
        <v>446</v>
      </c>
      <c r="H458" s="2">
        <f>INDEX(Data!G:G,MATCH(G458,Data!A:A,0),1)</f>
        <v>0.28693460797283676</v>
      </c>
      <c r="I458" s="2">
        <f>INDEX(Data!J:J,MATCH(G458,Data!A:A,0),1)</f>
        <v>0.24234523094630439</v>
      </c>
      <c r="J458" s="2">
        <f>INDEX(Data!R:R,MATCH(G458,Data!A:A,0),1)</f>
        <v>2.4768000000000003</v>
      </c>
      <c r="K458" s="2">
        <f>INDEX(Data!S:S,MATCH(G458,Data!A:A,0),1)</f>
        <v>0</v>
      </c>
      <c r="L458" t="str">
        <f t="shared" si="7"/>
        <v>Production or processing of ferrous metals_Treatment and coating of metals</v>
      </c>
      <c r="M458">
        <f>INDEX(Data!AD:AD,MATCH($G458,Data!$A:$A,0),1)</f>
        <v>0.48099999999999998</v>
      </c>
      <c r="N458">
        <f>INDEX(Data!AE:AE,MATCH($G458,Data!$A:$A,0),1)</f>
        <v>0.41199999999999998</v>
      </c>
      <c r="O458">
        <f>INDEX(Data!AG:AG,MATCH($G458,Data!$A:$A,0),1)</f>
        <v>1.2895889249131132</v>
      </c>
      <c r="P458">
        <f>INDEX(Data!AH:AH,MATCH($G458,Data!$A:$A,0),1)</f>
        <v>0.59422748497442568</v>
      </c>
      <c r="Q458">
        <f>IFERROR(IF(MATCH(B458,#REF!,0)&gt;0,1),0)</f>
        <v>0</v>
      </c>
    </row>
    <row r="459" spans="1:17" x14ac:dyDescent="0.2">
      <c r="A459" t="s">
        <v>18</v>
      </c>
      <c r="B459" t="s">
        <v>19</v>
      </c>
      <c r="C459" t="s">
        <v>6</v>
      </c>
      <c r="D459" t="s">
        <v>237</v>
      </c>
      <c r="E459" t="s">
        <v>237</v>
      </c>
      <c r="F459">
        <v>20</v>
      </c>
      <c r="G459" t="s">
        <v>352</v>
      </c>
      <c r="H459" s="2">
        <f>INDEX(Data!G:G,MATCH(G459,Data!A:A,0),1)</f>
        <v>0.37</v>
      </c>
      <c r="I459" s="2">
        <f>INDEX(Data!J:J,MATCH(G459,Data!A:A,0),1)</f>
        <v>0.28199999999999997</v>
      </c>
      <c r="J459" s="2">
        <f>INDEX(Data!R:R,MATCH(G459,Data!A:A,0),1)</f>
        <v>2.4768000000000003</v>
      </c>
      <c r="K459" s="2">
        <f>INDEX(Data!S:S,MATCH(G459,Data!A:A,0),1)</f>
        <v>0</v>
      </c>
      <c r="L459" t="str">
        <f t="shared" si="7"/>
        <v>Production or processing of ferrous metals_Casting of iron</v>
      </c>
      <c r="M459">
        <f>INDEX(Data!AD:AD,MATCH($G459,Data!$A:$A,0),1)</f>
        <v>0.48099999999999998</v>
      </c>
      <c r="N459">
        <f>INDEX(Data!AE:AE,MATCH($G459,Data!$A:$A,0),1)</f>
        <v>0.41199999999999998</v>
      </c>
      <c r="O459">
        <f>INDEX(Data!AG:AG,MATCH($G459,Data!$A:$A,0),1)</f>
        <v>1.0573620640499655</v>
      </c>
      <c r="P459">
        <f>INDEX(Data!AH:AH,MATCH($G459,Data!$A:$A,0),1)</f>
        <v>0.79755753713664312</v>
      </c>
      <c r="Q459">
        <f>IFERROR(IF(MATCH(B459,#REF!,0)&gt;0,1),0)</f>
        <v>0</v>
      </c>
    </row>
    <row r="460" spans="1:17" x14ac:dyDescent="0.2">
      <c r="A460" t="s">
        <v>18</v>
      </c>
      <c r="B460" t="s">
        <v>90</v>
      </c>
      <c r="C460" t="s">
        <v>6</v>
      </c>
      <c r="D460" t="s">
        <v>237</v>
      </c>
      <c r="E460" t="s">
        <v>237</v>
      </c>
      <c r="F460">
        <v>127</v>
      </c>
      <c r="G460" s="2" t="s">
        <v>377</v>
      </c>
      <c r="H460" s="2">
        <f>INDEX(Data!G:G,MATCH(G460,Data!A:A,0),1)</f>
        <v>1.4950000000000001</v>
      </c>
      <c r="I460" s="2">
        <f>INDEX(Data!J:J,MATCH(G460,Data!A:A,0),1)</f>
        <v>1.288</v>
      </c>
      <c r="J460" s="2">
        <f>INDEX(Data!R:R,MATCH(G460,Data!A:A,0),1)</f>
        <v>14.976000000000001</v>
      </c>
      <c r="K460" s="2">
        <f>INDEX(Data!S:S,MATCH(G460,Data!A:A,0),1)</f>
        <v>6.8039999999999985</v>
      </c>
      <c r="L460" t="str">
        <f t="shared" si="7"/>
        <v>Production or processing of ferrous metals_Manufacture of basic iron and steel and of ferro-alloys</v>
      </c>
      <c r="M460">
        <f>INDEX(Data!AD:AD,MATCH($G460,Data!$A:$A,0),1)</f>
        <v>0.48099999999999998</v>
      </c>
      <c r="N460">
        <f>INDEX(Data!AE:AE,MATCH($G460,Data!$A:$A,0),1)</f>
        <v>0.41199999999999992</v>
      </c>
      <c r="O460">
        <f>INDEX(Data!AG:AG,MATCH($G460,Data!$A:$A,0),1)</f>
        <v>1.2895889249131132</v>
      </c>
      <c r="P460">
        <f>INDEX(Data!AH:AH,MATCH($G460,Data!$A:$A,0),1)</f>
        <v>0.59422748497442568</v>
      </c>
      <c r="Q460">
        <f>IFERROR(IF(MATCH(B460,#REF!,0)&gt;0,1),0)</f>
        <v>0</v>
      </c>
    </row>
    <row r="461" spans="1:17" x14ac:dyDescent="0.2">
      <c r="A461" t="s">
        <v>18</v>
      </c>
      <c r="B461" t="s">
        <v>180</v>
      </c>
      <c r="C461" t="s">
        <v>65</v>
      </c>
      <c r="D461" t="s">
        <v>237</v>
      </c>
      <c r="E461" t="s">
        <v>237</v>
      </c>
      <c r="F461">
        <v>1</v>
      </c>
      <c r="G461" s="2" t="s">
        <v>377</v>
      </c>
      <c r="H461" s="2">
        <f>INDEX(Data!G:G,MATCH(G461,Data!A:A,0),1)</f>
        <v>1.4950000000000001</v>
      </c>
      <c r="I461" s="2">
        <f>INDEX(Data!J:J,MATCH(G461,Data!A:A,0),1)</f>
        <v>1.288</v>
      </c>
      <c r="J461" s="2">
        <f>INDEX(Data!R:R,MATCH(G461,Data!A:A,0),1)</f>
        <v>14.976000000000001</v>
      </c>
      <c r="K461" s="2">
        <f>INDEX(Data!S:S,MATCH(G461,Data!A:A,0),1)</f>
        <v>6.8039999999999985</v>
      </c>
      <c r="L461" t="str">
        <f t="shared" si="7"/>
        <v>Production or processing of ferrous metals_Manufacture of other fabricated metal products n.e.c.</v>
      </c>
      <c r="M461">
        <f>INDEX(Data!AD:AD,MATCH($G461,Data!$A:$A,0),1)</f>
        <v>0.48099999999999998</v>
      </c>
      <c r="N461">
        <f>INDEX(Data!AE:AE,MATCH($G461,Data!$A:$A,0),1)</f>
        <v>0.41199999999999992</v>
      </c>
      <c r="O461">
        <f>INDEX(Data!AG:AG,MATCH($G461,Data!$A:$A,0),1)</f>
        <v>1.2895889249131132</v>
      </c>
      <c r="P461">
        <f>INDEX(Data!AH:AH,MATCH($G461,Data!$A:$A,0),1)</f>
        <v>0.59422748497442568</v>
      </c>
      <c r="Q461">
        <f>IFERROR(IF(MATCH(B461,#REF!,0)&gt;0,1),0)</f>
        <v>0</v>
      </c>
    </row>
    <row r="462" spans="1:17" x14ac:dyDescent="0.2">
      <c r="A462" t="s">
        <v>18</v>
      </c>
      <c r="B462" t="s">
        <v>236</v>
      </c>
      <c r="C462" t="s">
        <v>6</v>
      </c>
      <c r="D462" t="s">
        <v>237</v>
      </c>
      <c r="E462" t="s">
        <v>237</v>
      </c>
      <c r="F462">
        <v>18</v>
      </c>
      <c r="G462" s="2" t="s">
        <v>446</v>
      </c>
      <c r="H462" s="2">
        <f>INDEX(Data!G:G,MATCH(G462,Data!A:A,0),1)</f>
        <v>0.28693460797283676</v>
      </c>
      <c r="I462" s="2">
        <f>INDEX(Data!J:J,MATCH(G462,Data!A:A,0),1)</f>
        <v>0.24234523094630439</v>
      </c>
      <c r="J462" s="2">
        <f>INDEX(Data!R:R,MATCH(G462,Data!A:A,0),1)</f>
        <v>2.4768000000000003</v>
      </c>
      <c r="K462" s="2">
        <f>INDEX(Data!S:S,MATCH(G462,Data!A:A,0),1)</f>
        <v>0</v>
      </c>
      <c r="L462" t="str">
        <f t="shared" si="7"/>
        <v>Production or processing of ferrous metals_Manufacture of tubes, pipes, hollow profiles and related fittings, of steel</v>
      </c>
      <c r="M462">
        <f>INDEX(Data!AD:AD,MATCH($G462,Data!$A:$A,0),1)</f>
        <v>0.48099999999999998</v>
      </c>
      <c r="N462">
        <f>INDEX(Data!AE:AE,MATCH($G462,Data!$A:$A,0),1)</f>
        <v>0.41199999999999998</v>
      </c>
      <c r="O462">
        <f>INDEX(Data!AG:AG,MATCH($G462,Data!$A:$A,0),1)</f>
        <v>1.2895889249131132</v>
      </c>
      <c r="P462">
        <f>INDEX(Data!AH:AH,MATCH($G462,Data!$A:$A,0),1)</f>
        <v>0.59422748497442568</v>
      </c>
      <c r="Q462">
        <f>IFERROR(IF(MATCH(B462,#REF!,0)&gt;0,1),0)</f>
        <v>0</v>
      </c>
    </row>
    <row r="463" spans="1:17" x14ac:dyDescent="0.2">
      <c r="A463" t="s">
        <v>18</v>
      </c>
      <c r="B463" t="s">
        <v>31</v>
      </c>
      <c r="C463" t="s">
        <v>32</v>
      </c>
      <c r="D463" t="s">
        <v>403</v>
      </c>
      <c r="E463" t="s">
        <v>15</v>
      </c>
      <c r="F463">
        <v>1</v>
      </c>
      <c r="G463" t="s">
        <v>325</v>
      </c>
      <c r="H463" s="2">
        <f>INDEX(Data!G:G,MATCH(G463,Data!A:A,0),1)</f>
        <v>5.79E-2</v>
      </c>
      <c r="I463" s="2">
        <f>INDEX(Data!J:J,MATCH(G463,Data!A:A,0),1)</f>
        <v>4.2599999999999999E-2</v>
      </c>
      <c r="J463" s="2">
        <f>INDEX(Data!R:R,MATCH(G463,Data!A:A,0),1)</f>
        <v>1</v>
      </c>
      <c r="K463" s="2">
        <f>INDEX(Data!S:S,MATCH(G463,Data!A:A,0),1)</f>
        <v>0</v>
      </c>
      <c r="L463" t="str">
        <f t="shared" si="7"/>
        <v>Production or processing of ferrous metals_Data processing, hosting and related activities</v>
      </c>
      <c r="M463">
        <f>INDEX(Data!AD:AD,MATCH($G463,Data!$A:$A,0),1)</f>
        <v>0.78200000000000003</v>
      </c>
      <c r="N463">
        <f>INDEX(Data!AE:AE,MATCH($G463,Data!$A:$A,0),1)</f>
        <v>0.63500000000000001</v>
      </c>
      <c r="O463">
        <f>INDEX(Data!AG:AG,MATCH($G463,Data!$A:$A,0),1)</f>
        <v>1.1486856676492798</v>
      </c>
      <c r="P463">
        <f>INDEX(Data!AH:AH,MATCH($G463,Data!$A:$A,0),1)</f>
        <v>1.7068864766411047</v>
      </c>
      <c r="Q463">
        <f>IFERROR(IF(MATCH(B463,#REF!,0)&gt;0,1),0)</f>
        <v>0</v>
      </c>
    </row>
    <row r="464" spans="1:17" x14ac:dyDescent="0.2">
      <c r="A464" t="s">
        <v>18</v>
      </c>
      <c r="B464" t="s">
        <v>126</v>
      </c>
      <c r="C464" t="s">
        <v>127</v>
      </c>
      <c r="D464" t="s">
        <v>403</v>
      </c>
      <c r="E464" t="s">
        <v>15</v>
      </c>
      <c r="F464">
        <v>2</v>
      </c>
      <c r="G464" t="s">
        <v>325</v>
      </c>
      <c r="H464" s="2">
        <f>INDEX(Data!G:G,MATCH(G464,Data!A:A,0),1)</f>
        <v>5.79E-2</v>
      </c>
      <c r="I464" s="2">
        <f>INDEX(Data!J:J,MATCH(G464,Data!A:A,0),1)</f>
        <v>4.2599999999999999E-2</v>
      </c>
      <c r="J464" s="2">
        <f>INDEX(Data!R:R,MATCH(G464,Data!A:A,0),1)</f>
        <v>1</v>
      </c>
      <c r="K464" s="2">
        <f>INDEX(Data!S:S,MATCH(G464,Data!A:A,0),1)</f>
        <v>0</v>
      </c>
      <c r="L464" t="str">
        <f t="shared" si="7"/>
        <v>Production or processing of ferrous metals_Manufacture of electric domestic appliances</v>
      </c>
      <c r="M464">
        <f>INDEX(Data!AD:AD,MATCH($G464,Data!$A:$A,0),1)</f>
        <v>0.78200000000000003</v>
      </c>
      <c r="N464">
        <f>INDEX(Data!AE:AE,MATCH($G464,Data!$A:$A,0),1)</f>
        <v>0.63500000000000001</v>
      </c>
      <c r="O464">
        <f>INDEX(Data!AG:AG,MATCH($G464,Data!$A:$A,0),1)</f>
        <v>1.1486856676492798</v>
      </c>
      <c r="P464">
        <f>INDEX(Data!AH:AH,MATCH($G464,Data!$A:$A,0),1)</f>
        <v>1.7068864766411047</v>
      </c>
      <c r="Q464">
        <f>IFERROR(IF(MATCH(B464,#REF!,0)&gt;0,1),0)</f>
        <v>0</v>
      </c>
    </row>
    <row r="465" spans="1:17" x14ac:dyDescent="0.2">
      <c r="A465" t="s">
        <v>18</v>
      </c>
      <c r="B465" t="s">
        <v>157</v>
      </c>
      <c r="C465" t="s">
        <v>86</v>
      </c>
      <c r="D465" t="s">
        <v>403</v>
      </c>
      <c r="E465" t="s">
        <v>15</v>
      </c>
      <c r="F465">
        <v>1</v>
      </c>
      <c r="G465" t="s">
        <v>325</v>
      </c>
      <c r="H465" s="2">
        <f>INDEX(Data!G:G,MATCH(G465,Data!A:A,0),1)</f>
        <v>5.79E-2</v>
      </c>
      <c r="I465" s="2">
        <f>INDEX(Data!J:J,MATCH(G465,Data!A:A,0),1)</f>
        <v>4.2599999999999999E-2</v>
      </c>
      <c r="J465" s="2">
        <f>INDEX(Data!R:R,MATCH(G465,Data!A:A,0),1)</f>
        <v>1</v>
      </c>
      <c r="K465" s="2">
        <f>INDEX(Data!S:S,MATCH(G465,Data!A:A,0),1)</f>
        <v>0</v>
      </c>
      <c r="L465" t="str">
        <f t="shared" si="7"/>
        <v>Production or processing of ferrous metals_Manufacture of machinery for metallurgy</v>
      </c>
      <c r="M465">
        <f>INDEX(Data!AD:AD,MATCH($G465,Data!$A:$A,0),1)</f>
        <v>0.78200000000000003</v>
      </c>
      <c r="N465">
        <f>INDEX(Data!AE:AE,MATCH($G465,Data!$A:$A,0),1)</f>
        <v>0.63500000000000001</v>
      </c>
      <c r="O465">
        <f>INDEX(Data!AG:AG,MATCH($G465,Data!$A:$A,0),1)</f>
        <v>1.1486856676492798</v>
      </c>
      <c r="P465">
        <f>INDEX(Data!AH:AH,MATCH($G465,Data!$A:$A,0),1)</f>
        <v>1.7068864766411047</v>
      </c>
      <c r="Q465">
        <f>IFERROR(IF(MATCH(B465,#REF!,0)&gt;0,1),0)</f>
        <v>0</v>
      </c>
    </row>
    <row r="466" spans="1:17" x14ac:dyDescent="0.2">
      <c r="A466" t="s">
        <v>18</v>
      </c>
      <c r="B466" t="s">
        <v>159</v>
      </c>
      <c r="C466" t="s">
        <v>86</v>
      </c>
      <c r="D466" t="s">
        <v>403</v>
      </c>
      <c r="E466" t="s">
        <v>15</v>
      </c>
      <c r="F466">
        <v>1</v>
      </c>
      <c r="G466" t="s">
        <v>325</v>
      </c>
      <c r="H466" s="2">
        <f>INDEX(Data!G:G,MATCH(G466,Data!A:A,0),1)</f>
        <v>5.79E-2</v>
      </c>
      <c r="I466" s="2">
        <f>INDEX(Data!J:J,MATCH(G466,Data!A:A,0),1)</f>
        <v>4.2599999999999999E-2</v>
      </c>
      <c r="J466" s="2">
        <f>INDEX(Data!R:R,MATCH(G466,Data!A:A,0),1)</f>
        <v>1</v>
      </c>
      <c r="K466" s="2">
        <f>INDEX(Data!S:S,MATCH(G466,Data!A:A,0),1)</f>
        <v>0</v>
      </c>
      <c r="L466" t="str">
        <f t="shared" si="7"/>
        <v>Production or processing of ferrous metals_Manufacture of machinery for textile, apparel and leather production</v>
      </c>
      <c r="M466">
        <f>INDEX(Data!AD:AD,MATCH($G466,Data!$A:$A,0),1)</f>
        <v>0.78200000000000003</v>
      </c>
      <c r="N466">
        <f>INDEX(Data!AE:AE,MATCH($G466,Data!$A:$A,0),1)</f>
        <v>0.63500000000000001</v>
      </c>
      <c r="O466">
        <f>INDEX(Data!AG:AG,MATCH($G466,Data!$A:$A,0),1)</f>
        <v>1.1486856676492798</v>
      </c>
      <c r="P466">
        <f>INDEX(Data!AH:AH,MATCH($G466,Data!$A:$A,0),1)</f>
        <v>1.7068864766411047</v>
      </c>
      <c r="Q466">
        <f>IFERROR(IF(MATCH(B466,#REF!,0)&gt;0,1),0)</f>
        <v>0</v>
      </c>
    </row>
    <row r="467" spans="1:17" x14ac:dyDescent="0.2">
      <c r="A467" t="s">
        <v>18</v>
      </c>
      <c r="B467" t="s">
        <v>222</v>
      </c>
      <c r="C467" t="s">
        <v>14</v>
      </c>
      <c r="D467" t="s">
        <v>403</v>
      </c>
      <c r="E467" t="s">
        <v>15</v>
      </c>
      <c r="F467">
        <v>1</v>
      </c>
      <c r="G467" t="s">
        <v>325</v>
      </c>
      <c r="H467" s="2">
        <f>INDEX(Data!G:G,MATCH(G467,Data!A:A,0),1)</f>
        <v>5.79E-2</v>
      </c>
      <c r="I467" s="2">
        <f>INDEX(Data!J:J,MATCH(G467,Data!A:A,0),1)</f>
        <v>4.2599999999999999E-2</v>
      </c>
      <c r="J467" s="2">
        <f>INDEX(Data!R:R,MATCH(G467,Data!A:A,0),1)</f>
        <v>1</v>
      </c>
      <c r="K467" s="2">
        <f>INDEX(Data!S:S,MATCH(G467,Data!A:A,0),1)</f>
        <v>0</v>
      </c>
      <c r="L467" t="str">
        <f t="shared" si="7"/>
        <v>Production or processing of ferrous metals_Manufacture of railway locomotives and rolling stock</v>
      </c>
      <c r="M467">
        <f>INDEX(Data!AD:AD,MATCH($G467,Data!$A:$A,0),1)</f>
        <v>0.78200000000000003</v>
      </c>
      <c r="N467">
        <f>INDEX(Data!AE:AE,MATCH($G467,Data!$A:$A,0),1)</f>
        <v>0.63500000000000001</v>
      </c>
      <c r="O467">
        <f>INDEX(Data!AG:AG,MATCH($G467,Data!$A:$A,0),1)</f>
        <v>1.1486856676492798</v>
      </c>
      <c r="P467">
        <f>INDEX(Data!AH:AH,MATCH($G467,Data!$A:$A,0),1)</f>
        <v>1.7068864766411047</v>
      </c>
      <c r="Q467">
        <f>IFERROR(IF(MATCH(B467,#REF!,0)&gt;0,1),0)</f>
        <v>0</v>
      </c>
    </row>
    <row r="468" spans="1:17" x14ac:dyDescent="0.2">
      <c r="A468" s="2" t="s">
        <v>18</v>
      </c>
      <c r="D468" t="s">
        <v>237</v>
      </c>
      <c r="E468">
        <v>0</v>
      </c>
      <c r="G468" s="2" t="s">
        <v>377</v>
      </c>
      <c r="H468" s="2">
        <f>INDEX(Data!G:G,MATCH(G468,Data!A:A,0),1)</f>
        <v>1.4950000000000001</v>
      </c>
      <c r="I468" s="2">
        <f>INDEX(Data!J:J,MATCH(G468,Data!A:A,0),1)</f>
        <v>1.288</v>
      </c>
      <c r="J468" s="2">
        <f>INDEX(Data!R:R,MATCH(G468,Data!A:A,0),1)</f>
        <v>14.976000000000001</v>
      </c>
      <c r="K468" s="2">
        <f>INDEX(Data!S:S,MATCH(G468,Data!A:A,0),1)</f>
        <v>6.8039999999999985</v>
      </c>
      <c r="L468" t="str">
        <f t="shared" si="7"/>
        <v>Production or processing of ferrous metals</v>
      </c>
      <c r="M468">
        <f>INDEX(Data!AD:AD,MATCH($G468,Data!$A:$A,0),1)</f>
        <v>0.48099999999999998</v>
      </c>
      <c r="N468">
        <f>INDEX(Data!AE:AE,MATCH($G468,Data!$A:$A,0),1)</f>
        <v>0.41199999999999992</v>
      </c>
      <c r="O468">
        <f>INDEX(Data!AG:AG,MATCH($G468,Data!$A:$A,0),1)</f>
        <v>1.2895889249131132</v>
      </c>
      <c r="P468">
        <f>INDEX(Data!AH:AH,MATCH($G468,Data!$A:$A,0),1)</f>
        <v>0.59422748497442568</v>
      </c>
      <c r="Q468">
        <f>IFERROR(IF(MATCH(B468,#REF!,0)&gt;0,1),0)</f>
        <v>0</v>
      </c>
    </row>
    <row r="469" spans="1:17" x14ac:dyDescent="0.2">
      <c r="A469" t="s">
        <v>36</v>
      </c>
      <c r="B469" t="s">
        <v>212</v>
      </c>
      <c r="C469" t="s">
        <v>81</v>
      </c>
      <c r="D469" t="s">
        <v>409</v>
      </c>
      <c r="E469" t="s">
        <v>213</v>
      </c>
      <c r="F469">
        <v>31</v>
      </c>
      <c r="G469" t="s">
        <v>336</v>
      </c>
      <c r="H469" s="2">
        <f>INDEX(Data!G:G,MATCH(G469,Data!A:A,0),1)</f>
        <v>3.5629026621767576E-2</v>
      </c>
      <c r="I469" s="2">
        <f>INDEX(Data!J:J,MATCH(G469,Data!A:A,0),1)</f>
        <v>3.1972106510782264E-2</v>
      </c>
      <c r="J469" s="2">
        <f>INDEX(Data!R:R,MATCH(G469,Data!A:A,0),1)</f>
        <v>1.0800000000000005</v>
      </c>
      <c r="K469" s="2">
        <f>INDEX(Data!S:S,MATCH(G469,Data!A:A,0),1)</f>
        <v>0</v>
      </c>
      <c r="L469" t="str">
        <f t="shared" si="7"/>
        <v>Production or processing of gypsum or plasterboard_Manufacture of plaster products for construction purposes</v>
      </c>
      <c r="M469">
        <f>INDEX(Data!AD:AD,MATCH($G469,Data!$A:$A,0),1)</f>
        <v>0.60000000000000009</v>
      </c>
      <c r="N469">
        <f>INDEX(Data!AE:AE,MATCH($G469,Data!$A:$A,0),1)</f>
        <v>0.59800000000000009</v>
      </c>
      <c r="O469">
        <f>INDEX(Data!AG:AG,MATCH($G469,Data!$A:$A,0),1)</f>
        <v>1.064726745878753</v>
      </c>
      <c r="P469">
        <f>INDEX(Data!AH:AH,MATCH($G469,Data!$A:$A,0),1)</f>
        <v>1.4340325482945437</v>
      </c>
      <c r="Q469">
        <f>IFERROR(IF(MATCH(B469,#REF!,0)&gt;0,1),0)</f>
        <v>0</v>
      </c>
    </row>
    <row r="470" spans="1:17" x14ac:dyDescent="0.2">
      <c r="A470" t="s">
        <v>36</v>
      </c>
      <c r="B470" t="s">
        <v>154</v>
      </c>
      <c r="C470" t="s">
        <v>81</v>
      </c>
      <c r="D470" t="s">
        <v>409</v>
      </c>
      <c r="E470" t="s">
        <v>155</v>
      </c>
      <c r="F470">
        <v>4</v>
      </c>
      <c r="G470" t="s">
        <v>337</v>
      </c>
      <c r="H470" s="2">
        <f>INDEX(Data!G:G,MATCH(G470,Data!A:A,0),1)</f>
        <v>1.0858855073623837</v>
      </c>
      <c r="I470" s="2">
        <f>INDEX(Data!J:J,MATCH(G470,Data!A:A,0),1)</f>
        <v>0.76053043758401917</v>
      </c>
      <c r="J470" s="2">
        <f>INDEX(Data!R:R,MATCH(G470,Data!A:A,0),1)</f>
        <v>3.7079999999999997</v>
      </c>
      <c r="K470" s="2">
        <f>INDEX(Data!S:S,MATCH(G470,Data!A:A,0),1)</f>
        <v>0</v>
      </c>
      <c r="L470" t="str">
        <f t="shared" si="7"/>
        <v>Production or processing of gypsum or plasterboard_Manufacture of lime and plaster</v>
      </c>
      <c r="M470">
        <f>INDEX(Data!AD:AD,MATCH($G470,Data!$A:$A,0),1)</f>
        <v>0.6</v>
      </c>
      <c r="N470">
        <f>INDEX(Data!AE:AE,MATCH($G470,Data!$A:$A,0),1)</f>
        <v>0.59799999999999998</v>
      </c>
      <c r="O470">
        <f>INDEX(Data!AG:AG,MATCH($G470,Data!$A:$A,0),1)</f>
        <v>1.948717100000001</v>
      </c>
      <c r="P470">
        <f>INDEX(Data!AH:AH,MATCH($G470,Data!$A:$A,0),1)</f>
        <v>118.49939476920679</v>
      </c>
      <c r="Q470">
        <f>IFERROR(IF(MATCH(B470,#REF!,0)&gt;0,1),0)</f>
        <v>0</v>
      </c>
    </row>
    <row r="471" spans="1:17" x14ac:dyDescent="0.2">
      <c r="A471" t="s">
        <v>36</v>
      </c>
      <c r="B471" t="s">
        <v>31</v>
      </c>
      <c r="C471" t="s">
        <v>32</v>
      </c>
      <c r="D471" t="s">
        <v>403</v>
      </c>
      <c r="E471" t="s">
        <v>15</v>
      </c>
      <c r="F471">
        <v>1</v>
      </c>
      <c r="G471" t="s">
        <v>325</v>
      </c>
      <c r="H471" s="2">
        <f>INDEX(Data!G:G,MATCH(G471,Data!A:A,0),1)</f>
        <v>5.79E-2</v>
      </c>
      <c r="I471" s="2">
        <f>INDEX(Data!J:J,MATCH(G471,Data!A:A,0),1)</f>
        <v>4.2599999999999999E-2</v>
      </c>
      <c r="J471" s="2">
        <f>INDEX(Data!R:R,MATCH(G471,Data!A:A,0),1)</f>
        <v>1</v>
      </c>
      <c r="K471" s="2">
        <f>INDEX(Data!S:S,MATCH(G471,Data!A:A,0),1)</f>
        <v>0</v>
      </c>
      <c r="L471" t="str">
        <f t="shared" si="7"/>
        <v>Production or processing of gypsum or plasterboard_Data processing, hosting and related activities</v>
      </c>
      <c r="M471">
        <f>INDEX(Data!AD:AD,MATCH($G471,Data!$A:$A,0),1)</f>
        <v>0.78200000000000003</v>
      </c>
      <c r="N471">
        <f>INDEX(Data!AE:AE,MATCH($G471,Data!$A:$A,0),1)</f>
        <v>0.63500000000000001</v>
      </c>
      <c r="O471">
        <f>INDEX(Data!AG:AG,MATCH($G471,Data!$A:$A,0),1)</f>
        <v>1.1486856676492798</v>
      </c>
      <c r="P471">
        <f>INDEX(Data!AH:AH,MATCH($G471,Data!$A:$A,0),1)</f>
        <v>1.7068864766411047</v>
      </c>
      <c r="Q471">
        <f>IFERROR(IF(MATCH(B471,#REF!,0)&gt;0,1),0)</f>
        <v>0</v>
      </c>
    </row>
    <row r="472" spans="1:17" x14ac:dyDescent="0.2">
      <c r="A472" s="2" t="s">
        <v>36</v>
      </c>
      <c r="D472" t="s">
        <v>409</v>
      </c>
      <c r="E472">
        <v>0</v>
      </c>
      <c r="G472" s="2" t="s">
        <v>336</v>
      </c>
      <c r="H472" s="2">
        <f>INDEX(Data!G:G,MATCH(G472,Data!A:A,0),1)</f>
        <v>3.5629026621767576E-2</v>
      </c>
      <c r="I472" s="2">
        <f>INDEX(Data!J:J,MATCH(G472,Data!A:A,0),1)</f>
        <v>3.1972106510782264E-2</v>
      </c>
      <c r="J472" s="2">
        <f>INDEX(Data!R:R,MATCH(G472,Data!A:A,0),1)</f>
        <v>1.0800000000000005</v>
      </c>
      <c r="K472" s="2">
        <f>INDEX(Data!S:S,MATCH(G472,Data!A:A,0),1)</f>
        <v>0</v>
      </c>
      <c r="L472" t="str">
        <f t="shared" si="7"/>
        <v>Production or processing of gypsum or plasterboard</v>
      </c>
      <c r="M472">
        <f>INDEX(Data!AD:AD,MATCH($G472,Data!$A:$A,0),1)</f>
        <v>0.60000000000000009</v>
      </c>
      <c r="N472">
        <f>INDEX(Data!AE:AE,MATCH($G472,Data!$A:$A,0),1)</f>
        <v>0.59800000000000009</v>
      </c>
      <c r="O472">
        <f>INDEX(Data!AG:AG,MATCH($G472,Data!$A:$A,0),1)</f>
        <v>1.064726745878753</v>
      </c>
      <c r="P472">
        <f>INDEX(Data!AH:AH,MATCH($G472,Data!$A:$A,0),1)</f>
        <v>1.4340325482945437</v>
      </c>
      <c r="Q472">
        <f>IFERROR(IF(MATCH(B472,#REF!,0)&gt;0,1),0)</f>
        <v>0</v>
      </c>
    </row>
    <row r="473" spans="1:17" x14ac:dyDescent="0.2">
      <c r="A473" t="s">
        <v>9</v>
      </c>
      <c r="B473" t="s">
        <v>5</v>
      </c>
      <c r="C473" t="s">
        <v>6</v>
      </c>
      <c r="D473" t="s">
        <v>256</v>
      </c>
      <c r="E473" t="s">
        <v>7</v>
      </c>
      <c r="F473">
        <v>13</v>
      </c>
      <c r="G473" t="s">
        <v>324</v>
      </c>
      <c r="H473" s="2">
        <f>INDEX(Data!G:G,MATCH(G473,Data!A:A,0),1)</f>
        <v>1.641</v>
      </c>
      <c r="I473" s="2">
        <f>INDEX(Data!J:J,MATCH(G473,Data!A:A,0),1)</f>
        <v>1.464</v>
      </c>
      <c r="J473" s="2">
        <f>INDEX(Data!R:R,MATCH(G473,Data!A:A,0),1)</f>
        <v>12.024000000000001</v>
      </c>
      <c r="K473" s="2">
        <f>INDEX(Data!S:S,MATCH(G473,Data!A:A,0),1)</f>
        <v>0</v>
      </c>
      <c r="L473" t="str">
        <f t="shared" si="7"/>
        <v>Production or processing of non-ferrous metals_Aluminium production</v>
      </c>
      <c r="M473">
        <f>INDEX(Data!AD:AD,MATCH($G473,Data!$A:$A,0),1)</f>
        <v>0.80400000000000005</v>
      </c>
      <c r="N473">
        <f>INDEX(Data!AE:AE,MATCH($G473,Data!$A:$A,0),1)</f>
        <v>0.85799999999999998</v>
      </c>
      <c r="O473">
        <f>INDEX(Data!AG:AG,MATCH($G473,Data!$A:$A,0),1)</f>
        <v>1.3517721377141791</v>
      </c>
      <c r="P473">
        <f>INDEX(Data!AH:AH,MATCH($G473,Data!$A:$A,0),1)</f>
        <v>3.1982577724511621</v>
      </c>
      <c r="Q473">
        <f>IFERROR(IF(MATCH(B473,#REF!,0)&gt;0,1),0)</f>
        <v>0</v>
      </c>
    </row>
    <row r="474" spans="1:17" x14ac:dyDescent="0.2">
      <c r="A474" t="s">
        <v>9</v>
      </c>
      <c r="B474" t="s">
        <v>125</v>
      </c>
      <c r="C474" t="s">
        <v>95</v>
      </c>
      <c r="D474" t="s">
        <v>95</v>
      </c>
      <c r="E474" t="s">
        <v>95</v>
      </c>
      <c r="F474">
        <v>1</v>
      </c>
      <c r="G474" t="s">
        <v>338</v>
      </c>
      <c r="H474" s="2">
        <f>INDEX(Data!G:G,MATCH(G474,Data!A:A,0),1)</f>
        <v>1.1838611017829463</v>
      </c>
      <c r="I474" s="2">
        <f>INDEX(Data!J:J,MATCH(G474,Data!A:A,0),1)</f>
        <v>1.0013516184567537</v>
      </c>
      <c r="J474" s="2">
        <f>INDEX(Data!R:R,MATCH(G474,Data!A:A,0),1)</f>
        <v>2.6802340811720051</v>
      </c>
      <c r="K474" s="2">
        <f>INDEX(Data!S:S,MATCH(G474,Data!A:A,0),1)</f>
        <v>27.108503329226927</v>
      </c>
      <c r="L474" t="str">
        <f t="shared" si="7"/>
        <v>Production or processing of non-ferrous metals_Manufacture of dyes and pigments</v>
      </c>
      <c r="M474">
        <f>INDEX(Data!AD:AD,MATCH($G474,Data!$A:$A,0),1)</f>
        <v>0.81199999999999994</v>
      </c>
      <c r="N474">
        <f>INDEX(Data!AE:AE,MATCH($G474,Data!$A:$A,0),1)</f>
        <v>0.73899999999999999</v>
      </c>
      <c r="O474">
        <f>INDEX(Data!AG:AG,MATCH($G474,Data!$A:$A,0),1)</f>
        <v>1.3265650001686902</v>
      </c>
      <c r="P474">
        <f>INDEX(Data!AH:AH,MATCH($G474,Data!$A:$A,0),1)</f>
        <v>6.8406134516345016</v>
      </c>
      <c r="Q474">
        <f>IFERROR(IF(MATCH(B474,#REF!,0)&gt;0,1),0)</f>
        <v>0</v>
      </c>
    </row>
    <row r="475" spans="1:17" x14ac:dyDescent="0.2">
      <c r="A475" t="s">
        <v>9</v>
      </c>
      <c r="B475" t="s">
        <v>185</v>
      </c>
      <c r="C475" t="s">
        <v>95</v>
      </c>
      <c r="D475" t="s">
        <v>95</v>
      </c>
      <c r="E475" t="s">
        <v>95</v>
      </c>
      <c r="F475">
        <v>6</v>
      </c>
      <c r="G475" t="s">
        <v>349</v>
      </c>
      <c r="H475" s="2">
        <f>INDEX(Data!G:G,MATCH(G475,Data!A:A,0),1)</f>
        <v>1.5967631163208207</v>
      </c>
      <c r="I475" s="2">
        <f>INDEX(Data!J:J,MATCH(G475,Data!A:A,0),1)</f>
        <v>1.2656396050839946</v>
      </c>
      <c r="J475" s="2">
        <f>INDEX(Data!R:R,MATCH(G475,Data!A:A,0),1)</f>
        <v>3.2911730425008185</v>
      </c>
      <c r="K475" s="2">
        <f>INDEX(Data!S:S,MATCH(G475,Data!A:A,0),1)</f>
        <v>10.213571642020407</v>
      </c>
      <c r="L475" t="str">
        <f t="shared" si="7"/>
        <v>Production or processing of non-ferrous metals_Manufacture of other inorganic basic chemicals</v>
      </c>
      <c r="M475">
        <f>INDEX(Data!AD:AD,MATCH($G475,Data!$A:$A,0),1)</f>
        <v>0.81200000000000028</v>
      </c>
      <c r="N475">
        <f>INDEX(Data!AE:AE,MATCH($G475,Data!$A:$A,0),1)</f>
        <v>0.73899999999999999</v>
      </c>
      <c r="O475">
        <f>INDEX(Data!AG:AG,MATCH($G475,Data!$A:$A,0),1)</f>
        <v>1.3556812573212713</v>
      </c>
      <c r="P475">
        <f>INDEX(Data!AH:AH,MATCH($G475,Data!$A:$A,0),1)</f>
        <v>3.2322103139373444</v>
      </c>
      <c r="Q475">
        <f>IFERROR(IF(MATCH(B475,#REF!,0)&gt;0,1),0)</f>
        <v>0</v>
      </c>
    </row>
    <row r="476" spans="1:17" x14ac:dyDescent="0.2">
      <c r="A476" t="s">
        <v>9</v>
      </c>
      <c r="B476" t="s">
        <v>29</v>
      </c>
      <c r="C476" t="s">
        <v>6</v>
      </c>
      <c r="D476" t="s">
        <v>256</v>
      </c>
      <c r="E476" t="s">
        <v>30</v>
      </c>
      <c r="F476">
        <v>19</v>
      </c>
      <c r="G476" t="s">
        <v>422</v>
      </c>
      <c r="H476" s="2">
        <f>INDEX(Data!G:G,MATCH(G476,Data!A:A,0),1)</f>
        <v>1.4</v>
      </c>
      <c r="I476" s="2">
        <f>INDEX(Data!J:J,MATCH(G476,Data!A:A,0),1)</f>
        <v>1.4</v>
      </c>
      <c r="J476" s="2">
        <f>INDEX(Data!R:R,MATCH(G476,Data!A:A,0),1)</f>
        <v>8.0280000000000005</v>
      </c>
      <c r="K476" s="2">
        <f>INDEX(Data!S:S,MATCH(G476,Data!A:A,0),1)</f>
        <v>0</v>
      </c>
      <c r="L476" t="str">
        <f t="shared" si="7"/>
        <v>Production or processing of non-ferrous metals_Copper production</v>
      </c>
      <c r="M476">
        <f>INDEX(Data!AD:AD,MATCH($G476,Data!$A:$A,0),1)</f>
        <v>0.80400000000000005</v>
      </c>
      <c r="N476">
        <f>INDEX(Data!AE:AE,MATCH($G476,Data!$A:$A,0),1)</f>
        <v>0.85799999999999998</v>
      </c>
      <c r="O476">
        <f>INDEX(Data!AG:AG,MATCH($G476,Data!$A:$A,0),1)</f>
        <v>1</v>
      </c>
      <c r="P476">
        <f>INDEX(Data!AH:AH,MATCH($G476,Data!$A:$A,0),1)</f>
        <v>1</v>
      </c>
      <c r="Q476">
        <f>IFERROR(IF(MATCH(B476,#REF!,0)&gt;0,1),0)</f>
        <v>0</v>
      </c>
    </row>
    <row r="477" spans="1:17" x14ac:dyDescent="0.2">
      <c r="A477" t="s">
        <v>9</v>
      </c>
      <c r="B477" t="s">
        <v>64</v>
      </c>
      <c r="C477" t="s">
        <v>65</v>
      </c>
      <c r="D477" t="s">
        <v>237</v>
      </c>
      <c r="E477" t="s">
        <v>237</v>
      </c>
      <c r="F477">
        <v>1</v>
      </c>
      <c r="G477" s="2" t="s">
        <v>446</v>
      </c>
      <c r="H477" s="2">
        <f>INDEX(Data!G:G,MATCH(G477,Data!A:A,0),1)</f>
        <v>0.28693460797283676</v>
      </c>
      <c r="I477" s="2">
        <f>INDEX(Data!J:J,MATCH(G477,Data!A:A,0),1)</f>
        <v>0.24234523094630439</v>
      </c>
      <c r="J477" s="2">
        <f>INDEX(Data!R:R,MATCH(G477,Data!A:A,0),1)</f>
        <v>2.4768000000000003</v>
      </c>
      <c r="K477" s="2">
        <f>INDEX(Data!S:S,MATCH(G477,Data!A:A,0),1)</f>
        <v>0</v>
      </c>
      <c r="L477" t="str">
        <f t="shared" si="7"/>
        <v>Production or processing of non-ferrous metals_Forging, pressing, stamping and roll-forming of metal</v>
      </c>
      <c r="M477">
        <f>INDEX(Data!AD:AD,MATCH($G477,Data!$A:$A,0),1)</f>
        <v>0.48099999999999998</v>
      </c>
      <c r="N477">
        <f>INDEX(Data!AE:AE,MATCH($G477,Data!$A:$A,0),1)</f>
        <v>0.41199999999999998</v>
      </c>
      <c r="O477">
        <f>INDEX(Data!AG:AG,MATCH($G477,Data!$A:$A,0),1)</f>
        <v>1.2895889249131132</v>
      </c>
      <c r="P477">
        <f>INDEX(Data!AH:AH,MATCH($G477,Data!$A:$A,0),1)</f>
        <v>0.59422748497442568</v>
      </c>
      <c r="Q477">
        <f>IFERROR(IF(MATCH(B477,#REF!,0)&gt;0,1),0)</f>
        <v>0</v>
      </c>
    </row>
    <row r="478" spans="1:17" x14ac:dyDescent="0.2">
      <c r="A478" t="s">
        <v>9</v>
      </c>
      <c r="B478" t="s">
        <v>313</v>
      </c>
      <c r="C478" t="s">
        <v>65</v>
      </c>
      <c r="D478" t="s">
        <v>237</v>
      </c>
      <c r="E478" t="s">
        <v>237</v>
      </c>
      <c r="F478">
        <v>1</v>
      </c>
      <c r="G478" s="2" t="s">
        <v>446</v>
      </c>
      <c r="H478" s="2">
        <f>INDEX(Data!G:G,MATCH(G478,Data!A:A,0),1)</f>
        <v>0.28693460797283676</v>
      </c>
      <c r="I478" s="2">
        <f>INDEX(Data!J:J,MATCH(G478,Data!A:A,0),1)</f>
        <v>0.24234523094630439</v>
      </c>
      <c r="J478" s="2">
        <f>INDEX(Data!R:R,MATCH(G478,Data!A:A,0),1)</f>
        <v>2.4768000000000003</v>
      </c>
      <c r="K478" s="2">
        <f>INDEX(Data!S:S,MATCH(G478,Data!A:A,0),1)</f>
        <v>0</v>
      </c>
      <c r="L478" t="str">
        <f t="shared" si="7"/>
        <v>Production or processing of non-ferrous metals_Treatment and coating of metals</v>
      </c>
      <c r="M478">
        <f>INDEX(Data!AD:AD,MATCH($G478,Data!$A:$A,0),1)</f>
        <v>0.48099999999999998</v>
      </c>
      <c r="N478">
        <f>INDEX(Data!AE:AE,MATCH($G478,Data!$A:$A,0),1)</f>
        <v>0.41199999999999998</v>
      </c>
      <c r="O478">
        <f>INDEX(Data!AG:AG,MATCH($G478,Data!$A:$A,0),1)</f>
        <v>1.2895889249131132</v>
      </c>
      <c r="P478">
        <f>INDEX(Data!AH:AH,MATCH($G478,Data!$A:$A,0),1)</f>
        <v>0.59422748497442568</v>
      </c>
      <c r="Q478">
        <f>IFERROR(IF(MATCH(B478,#REF!,0)&gt;0,1),0)</f>
        <v>0</v>
      </c>
    </row>
    <row r="479" spans="1:17" x14ac:dyDescent="0.2">
      <c r="A479" t="s">
        <v>9</v>
      </c>
      <c r="B479" t="s">
        <v>90</v>
      </c>
      <c r="C479" t="s">
        <v>6</v>
      </c>
      <c r="D479" t="s">
        <v>237</v>
      </c>
      <c r="E479" t="s">
        <v>237</v>
      </c>
      <c r="F479">
        <v>9</v>
      </c>
      <c r="G479" s="2" t="s">
        <v>377</v>
      </c>
      <c r="H479" s="2">
        <f>INDEX(Data!G:G,MATCH(G479,Data!A:A,0),1)</f>
        <v>1.4950000000000001</v>
      </c>
      <c r="I479" s="2">
        <f>INDEX(Data!J:J,MATCH(G479,Data!A:A,0),1)</f>
        <v>1.288</v>
      </c>
      <c r="J479" s="2">
        <f>INDEX(Data!R:R,MATCH(G479,Data!A:A,0),1)</f>
        <v>14.976000000000001</v>
      </c>
      <c r="K479" s="2">
        <f>INDEX(Data!S:S,MATCH(G479,Data!A:A,0),1)</f>
        <v>6.8039999999999985</v>
      </c>
      <c r="L479" t="str">
        <f t="shared" si="7"/>
        <v>Production or processing of non-ferrous metals_Manufacture of basic iron and steel and of ferro-alloys</v>
      </c>
      <c r="M479">
        <f>INDEX(Data!AD:AD,MATCH($G479,Data!$A:$A,0),1)</f>
        <v>0.48099999999999998</v>
      </c>
      <c r="N479">
        <f>INDEX(Data!AE:AE,MATCH($G479,Data!$A:$A,0),1)</f>
        <v>0.41199999999999992</v>
      </c>
      <c r="O479">
        <f>INDEX(Data!AG:AG,MATCH($G479,Data!$A:$A,0),1)</f>
        <v>1.2895889249131132</v>
      </c>
      <c r="P479">
        <f>INDEX(Data!AH:AH,MATCH($G479,Data!$A:$A,0),1)</f>
        <v>0.59422748497442568</v>
      </c>
      <c r="Q479">
        <f>IFERROR(IF(MATCH(B479,#REF!,0)&gt;0,1),0)</f>
        <v>0</v>
      </c>
    </row>
    <row r="480" spans="1:17" x14ac:dyDescent="0.2">
      <c r="A480" t="s">
        <v>9</v>
      </c>
      <c r="B480" t="s">
        <v>236</v>
      </c>
      <c r="C480" t="s">
        <v>6</v>
      </c>
      <c r="D480" t="s">
        <v>237</v>
      </c>
      <c r="E480" t="s">
        <v>237</v>
      </c>
      <c r="F480">
        <v>1</v>
      </c>
      <c r="G480" s="2" t="s">
        <v>446</v>
      </c>
      <c r="H480" s="2">
        <f>INDEX(Data!G:G,MATCH(G480,Data!A:A,0),1)</f>
        <v>0.28693460797283676</v>
      </c>
      <c r="I480" s="2">
        <f>INDEX(Data!J:J,MATCH(G480,Data!A:A,0),1)</f>
        <v>0.24234523094630439</v>
      </c>
      <c r="J480" s="2">
        <f>INDEX(Data!R:R,MATCH(G480,Data!A:A,0),1)</f>
        <v>2.4768000000000003</v>
      </c>
      <c r="K480" s="2">
        <f>INDEX(Data!S:S,MATCH(G480,Data!A:A,0),1)</f>
        <v>0</v>
      </c>
      <c r="L480" t="str">
        <f t="shared" si="7"/>
        <v>Production or processing of non-ferrous metals_Manufacture of tubes, pipes, hollow profiles and related fittings, of steel</v>
      </c>
      <c r="M480">
        <f>INDEX(Data!AD:AD,MATCH($G480,Data!$A:$A,0),1)</f>
        <v>0.48099999999999998</v>
      </c>
      <c r="N480">
        <f>INDEX(Data!AE:AE,MATCH($G480,Data!$A:$A,0),1)</f>
        <v>0.41199999999999998</v>
      </c>
      <c r="O480">
        <f>INDEX(Data!AG:AG,MATCH($G480,Data!$A:$A,0),1)</f>
        <v>1.2895889249131132</v>
      </c>
      <c r="P480">
        <f>INDEX(Data!AH:AH,MATCH($G480,Data!$A:$A,0),1)</f>
        <v>0.59422748497442568</v>
      </c>
      <c r="Q480">
        <f>IFERROR(IF(MATCH(B480,#REF!,0)&gt;0,1),0)</f>
        <v>0</v>
      </c>
    </row>
    <row r="481" spans="1:17" x14ac:dyDescent="0.2">
      <c r="A481" t="s">
        <v>9</v>
      </c>
      <c r="B481" t="s">
        <v>75</v>
      </c>
      <c r="C481" t="s">
        <v>6</v>
      </c>
      <c r="D481" t="s">
        <v>256</v>
      </c>
      <c r="E481" t="s">
        <v>76</v>
      </c>
      <c r="F481">
        <v>18</v>
      </c>
      <c r="G481" t="s">
        <v>353</v>
      </c>
      <c r="H481" s="2">
        <f>INDEX(Data!G:G,MATCH(G481,Data!A:A,0),1)</f>
        <v>1.92</v>
      </c>
      <c r="I481" s="2">
        <f>INDEX(Data!J:J,MATCH(G481,Data!A:A,0),1)</f>
        <v>1.92</v>
      </c>
      <c r="J481" s="2">
        <f>INDEX(Data!R:R,MATCH(G481,Data!A:A,0),1)</f>
        <v>2.2680000000000002</v>
      </c>
      <c r="K481" s="2">
        <f>INDEX(Data!S:S,MATCH(G481,Data!A:A,0),1)</f>
        <v>0</v>
      </c>
      <c r="L481" t="str">
        <f t="shared" si="7"/>
        <v>Production or processing of non-ferrous metals_Lead, zinc and tin production</v>
      </c>
      <c r="M481">
        <f>INDEX(Data!AD:AD,MATCH($G481,Data!$A:$A,0),1)</f>
        <v>0.80400000000000005</v>
      </c>
      <c r="N481">
        <f>INDEX(Data!AE:AE,MATCH($G481,Data!$A:$A,0),1)</f>
        <v>0.85799999999999998</v>
      </c>
      <c r="O481">
        <f>INDEX(Data!AG:AG,MATCH($G481,Data!$A:$A,0),1)</f>
        <v>1</v>
      </c>
      <c r="P481">
        <f>INDEX(Data!AH:AH,MATCH($G481,Data!$A:$A,0),1)</f>
        <v>1</v>
      </c>
      <c r="Q481">
        <f>IFERROR(IF(MATCH(B481,#REF!,0)&gt;0,1),0)</f>
        <v>0</v>
      </c>
    </row>
    <row r="482" spans="1:17" x14ac:dyDescent="0.2">
      <c r="A482" t="s">
        <v>9</v>
      </c>
      <c r="B482" t="s">
        <v>255</v>
      </c>
      <c r="C482" t="s">
        <v>6</v>
      </c>
      <c r="D482" t="s">
        <v>256</v>
      </c>
      <c r="E482" t="s">
        <v>256</v>
      </c>
      <c r="F482">
        <v>1</v>
      </c>
      <c r="G482" t="s">
        <v>354</v>
      </c>
      <c r="H482" s="2">
        <f>INDEX(Data!G:G,MATCH(G482,Data!A:A,0),1)</f>
        <v>1.6536666666666668</v>
      </c>
      <c r="I482" s="2">
        <f>INDEX(Data!J:J,MATCH(G482,Data!A:A,0),1)</f>
        <v>1.5946666666666667</v>
      </c>
      <c r="J482" s="2">
        <f>INDEX(Data!R:R,MATCH(G482,Data!A:A,0),1)</f>
        <v>2.2680000000000002</v>
      </c>
      <c r="K482" s="2">
        <f>INDEX(Data!S:S,MATCH(G482,Data!A:A,0),1)</f>
        <v>0</v>
      </c>
      <c r="L482" t="str">
        <f t="shared" si="7"/>
        <v>Production or processing of non-ferrous metals_Other non-ferrous metal production</v>
      </c>
      <c r="M482">
        <f>INDEX(Data!AD:AD,MATCH($G482,Data!$A:$A,0),1)</f>
        <v>0.80400000000000005</v>
      </c>
      <c r="N482">
        <f>INDEX(Data!AE:AE,MATCH($G482,Data!$A:$A,0),1)</f>
        <v>0.85799999999999998</v>
      </c>
      <c r="O482">
        <f>INDEX(Data!AG:AG,MATCH($G482,Data!$A:$A,0),1)</f>
        <v>1</v>
      </c>
      <c r="P482">
        <f>INDEX(Data!AH:AH,MATCH($G482,Data!$A:$A,0),1)</f>
        <v>1</v>
      </c>
      <c r="Q482">
        <f>IFERROR(IF(MATCH(B482,#REF!,0)&gt;0,1),0)</f>
        <v>0</v>
      </c>
    </row>
    <row r="483" spans="1:17" x14ac:dyDescent="0.2">
      <c r="A483" t="s">
        <v>9</v>
      </c>
      <c r="B483" t="s">
        <v>129</v>
      </c>
      <c r="C483" t="s">
        <v>127</v>
      </c>
      <c r="D483" t="s">
        <v>403</v>
      </c>
      <c r="E483" t="s">
        <v>15</v>
      </c>
      <c r="F483">
        <v>1</v>
      </c>
      <c r="G483" t="s">
        <v>325</v>
      </c>
      <c r="H483" s="2">
        <f>INDEX(Data!G:G,MATCH(G483,Data!A:A,0),1)</f>
        <v>5.79E-2</v>
      </c>
      <c r="I483" s="2">
        <f>INDEX(Data!J:J,MATCH(G483,Data!A:A,0),1)</f>
        <v>4.2599999999999999E-2</v>
      </c>
      <c r="J483" s="2">
        <f>INDEX(Data!R:R,MATCH(G483,Data!A:A,0),1)</f>
        <v>1</v>
      </c>
      <c r="K483" s="2">
        <f>INDEX(Data!S:S,MATCH(G483,Data!A:A,0),1)</f>
        <v>0</v>
      </c>
      <c r="L483" t="str">
        <f t="shared" si="7"/>
        <v>Production or processing of non-ferrous metals_Manufacture of electric motors, generators, transformers and electricity distribution and control apparatus</v>
      </c>
      <c r="M483">
        <f>INDEX(Data!AD:AD,MATCH($G483,Data!$A:$A,0),1)</f>
        <v>0.78200000000000003</v>
      </c>
      <c r="N483">
        <f>INDEX(Data!AE:AE,MATCH($G483,Data!$A:$A,0),1)</f>
        <v>0.63500000000000001</v>
      </c>
      <c r="O483">
        <f>INDEX(Data!AG:AG,MATCH($G483,Data!$A:$A,0),1)</f>
        <v>1.1486856676492798</v>
      </c>
      <c r="P483">
        <f>INDEX(Data!AH:AH,MATCH($G483,Data!$A:$A,0),1)</f>
        <v>1.7068864766411047</v>
      </c>
      <c r="Q483">
        <f>IFERROR(IF(MATCH(B483,#REF!,0)&gt;0,1),0)</f>
        <v>0</v>
      </c>
    </row>
    <row r="484" spans="1:17" x14ac:dyDescent="0.2">
      <c r="A484" t="s">
        <v>9</v>
      </c>
      <c r="B484" t="s">
        <v>47</v>
      </c>
      <c r="C484" t="s">
        <v>44</v>
      </c>
      <c r="D484" t="s">
        <v>45</v>
      </c>
      <c r="E484" t="s">
        <v>45</v>
      </c>
      <c r="F484">
        <v>1</v>
      </c>
      <c r="G484" t="s">
        <v>325</v>
      </c>
      <c r="H484" s="2">
        <f>INDEX(Data!G:G,MATCH(G484,Data!A:A,0),1)</f>
        <v>5.79E-2</v>
      </c>
      <c r="I484" s="2">
        <f>INDEX(Data!J:J,MATCH(G484,Data!A:A,0),1)</f>
        <v>4.2599999999999999E-2</v>
      </c>
      <c r="J484" s="2">
        <f>INDEX(Data!R:R,MATCH(G484,Data!A:A,0),1)</f>
        <v>1</v>
      </c>
      <c r="K484" s="2">
        <f>INDEX(Data!S:S,MATCH(G484,Data!A:A,0),1)</f>
        <v>0</v>
      </c>
      <c r="L484" t="str">
        <f t="shared" si="7"/>
        <v>Production or processing of non-ferrous metals_Electric power generation, transmission and distribution</v>
      </c>
      <c r="M484">
        <f>INDEX(Data!AD:AD,MATCH($G484,Data!$A:$A,0),1)</f>
        <v>0.78200000000000003</v>
      </c>
      <c r="N484">
        <f>INDEX(Data!AE:AE,MATCH($G484,Data!$A:$A,0),1)</f>
        <v>0.63500000000000001</v>
      </c>
      <c r="O484">
        <f>INDEX(Data!AG:AG,MATCH($G484,Data!$A:$A,0),1)</f>
        <v>1.1486856676492798</v>
      </c>
      <c r="P484">
        <f>INDEX(Data!AH:AH,MATCH($G484,Data!$A:$A,0),1)</f>
        <v>1.7068864766411047</v>
      </c>
      <c r="Q484">
        <f>IFERROR(IF(MATCH(B484,#REF!,0)&gt;0,1),0)</f>
        <v>0</v>
      </c>
    </row>
    <row r="485" spans="1:17" x14ac:dyDescent="0.2">
      <c r="A485" s="2" t="s">
        <v>9</v>
      </c>
      <c r="D485" t="s">
        <v>256</v>
      </c>
      <c r="E485">
        <v>0</v>
      </c>
      <c r="G485" s="2" t="s">
        <v>354</v>
      </c>
      <c r="H485" s="2">
        <f>INDEX(Data!G:G,MATCH(G485,Data!A:A,0),1)</f>
        <v>1.6536666666666668</v>
      </c>
      <c r="I485" s="2">
        <f>INDEX(Data!J:J,MATCH(G485,Data!A:A,0),1)</f>
        <v>1.5946666666666667</v>
      </c>
      <c r="J485" s="2">
        <f>INDEX(Data!R:R,MATCH(G485,Data!A:A,0),1)</f>
        <v>2.2680000000000002</v>
      </c>
      <c r="K485" s="2">
        <f>INDEX(Data!S:S,MATCH(G485,Data!A:A,0),1)</f>
        <v>0</v>
      </c>
      <c r="L485" t="str">
        <f t="shared" si="7"/>
        <v>Production or processing of non-ferrous metals</v>
      </c>
      <c r="M485">
        <f>INDEX(Data!AD:AD,MATCH($G485,Data!$A:$A,0),1)</f>
        <v>0.80400000000000005</v>
      </c>
      <c r="N485">
        <f>INDEX(Data!AE:AE,MATCH($G485,Data!$A:$A,0),1)</f>
        <v>0.85799999999999998</v>
      </c>
      <c r="O485">
        <f>INDEX(Data!AG:AG,MATCH($G485,Data!$A:$A,0),1)</f>
        <v>1</v>
      </c>
      <c r="P485">
        <f>INDEX(Data!AH:AH,MATCH($G485,Data!$A:$A,0),1)</f>
        <v>1</v>
      </c>
      <c r="Q485">
        <f>IFERROR(IF(MATCH(B485,#REF!,0)&gt;0,1),0)</f>
        <v>0</v>
      </c>
    </row>
    <row r="486" spans="1:17" x14ac:dyDescent="0.2">
      <c r="A486" t="s">
        <v>52</v>
      </c>
      <c r="B486" t="s">
        <v>152</v>
      </c>
      <c r="C486" t="s">
        <v>95</v>
      </c>
      <c r="D486" t="s">
        <v>95</v>
      </c>
      <c r="E486" t="s">
        <v>95</v>
      </c>
      <c r="F486">
        <v>1</v>
      </c>
      <c r="G486" t="s">
        <v>339</v>
      </c>
      <c r="H486" s="2">
        <f>INDEX(Data!G:G,MATCH(G486,Data!A:A,0),1)</f>
        <v>8.4591606470324017</v>
      </c>
      <c r="I486" s="2">
        <f>INDEX(Data!J:J,MATCH(G486,Data!A:A,0),1)</f>
        <v>6.4483962143983575</v>
      </c>
      <c r="J486" s="2">
        <f>INDEX(Data!R:R,MATCH(G486,Data!A:A,0),1)</f>
        <v>0</v>
      </c>
      <c r="K486" s="2">
        <f>INDEX(Data!S:S,MATCH(G486,Data!A:A,0),1)</f>
        <v>120.04801920768308</v>
      </c>
      <c r="L486" t="str">
        <f t="shared" si="7"/>
        <v>Refining of mineral oil_Manufacture of industrial gases</v>
      </c>
      <c r="M486">
        <f>INDEX(Data!AD:AD,MATCH($G486,Data!$A:$A,0),1)</f>
        <v>0.81200000000000017</v>
      </c>
      <c r="N486">
        <f>INDEX(Data!AE:AE,MATCH($G486,Data!$A:$A,0),1)</f>
        <v>0.7390000000000001</v>
      </c>
      <c r="O486">
        <f>INDEX(Data!AG:AG,MATCH($G486,Data!$A:$A,0),1)</f>
        <v>1.2983191848894988</v>
      </c>
      <c r="P486">
        <f>INDEX(Data!AH:AH,MATCH($G486,Data!$A:$A,0),1)</f>
        <v>4.8395672422172114</v>
      </c>
      <c r="Q486">
        <f>IFERROR(IF(MATCH(B486,#REF!,0)&gt;0,1),0)</f>
        <v>0</v>
      </c>
    </row>
    <row r="487" spans="1:17" x14ac:dyDescent="0.2">
      <c r="A487" t="s">
        <v>52</v>
      </c>
      <c r="B487" t="s">
        <v>53</v>
      </c>
      <c r="C487" t="s">
        <v>54</v>
      </c>
      <c r="D487" t="s">
        <v>403</v>
      </c>
      <c r="E487" t="s">
        <v>55</v>
      </c>
      <c r="F487">
        <v>1</v>
      </c>
      <c r="G487" t="s">
        <v>325</v>
      </c>
      <c r="H487" s="2">
        <f>INDEX(Data!G:G,MATCH(G487,Data!A:A,0),1)</f>
        <v>5.79E-2</v>
      </c>
      <c r="I487" s="2">
        <f>INDEX(Data!J:J,MATCH(G487,Data!A:A,0),1)</f>
        <v>4.2599999999999999E-2</v>
      </c>
      <c r="J487" s="2">
        <f>INDEX(Data!R:R,MATCH(G487,Data!A:A,0),1)</f>
        <v>1</v>
      </c>
      <c r="K487" s="2">
        <f>INDEX(Data!S:S,MATCH(G487,Data!A:A,0),1)</f>
        <v>0</v>
      </c>
      <c r="L487" t="str">
        <f t="shared" si="7"/>
        <v>Refining of mineral oil_Extraction of crude petroleum</v>
      </c>
      <c r="M487">
        <f>INDEX(Data!AD:AD,MATCH($G487,Data!$A:$A,0),1)</f>
        <v>0.78200000000000003</v>
      </c>
      <c r="N487">
        <f>INDEX(Data!AE:AE,MATCH($G487,Data!$A:$A,0),1)</f>
        <v>0.63500000000000001</v>
      </c>
      <c r="O487">
        <f>INDEX(Data!AG:AG,MATCH($G487,Data!$A:$A,0),1)</f>
        <v>1.1486856676492798</v>
      </c>
      <c r="P487">
        <f>INDEX(Data!AH:AH,MATCH($G487,Data!$A:$A,0),1)</f>
        <v>1.7068864766411047</v>
      </c>
      <c r="Q487">
        <f>IFERROR(IF(MATCH(B487,#REF!,0)&gt;0,1),0)</f>
        <v>0</v>
      </c>
    </row>
    <row r="488" spans="1:17" x14ac:dyDescent="0.2">
      <c r="A488" t="s">
        <v>52</v>
      </c>
      <c r="B488" t="s">
        <v>47</v>
      </c>
      <c r="C488" t="s">
        <v>44</v>
      </c>
      <c r="D488" t="s">
        <v>45</v>
      </c>
      <c r="E488" t="s">
        <v>45</v>
      </c>
      <c r="F488">
        <v>1</v>
      </c>
      <c r="G488" t="s">
        <v>325</v>
      </c>
      <c r="H488" s="2">
        <f>INDEX(Data!G:G,MATCH(G488,Data!A:A,0),1)</f>
        <v>5.79E-2</v>
      </c>
      <c r="I488" s="2">
        <f>INDEX(Data!J:J,MATCH(G488,Data!A:A,0),1)</f>
        <v>4.2599999999999999E-2</v>
      </c>
      <c r="J488" s="2">
        <f>INDEX(Data!R:R,MATCH(G488,Data!A:A,0),1)</f>
        <v>1</v>
      </c>
      <c r="K488" s="2">
        <f>INDEX(Data!S:S,MATCH(G488,Data!A:A,0),1)</f>
        <v>0</v>
      </c>
      <c r="L488" t="str">
        <f t="shared" si="7"/>
        <v>Refining of mineral oil_Electric power generation, transmission and distribution</v>
      </c>
      <c r="M488">
        <f>INDEX(Data!AD:AD,MATCH($G488,Data!$A:$A,0),1)</f>
        <v>0.78200000000000003</v>
      </c>
      <c r="N488">
        <f>INDEX(Data!AE:AE,MATCH($G488,Data!$A:$A,0),1)</f>
        <v>0.63500000000000001</v>
      </c>
      <c r="O488">
        <f>INDEX(Data!AG:AG,MATCH($G488,Data!$A:$A,0),1)</f>
        <v>1.1486856676492798</v>
      </c>
      <c r="P488">
        <f>INDEX(Data!AH:AH,MATCH($G488,Data!$A:$A,0),1)</f>
        <v>1.7068864766411047</v>
      </c>
      <c r="Q488">
        <f>IFERROR(IF(MATCH(B488,#REF!,0)&gt;0,1),0)</f>
        <v>0</v>
      </c>
    </row>
    <row r="489" spans="1:17" x14ac:dyDescent="0.2">
      <c r="A489" t="s">
        <v>52</v>
      </c>
      <c r="B489" t="s">
        <v>140</v>
      </c>
      <c r="C489" t="s">
        <v>44</v>
      </c>
      <c r="D489" t="s">
        <v>45</v>
      </c>
      <c r="E489" t="s">
        <v>45</v>
      </c>
      <c r="F489">
        <v>1</v>
      </c>
      <c r="G489" t="s">
        <v>325</v>
      </c>
      <c r="H489" s="2">
        <f>INDEX(Data!G:G,MATCH(G489,Data!A:A,0),1)</f>
        <v>5.79E-2</v>
      </c>
      <c r="I489" s="2">
        <f>INDEX(Data!J:J,MATCH(G489,Data!A:A,0),1)</f>
        <v>4.2599999999999999E-2</v>
      </c>
      <c r="J489" s="2">
        <f>INDEX(Data!R:R,MATCH(G489,Data!A:A,0),1)</f>
        <v>1</v>
      </c>
      <c r="K489" s="2">
        <f>INDEX(Data!S:S,MATCH(G489,Data!A:A,0),1)</f>
        <v>0</v>
      </c>
      <c r="L489" t="str">
        <f t="shared" si="7"/>
        <v>Refining of mineral oil_Manufacture of gas</v>
      </c>
      <c r="M489">
        <f>INDEX(Data!AD:AD,MATCH($G489,Data!$A:$A,0),1)</f>
        <v>0.78200000000000003</v>
      </c>
      <c r="N489">
        <f>INDEX(Data!AE:AE,MATCH($G489,Data!$A:$A,0),1)</f>
        <v>0.63500000000000001</v>
      </c>
      <c r="O489">
        <f>INDEX(Data!AG:AG,MATCH($G489,Data!$A:$A,0),1)</f>
        <v>1.1486856676492798</v>
      </c>
      <c r="P489">
        <f>INDEX(Data!AH:AH,MATCH($G489,Data!$A:$A,0),1)</f>
        <v>1.7068864766411047</v>
      </c>
      <c r="Q489">
        <f>IFERROR(IF(MATCH(B489,#REF!,0)&gt;0,1),0)</f>
        <v>0</v>
      </c>
    </row>
    <row r="490" spans="1:17" x14ac:dyDescent="0.2">
      <c r="A490" t="s">
        <v>52</v>
      </c>
      <c r="B490" t="s">
        <v>282</v>
      </c>
      <c r="C490" t="s">
        <v>44</v>
      </c>
      <c r="D490" t="s">
        <v>45</v>
      </c>
      <c r="E490" t="s">
        <v>45</v>
      </c>
      <c r="F490">
        <v>1</v>
      </c>
      <c r="G490" t="s">
        <v>325</v>
      </c>
      <c r="H490" s="2">
        <f>INDEX(Data!G:G,MATCH(G490,Data!A:A,0),1)</f>
        <v>5.79E-2</v>
      </c>
      <c r="I490" s="2">
        <f>INDEX(Data!J:J,MATCH(G490,Data!A:A,0),1)</f>
        <v>4.2599999999999999E-2</v>
      </c>
      <c r="J490" s="2">
        <f>INDEX(Data!R:R,MATCH(G490,Data!A:A,0),1)</f>
        <v>1</v>
      </c>
      <c r="K490" s="2">
        <f>INDEX(Data!S:S,MATCH(G490,Data!A:A,0),1)</f>
        <v>0</v>
      </c>
      <c r="L490" t="str">
        <f t="shared" si="7"/>
        <v>Refining of mineral oil_Production of electricity</v>
      </c>
      <c r="M490">
        <f>INDEX(Data!AD:AD,MATCH($G490,Data!$A:$A,0),1)</f>
        <v>0.78200000000000003</v>
      </c>
      <c r="N490">
        <f>INDEX(Data!AE:AE,MATCH($G490,Data!$A:$A,0),1)</f>
        <v>0.63500000000000001</v>
      </c>
      <c r="O490">
        <f>INDEX(Data!AG:AG,MATCH($G490,Data!$A:$A,0),1)</f>
        <v>1.1486856676492798</v>
      </c>
      <c r="P490">
        <f>INDEX(Data!AH:AH,MATCH($G490,Data!$A:$A,0),1)</f>
        <v>1.7068864766411047</v>
      </c>
      <c r="Q490">
        <f>IFERROR(IF(MATCH(B490,#REF!,0)&gt;0,1),0)</f>
        <v>0</v>
      </c>
    </row>
    <row r="491" spans="1:17" x14ac:dyDescent="0.2">
      <c r="A491" t="s">
        <v>52</v>
      </c>
      <c r="B491" t="s">
        <v>223</v>
      </c>
      <c r="C491" t="s">
        <v>115</v>
      </c>
      <c r="D491" t="s">
        <v>224</v>
      </c>
      <c r="E491" t="s">
        <v>224</v>
      </c>
      <c r="F491">
        <v>100</v>
      </c>
      <c r="G491" t="s">
        <v>333</v>
      </c>
      <c r="H491" s="2">
        <f>INDEX(Data!G:G,MATCH(G491,Data!A:A,0),1)</f>
        <v>0.55000000000000004</v>
      </c>
      <c r="I491" s="2">
        <f>INDEX(Data!J:J,MATCH(G491,Data!A:A,0),1)</f>
        <v>0.40714285714285714</v>
      </c>
      <c r="J491" s="2">
        <f>INDEX(Data!R:R,MATCH(G491,Data!A:A,0),1)</f>
        <v>0</v>
      </c>
      <c r="K491" s="2">
        <f>INDEX(Data!S:S,MATCH(G491,Data!A:A,0),1)</f>
        <v>0.432</v>
      </c>
      <c r="L491" t="str">
        <f t="shared" si="7"/>
        <v>Refining of mineral oil_Manufacture of refined petroleum products</v>
      </c>
      <c r="M491">
        <f>INDEX(Data!AD:AD,MATCH($G491,Data!$A:$A,0),1)</f>
        <v>0.72599999999999998</v>
      </c>
      <c r="N491">
        <f>INDEX(Data!AE:AE,MATCH($G491,Data!$A:$A,0),1)</f>
        <v>0.30499999999999999</v>
      </c>
      <c r="O491">
        <f>INDEX(Data!AG:AG,MATCH($G491,Data!$A:$A,0),1)</f>
        <v>0.63412830119313213</v>
      </c>
      <c r="P491">
        <f>INDEX(Data!AH:AH,MATCH($G491,Data!$A:$A,0),1)</f>
        <v>8.240093553846331E-2</v>
      </c>
      <c r="Q491">
        <f>IFERROR(IF(MATCH(B491,#REF!,0)&gt;0,1),0)</f>
        <v>0</v>
      </c>
    </row>
    <row r="492" spans="1:17" x14ac:dyDescent="0.2">
      <c r="A492" s="2" t="s">
        <v>52</v>
      </c>
      <c r="D492" t="s">
        <v>224</v>
      </c>
      <c r="G492" s="2" t="s">
        <v>333</v>
      </c>
      <c r="H492" s="2">
        <f>INDEX(Data!G:G,MATCH(G492,Data!A:A,0),1)</f>
        <v>0.55000000000000004</v>
      </c>
      <c r="I492" s="2">
        <f>INDEX(Data!J:J,MATCH(G492,Data!A:A,0),1)</f>
        <v>0.40714285714285714</v>
      </c>
      <c r="J492" s="2">
        <f>INDEX(Data!R:R,MATCH(G492,Data!A:A,0),1)</f>
        <v>0</v>
      </c>
      <c r="K492" s="2">
        <f>INDEX(Data!S:S,MATCH(G492,Data!A:A,0),1)</f>
        <v>0.432</v>
      </c>
      <c r="L492" t="str">
        <f t="shared" si="7"/>
        <v>Refining of mineral oil</v>
      </c>
      <c r="M492">
        <f>INDEX(Data!AD:AD,MATCH($G492,Data!$A:$A,0),1)</f>
        <v>0.72599999999999998</v>
      </c>
      <c r="N492">
        <f>INDEX(Data!AE:AE,MATCH($G492,Data!$A:$A,0),1)</f>
        <v>0.30499999999999999</v>
      </c>
      <c r="O492">
        <f>INDEX(Data!AG:AG,MATCH($G492,Data!$A:$A,0),1)</f>
        <v>0.63412830119313213</v>
      </c>
      <c r="P492">
        <f>INDEX(Data!AH:AH,MATCH($G492,Data!$A:$A,0),1)</f>
        <v>8.240093553846331E-2</v>
      </c>
      <c r="Q492">
        <f>IFERROR(IF(MATCH(B492,#REF!,0)&gt;0,1),0)</f>
        <v>0</v>
      </c>
    </row>
  </sheetData>
  <autoFilter ref="A1:L492" xr:uid="{692529B1-990E-4A36-A39E-CB671DA8004D}">
    <sortState xmlns:xlrd2="http://schemas.microsoft.com/office/spreadsheetml/2017/richdata2" ref="A2:L492">
      <sortCondition ref="A1:A492"/>
    </sortState>
  </autoFilter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204E6-C829-F941-A021-ACAB2A97587A}">
  <dimension ref="K31"/>
  <sheetViews>
    <sheetView workbookViewId="0">
      <selection activeCell="K31" sqref="K31"/>
    </sheetView>
  </sheetViews>
  <sheetFormatPr baseColWidth="10" defaultRowHeight="15" x14ac:dyDescent="0.2"/>
  <sheetData>
    <row r="31" spans="11:11" x14ac:dyDescent="0.2">
      <c r="K31">
        <f>375+150+200+50</f>
        <v>775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9CACE-C11B-4CD2-968D-84ED2409367C}">
  <dimension ref="A1:AH92"/>
  <sheetViews>
    <sheetView showGridLines="0" tabSelected="1" zoomScale="107" zoomScaleNormal="77" workbookViewId="0">
      <pane xSplit="1" topLeftCell="AC1" activePane="topRight" state="frozen"/>
      <selection activeCell="B2" sqref="B2"/>
      <selection pane="topRight" activeCell="AD31" sqref="AD31"/>
    </sheetView>
  </sheetViews>
  <sheetFormatPr baseColWidth="10" defaultColWidth="8.83203125" defaultRowHeight="14" outlineLevelCol="1" x14ac:dyDescent="0.15"/>
  <cols>
    <col min="1" max="1" width="65.33203125" style="4" customWidth="1"/>
    <col min="2" max="2" width="23.1640625" style="4" customWidth="1"/>
    <col min="3" max="3" width="19.6640625" style="4" customWidth="1"/>
    <col min="4" max="4" width="20.6640625" style="4" customWidth="1"/>
    <col min="5" max="5" width="18.5" style="4" bestFit="1" customWidth="1"/>
    <col min="6" max="6" width="2.1640625" style="4" customWidth="1"/>
    <col min="7" max="7" width="11.83203125" style="4" bestFit="1" customWidth="1"/>
    <col min="8" max="8" width="16.1640625" style="4" bestFit="1" customWidth="1"/>
    <col min="9" max="9" width="1.83203125" style="4" customWidth="1"/>
    <col min="10" max="10" width="12.33203125" style="4" customWidth="1"/>
    <col min="11" max="11" width="14.83203125" style="4" customWidth="1"/>
    <col min="12" max="12" width="1.33203125" style="4" customWidth="1"/>
    <col min="13" max="13" width="28.5" style="4" customWidth="1"/>
    <col min="14" max="14" width="37.1640625" style="4" customWidth="1"/>
    <col min="15" max="15" width="65.83203125" style="4" customWidth="1"/>
    <col min="16" max="16" width="26.83203125" style="25" customWidth="1"/>
    <col min="17" max="17" width="23.5" style="4" customWidth="1"/>
    <col min="18" max="19" width="19.5" style="24" customWidth="1"/>
    <col min="20" max="22" width="19.5" style="4" hidden="1" customWidth="1" outlineLevel="1"/>
    <col min="23" max="23" width="22.83203125" style="4" hidden="1" customWidth="1" outlineLevel="1"/>
    <col min="24" max="24" width="22" style="4" hidden="1" customWidth="1" outlineLevel="1"/>
    <col min="25" max="25" width="8.83203125" style="4" hidden="1" customWidth="1" outlineLevel="1"/>
    <col min="26" max="26" width="15.33203125" style="4" hidden="1" customWidth="1" outlineLevel="1"/>
    <col min="27" max="27" width="20.83203125" style="4" hidden="1" customWidth="1" outlineLevel="1"/>
    <col min="28" max="28" width="6.5" style="4" customWidth="1" collapsed="1"/>
    <col min="29" max="29" width="31.83203125" style="4" customWidth="1"/>
    <col min="30" max="31" width="19" style="24" customWidth="1"/>
    <col min="32" max="32" width="31.83203125" style="4" customWidth="1"/>
    <col min="33" max="34" width="19" style="24" customWidth="1"/>
    <col min="35" max="16384" width="8.83203125" style="4"/>
  </cols>
  <sheetData>
    <row r="1" spans="1:34" ht="18" customHeight="1" thickBot="1" x14ac:dyDescent="0.2">
      <c r="B1" s="30" t="s">
        <v>468</v>
      </c>
      <c r="C1" s="31"/>
      <c r="D1" s="31"/>
      <c r="E1" s="31"/>
      <c r="G1" s="30" t="s">
        <v>469</v>
      </c>
      <c r="H1" s="31"/>
      <c r="I1" s="31"/>
      <c r="J1" s="31"/>
      <c r="K1" s="31"/>
      <c r="M1" s="32" t="s">
        <v>445</v>
      </c>
      <c r="N1" s="32" t="s">
        <v>423</v>
      </c>
      <c r="O1" s="32" t="s">
        <v>425</v>
      </c>
      <c r="P1" s="32" t="s">
        <v>458</v>
      </c>
      <c r="Q1" s="32" t="s">
        <v>479</v>
      </c>
      <c r="R1" s="32" t="s">
        <v>477</v>
      </c>
      <c r="S1" s="32" t="s">
        <v>478</v>
      </c>
      <c r="AC1" s="32" t="s">
        <v>425</v>
      </c>
      <c r="AD1" s="30" t="s">
        <v>499</v>
      </c>
      <c r="AE1" s="31"/>
      <c r="AF1" s="32" t="s">
        <v>425</v>
      </c>
      <c r="AG1" s="30" t="s">
        <v>500</v>
      </c>
      <c r="AH1" s="31"/>
    </row>
    <row r="2" spans="1:34" s="5" customFormat="1" ht="14" customHeight="1" x14ac:dyDescent="0.15">
      <c r="B2" s="5" t="s">
        <v>464</v>
      </c>
      <c r="C2" s="5" t="s">
        <v>465</v>
      </c>
      <c r="D2" s="5" t="s">
        <v>466</v>
      </c>
      <c r="E2" s="5" t="s">
        <v>467</v>
      </c>
      <c r="G2" s="5" t="s">
        <v>470</v>
      </c>
      <c r="J2" s="5" t="s">
        <v>471</v>
      </c>
      <c r="M2" s="5" t="s">
        <v>445</v>
      </c>
      <c r="N2" s="5" t="s">
        <v>504</v>
      </c>
      <c r="O2" s="5" t="s">
        <v>425</v>
      </c>
      <c r="P2" s="33" t="s">
        <v>460</v>
      </c>
      <c r="R2" s="34" t="s">
        <v>419</v>
      </c>
      <c r="S2" s="34" t="s">
        <v>419</v>
      </c>
      <c r="T2" s="5" t="s">
        <v>449</v>
      </c>
      <c r="U2" s="5" t="s">
        <v>450</v>
      </c>
      <c r="V2" s="5" t="s">
        <v>416</v>
      </c>
      <c r="W2" s="5" t="s">
        <v>417</v>
      </c>
      <c r="X2" s="5" t="s">
        <v>418</v>
      </c>
      <c r="Z2" s="5" t="s">
        <v>420</v>
      </c>
      <c r="AA2" s="5" t="s">
        <v>421</v>
      </c>
      <c r="AD2" s="34" t="s">
        <v>492</v>
      </c>
      <c r="AE2" s="34" t="s">
        <v>493</v>
      </c>
      <c r="AG2" s="34" t="s">
        <v>492</v>
      </c>
      <c r="AH2" s="34" t="s">
        <v>493</v>
      </c>
    </row>
    <row r="3" spans="1:34" x14ac:dyDescent="0.15">
      <c r="G3" s="4" t="s">
        <v>459</v>
      </c>
      <c r="H3" s="4" t="s">
        <v>460</v>
      </c>
      <c r="J3" s="4" t="s">
        <v>459</v>
      </c>
      <c r="K3" s="4" t="s">
        <v>460</v>
      </c>
      <c r="W3" s="4" t="s">
        <v>419</v>
      </c>
      <c r="X3" s="4" t="s">
        <v>419</v>
      </c>
    </row>
    <row r="4" spans="1:34" s="23" customFormat="1" x14ac:dyDescent="0.15">
      <c r="A4" s="22" t="s">
        <v>256</v>
      </c>
      <c r="P4" s="26"/>
      <c r="R4" s="28"/>
      <c r="S4" s="28"/>
      <c r="AD4" s="28"/>
      <c r="AE4" s="28"/>
      <c r="AG4" s="28"/>
      <c r="AH4" s="28"/>
    </row>
    <row r="5" spans="1:34" x14ac:dyDescent="0.15">
      <c r="A5" s="5" t="s">
        <v>324</v>
      </c>
      <c r="B5" s="6"/>
      <c r="C5" s="6"/>
      <c r="D5" s="6"/>
      <c r="E5" s="6"/>
      <c r="G5" s="7">
        <v>1.641</v>
      </c>
      <c r="H5" s="8"/>
      <c r="J5" s="7">
        <v>1.464</v>
      </c>
      <c r="K5" s="8"/>
      <c r="M5" s="4" t="s">
        <v>428</v>
      </c>
      <c r="N5" s="4" t="s">
        <v>424</v>
      </c>
      <c r="P5" s="25">
        <f>IFERROR(K5/J5,0)</f>
        <v>0</v>
      </c>
      <c r="Q5" s="4" t="s">
        <v>480</v>
      </c>
      <c r="R5" s="29">
        <f>(1.28+0.4+0.3)*3.6+(0.69+0.67)*3.6</f>
        <v>12.024000000000001</v>
      </c>
      <c r="S5" s="29">
        <v>0</v>
      </c>
      <c r="T5" s="9"/>
      <c r="U5" s="9"/>
      <c r="V5" s="9">
        <v>25</v>
      </c>
      <c r="W5" s="10">
        <v>34</v>
      </c>
      <c r="X5" s="9"/>
      <c r="Z5" s="10"/>
      <c r="AA5" s="9"/>
      <c r="AC5" s="4" t="s">
        <v>256</v>
      </c>
      <c r="AD5" s="29">
        <v>0.80400000000000005</v>
      </c>
      <c r="AE5" s="29">
        <v>0.85799999999999998</v>
      </c>
      <c r="AF5" s="4" t="s">
        <v>256</v>
      </c>
      <c r="AG5" s="29">
        <v>1.3517721377141791</v>
      </c>
      <c r="AH5" s="29">
        <v>3.1982577724511621</v>
      </c>
    </row>
    <row r="6" spans="1:34" x14ac:dyDescent="0.15">
      <c r="A6" s="5" t="s">
        <v>422</v>
      </c>
      <c r="B6" s="6"/>
      <c r="C6" s="6"/>
      <c r="D6" s="6"/>
      <c r="E6" s="6"/>
      <c r="G6" s="7">
        <v>1.4</v>
      </c>
      <c r="H6" s="8"/>
      <c r="J6" s="7">
        <v>1.4</v>
      </c>
      <c r="K6" s="8"/>
      <c r="M6" s="4" t="s">
        <v>428</v>
      </c>
      <c r="N6" s="4" t="s">
        <v>424</v>
      </c>
      <c r="P6" s="25">
        <f t="shared" ref="P6:P8" si="0">IFERROR(K6/J6,0)</f>
        <v>0</v>
      </c>
      <c r="Q6" s="4" t="s">
        <v>480</v>
      </c>
      <c r="R6" s="29">
        <f>1.67*3.6+0.56*3.6</f>
        <v>8.0280000000000005</v>
      </c>
      <c r="S6" s="29">
        <v>0</v>
      </c>
      <c r="T6" s="9"/>
      <c r="U6" s="9"/>
      <c r="V6" s="9"/>
      <c r="W6" s="11">
        <v>11.6</v>
      </c>
      <c r="X6" s="11"/>
      <c r="Z6" s="11"/>
      <c r="AA6" s="11"/>
      <c r="AC6" s="4" t="s">
        <v>256</v>
      </c>
      <c r="AD6" s="29">
        <v>0.80400000000000005</v>
      </c>
      <c r="AE6" s="29">
        <v>0.85799999999999998</v>
      </c>
      <c r="AF6" s="4" t="s">
        <v>256</v>
      </c>
      <c r="AG6" s="29">
        <v>1</v>
      </c>
      <c r="AH6" s="29">
        <v>1</v>
      </c>
    </row>
    <row r="7" spans="1:34" x14ac:dyDescent="0.15">
      <c r="A7" s="5" t="s">
        <v>353</v>
      </c>
      <c r="B7" s="6"/>
      <c r="C7" s="6"/>
      <c r="D7" s="6"/>
      <c r="E7" s="6"/>
      <c r="G7" s="7">
        <v>1.92</v>
      </c>
      <c r="H7" s="8"/>
      <c r="J7" s="7">
        <v>1.92</v>
      </c>
      <c r="K7" s="8"/>
      <c r="M7" s="4" t="s">
        <v>428</v>
      </c>
      <c r="N7" s="4" t="s">
        <v>424</v>
      </c>
      <c r="O7" s="4" t="s">
        <v>426</v>
      </c>
      <c r="P7" s="25">
        <f t="shared" si="0"/>
        <v>0</v>
      </c>
      <c r="Q7" s="4" t="s">
        <v>480</v>
      </c>
      <c r="R7" s="29">
        <f>(0.14+0.14)*3.6+0.35*3.6</f>
        <v>2.2680000000000002</v>
      </c>
      <c r="S7" s="29">
        <v>0</v>
      </c>
      <c r="T7" s="9"/>
      <c r="U7" s="9"/>
      <c r="V7" s="9"/>
      <c r="W7" s="11">
        <v>11.6</v>
      </c>
      <c r="X7" s="11"/>
      <c r="Z7" s="11"/>
      <c r="AA7" s="11"/>
      <c r="AC7" s="4" t="s">
        <v>256</v>
      </c>
      <c r="AD7" s="29">
        <v>0.80400000000000005</v>
      </c>
      <c r="AE7" s="29">
        <v>0.85799999999999998</v>
      </c>
      <c r="AF7" s="4" t="s">
        <v>256</v>
      </c>
      <c r="AG7" s="29">
        <v>1</v>
      </c>
      <c r="AH7" s="29">
        <v>1</v>
      </c>
    </row>
    <row r="8" spans="1:34" x14ac:dyDescent="0.15">
      <c r="A8" s="5" t="s">
        <v>354</v>
      </c>
      <c r="B8" s="6"/>
      <c r="C8" s="6"/>
      <c r="D8" s="6"/>
      <c r="E8" s="6"/>
      <c r="G8" s="7">
        <f>AVERAGE(G5:G7)</f>
        <v>1.6536666666666668</v>
      </c>
      <c r="H8" s="8"/>
      <c r="J8" s="7">
        <f>AVERAGE(J5:J7)</f>
        <v>1.5946666666666667</v>
      </c>
      <c r="K8" s="8"/>
      <c r="M8" s="4" t="s">
        <v>428</v>
      </c>
      <c r="N8" s="4" t="s">
        <v>424</v>
      </c>
      <c r="O8" s="4" t="s">
        <v>426</v>
      </c>
      <c r="P8" s="25">
        <f t="shared" si="0"/>
        <v>0</v>
      </c>
      <c r="Q8" s="4" t="s">
        <v>480</v>
      </c>
      <c r="R8" s="29">
        <f>(0.14+0.14)*3.6+0.35*3.6</f>
        <v>2.2680000000000002</v>
      </c>
      <c r="S8" s="29">
        <v>0</v>
      </c>
      <c r="T8" s="9"/>
      <c r="U8" s="9"/>
      <c r="V8" s="9"/>
      <c r="W8" s="11">
        <v>11.6</v>
      </c>
      <c r="X8" s="11"/>
      <c r="Z8" s="11"/>
      <c r="AA8" s="11"/>
      <c r="AC8" s="4" t="s">
        <v>256</v>
      </c>
      <c r="AD8" s="29">
        <v>0.80400000000000005</v>
      </c>
      <c r="AE8" s="29">
        <v>0.85799999999999998</v>
      </c>
      <c r="AF8" s="4" t="s">
        <v>256</v>
      </c>
      <c r="AG8" s="29">
        <v>1</v>
      </c>
      <c r="AH8" s="29">
        <v>1</v>
      </c>
    </row>
    <row r="9" spans="1:34" s="23" customFormat="1" x14ac:dyDescent="0.15">
      <c r="A9" s="22" t="s">
        <v>95</v>
      </c>
      <c r="P9" s="26"/>
      <c r="R9" s="28"/>
      <c r="S9" s="28"/>
      <c r="AD9" s="28"/>
      <c r="AE9" s="28"/>
      <c r="AG9" s="28"/>
      <c r="AH9" s="28"/>
    </row>
    <row r="10" spans="1:34" x14ac:dyDescent="0.15">
      <c r="A10" s="5" t="s">
        <v>340</v>
      </c>
      <c r="B10" s="6" t="s">
        <v>95</v>
      </c>
      <c r="C10" s="6" t="s">
        <v>370</v>
      </c>
      <c r="D10" s="6" t="s">
        <v>462</v>
      </c>
      <c r="E10" s="6"/>
      <c r="G10" s="6">
        <v>1.9470000000000001</v>
      </c>
      <c r="H10" s="6">
        <v>30588525</v>
      </c>
      <c r="J10" s="6">
        <v>1.57</v>
      </c>
      <c r="K10" s="6">
        <v>23958607</v>
      </c>
      <c r="M10" s="4" t="s">
        <v>428</v>
      </c>
      <c r="N10" s="4" t="s">
        <v>429</v>
      </c>
      <c r="O10" s="4" t="s">
        <v>454</v>
      </c>
      <c r="P10" s="25">
        <f t="shared" ref="P10:P68" si="1">IFERROR(K10/J10,0)</f>
        <v>15260259.23566879</v>
      </c>
      <c r="Q10" s="4" t="s">
        <v>480</v>
      </c>
      <c r="R10" s="29">
        <v>0</v>
      </c>
      <c r="S10" s="29">
        <f>5.92*3.6</f>
        <v>21.312000000000001</v>
      </c>
      <c r="T10" s="9">
        <f>10.9-4.3</f>
        <v>6.6000000000000005</v>
      </c>
      <c r="U10" s="9">
        <v>20.7</v>
      </c>
      <c r="V10" s="9"/>
      <c r="W10" s="10"/>
      <c r="X10" s="10">
        <v>21.312000000000001</v>
      </c>
      <c r="Z10" s="11"/>
      <c r="AA10" s="11">
        <f>5.92*3.6</f>
        <v>21.312000000000001</v>
      </c>
      <c r="AC10" s="4" t="s">
        <v>494</v>
      </c>
      <c r="AD10" s="29">
        <v>0.81200000000000006</v>
      </c>
      <c r="AE10" s="29">
        <v>0.73899999999999999</v>
      </c>
      <c r="AF10" s="4" t="s">
        <v>494</v>
      </c>
      <c r="AG10" s="29">
        <v>1.5336732814058982</v>
      </c>
      <c r="AH10" s="29">
        <v>1.9468975640819541</v>
      </c>
    </row>
    <row r="11" spans="1:34" x14ac:dyDescent="0.15">
      <c r="A11" s="5" t="s">
        <v>341</v>
      </c>
      <c r="B11" s="6" t="s">
        <v>95</v>
      </c>
      <c r="C11" s="6" t="s">
        <v>370</v>
      </c>
      <c r="D11" s="6" t="s">
        <v>462</v>
      </c>
      <c r="E11" s="6" t="s">
        <v>94</v>
      </c>
      <c r="G11" s="6">
        <v>0.20499999999999999</v>
      </c>
      <c r="H11" s="6">
        <v>4614965</v>
      </c>
      <c r="J11" s="6">
        <v>0.23</v>
      </c>
      <c r="K11" s="6">
        <v>4614965</v>
      </c>
      <c r="M11" s="4" t="s">
        <v>428</v>
      </c>
      <c r="N11" s="4" t="s">
        <v>429</v>
      </c>
      <c r="O11" s="4" t="s">
        <v>453</v>
      </c>
      <c r="P11" s="25">
        <f t="shared" si="1"/>
        <v>20065065.217391305</v>
      </c>
      <c r="Q11" s="4" t="s">
        <v>480</v>
      </c>
      <c r="R11" s="29">
        <v>0</v>
      </c>
      <c r="S11" s="29">
        <f>5.92*3.6*280/1000</f>
        <v>5.9673600000000002</v>
      </c>
      <c r="T11" s="9"/>
      <c r="U11" s="9"/>
      <c r="V11" s="9"/>
      <c r="W11" s="12">
        <v>1.9040624999999998</v>
      </c>
      <c r="X11" s="10"/>
      <c r="Z11" s="11">
        <f>AVERAGE(0.12,0.51,0.27)*3.6</f>
        <v>1.08</v>
      </c>
      <c r="AA11" s="11">
        <f>3.14</f>
        <v>3.14</v>
      </c>
      <c r="AC11" s="4" t="s">
        <v>494</v>
      </c>
      <c r="AD11" s="29">
        <v>0.81200000000000006</v>
      </c>
      <c r="AE11" s="29">
        <v>0.73899999999999999</v>
      </c>
      <c r="AF11" s="4" t="s">
        <v>494</v>
      </c>
      <c r="AG11" s="29">
        <v>1.2983191848894986</v>
      </c>
      <c r="AH11" s="29">
        <v>4.8395672422172105</v>
      </c>
    </row>
    <row r="12" spans="1:34" x14ac:dyDescent="0.15">
      <c r="A12" s="5" t="s">
        <v>368</v>
      </c>
      <c r="B12" s="6" t="s">
        <v>95</v>
      </c>
      <c r="C12" s="6" t="s">
        <v>370</v>
      </c>
      <c r="D12" s="6"/>
      <c r="E12" s="6"/>
      <c r="G12" s="6">
        <v>0.94499999999999995</v>
      </c>
      <c r="H12" s="6">
        <v>7218816</v>
      </c>
      <c r="J12" s="6">
        <v>0.753</v>
      </c>
      <c r="K12" s="6">
        <v>5497992</v>
      </c>
      <c r="M12" s="4" t="s">
        <v>428</v>
      </c>
      <c r="N12" s="4" t="s">
        <v>439</v>
      </c>
      <c r="O12" s="4" t="s">
        <v>456</v>
      </c>
      <c r="P12" s="25">
        <f t="shared" si="1"/>
        <v>7301450.1992031876</v>
      </c>
      <c r="Q12" s="4" t="s">
        <v>480</v>
      </c>
      <c r="R12" s="29">
        <f>(0.94+0.94+1.26)*3.6</f>
        <v>11.303999999999998</v>
      </c>
      <c r="S12" s="29">
        <v>0</v>
      </c>
      <c r="T12" s="9"/>
      <c r="U12" s="9">
        <v>11.1</v>
      </c>
      <c r="V12" s="9"/>
      <c r="W12" s="12">
        <v>1.9040624999999998</v>
      </c>
      <c r="X12" s="10"/>
      <c r="Z12" s="11">
        <f>AVERAGE(0.94,1.26,0.94)*3.6</f>
        <v>3.7679999999999998</v>
      </c>
      <c r="AA12" s="11"/>
      <c r="AC12" s="4" t="s">
        <v>494</v>
      </c>
      <c r="AD12" s="29">
        <v>0.81200000000000006</v>
      </c>
      <c r="AE12" s="29">
        <v>0.73899999999999999</v>
      </c>
      <c r="AF12" s="4" t="s">
        <v>494</v>
      </c>
      <c r="AG12" s="29">
        <v>1.1486856676492798</v>
      </c>
      <c r="AH12" s="29">
        <v>1.2946751634148206</v>
      </c>
    </row>
    <row r="13" spans="1:34" x14ac:dyDescent="0.15">
      <c r="A13" s="5" t="s">
        <v>344</v>
      </c>
      <c r="B13" s="6" t="s">
        <v>95</v>
      </c>
      <c r="C13" s="6" t="s">
        <v>370</v>
      </c>
      <c r="D13" s="6"/>
      <c r="E13" s="6"/>
      <c r="G13" s="6">
        <v>1.8240000000000001</v>
      </c>
      <c r="H13" s="6">
        <v>1824820</v>
      </c>
      <c r="J13" s="6">
        <v>1.4850000000000001</v>
      </c>
      <c r="K13" s="6">
        <v>1394408</v>
      </c>
      <c r="M13" s="4" t="s">
        <v>428</v>
      </c>
      <c r="N13" s="4" t="s">
        <v>430</v>
      </c>
      <c r="O13" s="4" t="s">
        <v>455</v>
      </c>
      <c r="P13" s="25">
        <f t="shared" si="1"/>
        <v>938995.28619528608</v>
      </c>
      <c r="Q13" s="4" t="s">
        <v>480</v>
      </c>
      <c r="R13" s="29">
        <f>18*3.6</f>
        <v>64.8</v>
      </c>
      <c r="S13" s="29">
        <v>0</v>
      </c>
      <c r="T13" s="9">
        <v>32.799999999999997</v>
      </c>
      <c r="U13" s="9"/>
      <c r="V13" s="9"/>
      <c r="W13" s="12">
        <v>1.9040624999999998</v>
      </c>
      <c r="X13" s="10"/>
      <c r="Z13" s="11">
        <f>18*3.6</f>
        <v>64.8</v>
      </c>
      <c r="AA13" s="11"/>
      <c r="AC13" s="4" t="s">
        <v>494</v>
      </c>
      <c r="AD13" s="29">
        <v>0.81200000000000006</v>
      </c>
      <c r="AE13" s="29">
        <v>0.73899999999999999</v>
      </c>
      <c r="AF13" s="4" t="s">
        <v>494</v>
      </c>
      <c r="AG13" s="29">
        <v>1.2983191848894986</v>
      </c>
      <c r="AH13" s="29">
        <v>4.8395672422172105</v>
      </c>
    </row>
    <row r="14" spans="1:34" x14ac:dyDescent="0.15">
      <c r="A14" s="5" t="s">
        <v>358</v>
      </c>
      <c r="B14" s="6" t="s">
        <v>95</v>
      </c>
      <c r="C14" s="6" t="s">
        <v>371</v>
      </c>
      <c r="D14" s="6"/>
      <c r="E14" s="6"/>
      <c r="G14" s="6">
        <v>0.84899999999999998</v>
      </c>
      <c r="H14" s="6">
        <v>31393609</v>
      </c>
      <c r="J14" s="6">
        <v>0.68100000000000005</v>
      </c>
      <c r="K14" s="6">
        <v>22816634</v>
      </c>
      <c r="M14" s="4" t="s">
        <v>428</v>
      </c>
      <c r="N14" s="4" t="s">
        <v>429</v>
      </c>
      <c r="O14" s="4" t="s">
        <v>481</v>
      </c>
      <c r="P14" s="25">
        <f t="shared" si="1"/>
        <v>33504602.055800293</v>
      </c>
      <c r="Q14" s="4" t="s">
        <v>480</v>
      </c>
      <c r="R14" s="29">
        <v>0</v>
      </c>
      <c r="S14" s="29">
        <f>17.67*3.6</f>
        <v>63.612000000000009</v>
      </c>
      <c r="T14" s="9">
        <v>11.5</v>
      </c>
      <c r="U14" s="9">
        <f>AVERAGE(0,0,45)</f>
        <v>15</v>
      </c>
      <c r="V14" s="9"/>
      <c r="W14" s="10"/>
      <c r="X14" s="10">
        <f>(6.31+17.67)*3.6</f>
        <v>86.328000000000003</v>
      </c>
      <c r="Z14" s="11"/>
      <c r="AA14" s="10">
        <f>17.67*3.6</f>
        <v>63.612000000000009</v>
      </c>
      <c r="AC14" s="4" t="s">
        <v>494</v>
      </c>
      <c r="AD14" s="29">
        <v>0.81200000000000006</v>
      </c>
      <c r="AE14" s="29">
        <v>0.73899999999999999</v>
      </c>
      <c r="AF14" s="4" t="s">
        <v>494</v>
      </c>
      <c r="AG14" s="29">
        <v>1.3071000549116152</v>
      </c>
      <c r="AH14" s="29">
        <v>12.835745122859626</v>
      </c>
    </row>
    <row r="15" spans="1:34" x14ac:dyDescent="0.15">
      <c r="A15" s="5" t="s">
        <v>345</v>
      </c>
      <c r="B15" s="6" t="s">
        <v>95</v>
      </c>
      <c r="C15" s="6" t="s">
        <v>371</v>
      </c>
      <c r="D15" s="6" t="s">
        <v>372</v>
      </c>
      <c r="E15" s="6" t="s">
        <v>94</v>
      </c>
      <c r="G15" s="6">
        <v>1.1399999999999999</v>
      </c>
      <c r="H15" s="6">
        <v>857225</v>
      </c>
      <c r="J15" s="6">
        <v>2.12</v>
      </c>
      <c r="K15" s="6">
        <v>1468379</v>
      </c>
      <c r="M15" s="4" t="s">
        <v>428</v>
      </c>
      <c r="N15" s="4" t="s">
        <v>451</v>
      </c>
      <c r="O15" s="4" t="s">
        <v>484</v>
      </c>
      <c r="P15" s="25">
        <f t="shared" si="1"/>
        <v>692631.60377358482</v>
      </c>
      <c r="Q15" s="36" t="s">
        <v>482</v>
      </c>
      <c r="R15" s="29">
        <f>T15</f>
        <v>21.6</v>
      </c>
      <c r="S15" s="29">
        <f t="shared" ref="S15:S22" si="2">U15</f>
        <v>0</v>
      </c>
      <c r="T15" s="9">
        <f>21.6</f>
        <v>21.6</v>
      </c>
      <c r="U15" s="9"/>
      <c r="V15" s="9"/>
      <c r="W15" s="12">
        <v>1.9040624999999998</v>
      </c>
      <c r="X15" s="10"/>
      <c r="Z15" s="11">
        <f t="shared" ref="Z15:Z22" si="3">AVERAGE(0.12,0.51,0.27)*3.6</f>
        <v>1.08</v>
      </c>
      <c r="AA15" s="11">
        <f>3.14</f>
        <v>3.14</v>
      </c>
      <c r="AC15" s="4" t="s">
        <v>494</v>
      </c>
      <c r="AD15" s="29">
        <v>0.81200000000000006</v>
      </c>
      <c r="AE15" s="29">
        <v>0.73899999999999999</v>
      </c>
      <c r="AF15" s="4" t="s">
        <v>494</v>
      </c>
      <c r="AG15" s="29">
        <v>1.2983191848894986</v>
      </c>
      <c r="AH15" s="29">
        <v>4.8395672422172105</v>
      </c>
    </row>
    <row r="16" spans="1:34" x14ac:dyDescent="0.15">
      <c r="A16" s="5" t="s">
        <v>359</v>
      </c>
      <c r="B16" s="6" t="s">
        <v>95</v>
      </c>
      <c r="C16" s="6" t="s">
        <v>371</v>
      </c>
      <c r="D16" s="6"/>
      <c r="E16" s="6"/>
      <c r="G16" s="19">
        <f>0.0072*1/0.056</f>
        <v>0.12857142857142856</v>
      </c>
      <c r="H16" s="6">
        <v>1896871</v>
      </c>
      <c r="J16" s="19">
        <f>0.0228*1/0.056</f>
        <v>0.40714285714285714</v>
      </c>
      <c r="K16" s="6">
        <v>1139604</v>
      </c>
      <c r="M16" s="4" t="s">
        <v>428</v>
      </c>
      <c r="N16" s="4" t="s">
        <v>430</v>
      </c>
      <c r="O16" s="4" t="s">
        <v>485</v>
      </c>
      <c r="P16" s="25">
        <f t="shared" si="1"/>
        <v>2799027.3684210526</v>
      </c>
      <c r="Q16" s="36" t="s">
        <v>482</v>
      </c>
      <c r="R16" s="29">
        <f t="shared" ref="R16:R22" si="4">T16</f>
        <v>2.2000000000000002</v>
      </c>
      <c r="S16" s="29">
        <f t="shared" si="2"/>
        <v>37.333333333333336</v>
      </c>
      <c r="T16" s="9">
        <v>2.2000000000000002</v>
      </c>
      <c r="U16" s="9">
        <f>AVERAGE(45,22,45)</f>
        <v>37.333333333333336</v>
      </c>
      <c r="V16" s="9"/>
      <c r="W16" s="12">
        <v>1.9040624999999998</v>
      </c>
      <c r="X16" s="10"/>
      <c r="Z16" s="11">
        <f t="shared" si="3"/>
        <v>1.08</v>
      </c>
      <c r="AA16" s="11">
        <f t="shared" ref="AA16:AA22" si="5">3.14</f>
        <v>3.14</v>
      </c>
      <c r="AC16" s="4" t="s">
        <v>494</v>
      </c>
      <c r="AD16" s="29">
        <v>0.81200000000000006</v>
      </c>
      <c r="AE16" s="29">
        <v>0.73899999999999999</v>
      </c>
      <c r="AF16" s="4" t="s">
        <v>494</v>
      </c>
      <c r="AG16" s="29">
        <v>1.2983191848894986</v>
      </c>
      <c r="AH16" s="29">
        <v>4.8395672422172105</v>
      </c>
    </row>
    <row r="17" spans="1:34" x14ac:dyDescent="0.15">
      <c r="A17" s="5" t="s">
        <v>360</v>
      </c>
      <c r="B17" s="6" t="s">
        <v>95</v>
      </c>
      <c r="C17" s="6" t="s">
        <v>371</v>
      </c>
      <c r="D17" s="6" t="s">
        <v>372</v>
      </c>
      <c r="E17" s="6"/>
      <c r="G17" s="6">
        <v>0.55800000000000005</v>
      </c>
      <c r="H17" s="6">
        <v>2676322</v>
      </c>
      <c r="J17" s="6">
        <v>0.40100000000000002</v>
      </c>
      <c r="K17" s="6">
        <v>1655811</v>
      </c>
      <c r="M17" s="4" t="s">
        <v>428</v>
      </c>
      <c r="N17" s="4" t="s">
        <v>430</v>
      </c>
      <c r="O17" s="4" t="s">
        <v>486</v>
      </c>
      <c r="P17" s="25">
        <f t="shared" si="1"/>
        <v>4129204.4887780547</v>
      </c>
      <c r="Q17" s="36" t="s">
        <v>482</v>
      </c>
      <c r="R17" s="29">
        <f t="shared" si="4"/>
        <v>8.6</v>
      </c>
      <c r="S17" s="29">
        <f t="shared" si="2"/>
        <v>0</v>
      </c>
      <c r="T17" s="9">
        <v>8.6</v>
      </c>
      <c r="U17" s="9"/>
      <c r="V17" s="9"/>
      <c r="W17" s="10"/>
      <c r="X17" s="10">
        <f>(6.31+17.67)*3.6</f>
        <v>86.328000000000003</v>
      </c>
      <c r="Z17" s="11">
        <f t="shared" si="3"/>
        <v>1.08</v>
      </c>
      <c r="AA17" s="11">
        <f t="shared" si="5"/>
        <v>3.14</v>
      </c>
      <c r="AC17" s="4" t="s">
        <v>494</v>
      </c>
      <c r="AD17" s="29">
        <v>0.81200000000000006</v>
      </c>
      <c r="AE17" s="29">
        <v>0.73899999999999999</v>
      </c>
      <c r="AF17" s="4" t="s">
        <v>494</v>
      </c>
      <c r="AG17" s="29">
        <v>1.2983191848894986</v>
      </c>
      <c r="AH17" s="29">
        <v>4.8395672422172105</v>
      </c>
    </row>
    <row r="18" spans="1:34" x14ac:dyDescent="0.15">
      <c r="A18" s="5" t="s">
        <v>361</v>
      </c>
      <c r="B18" s="6" t="s">
        <v>95</v>
      </c>
      <c r="C18" s="6" t="s">
        <v>371</v>
      </c>
      <c r="D18" s="6" t="s">
        <v>372</v>
      </c>
      <c r="E18" s="6"/>
      <c r="G18" s="6">
        <v>0.31900000000000001</v>
      </c>
      <c r="H18" s="6">
        <v>1200943</v>
      </c>
      <c r="J18" s="6">
        <v>0.23</v>
      </c>
      <c r="K18" s="6">
        <v>812138</v>
      </c>
      <c r="M18" s="4" t="s">
        <v>428</v>
      </c>
      <c r="N18" s="4" t="s">
        <v>439</v>
      </c>
      <c r="O18" s="4" t="s">
        <v>486</v>
      </c>
      <c r="P18" s="25">
        <f t="shared" si="1"/>
        <v>3531034.7826086953</v>
      </c>
      <c r="Q18" s="36" t="s">
        <v>482</v>
      </c>
      <c r="R18" s="29">
        <f t="shared" si="4"/>
        <v>10.5</v>
      </c>
      <c r="S18" s="29">
        <f t="shared" si="2"/>
        <v>0</v>
      </c>
      <c r="T18" s="9">
        <f>AVERAGE(10.1,10.9)</f>
        <v>10.5</v>
      </c>
      <c r="U18" s="9"/>
      <c r="V18" s="9"/>
      <c r="W18" s="10"/>
      <c r="X18" s="10">
        <f>(6.31+17.67)*3.6</f>
        <v>86.328000000000003</v>
      </c>
      <c r="Z18" s="11">
        <f t="shared" si="3"/>
        <v>1.08</v>
      </c>
      <c r="AA18" s="11">
        <f t="shared" si="5"/>
        <v>3.14</v>
      </c>
      <c r="AC18" s="4" t="s">
        <v>494</v>
      </c>
      <c r="AD18" s="29">
        <v>0.81200000000000006</v>
      </c>
      <c r="AE18" s="29">
        <v>0.73899999999999999</v>
      </c>
      <c r="AF18" s="4" t="s">
        <v>494</v>
      </c>
      <c r="AG18" s="29">
        <v>1.2983191848894986</v>
      </c>
      <c r="AH18" s="29">
        <v>4.8395672422172105</v>
      </c>
    </row>
    <row r="19" spans="1:34" x14ac:dyDescent="0.15">
      <c r="A19" s="5" t="s">
        <v>362</v>
      </c>
      <c r="B19" s="6" t="s">
        <v>95</v>
      </c>
      <c r="C19" s="6" t="s">
        <v>371</v>
      </c>
      <c r="D19" s="6" t="s">
        <v>372</v>
      </c>
      <c r="E19" s="6" t="s">
        <v>94</v>
      </c>
      <c r="G19" s="6">
        <v>0.51</v>
      </c>
      <c r="H19" s="6">
        <v>1484310</v>
      </c>
      <c r="J19" s="6">
        <v>0.38900000000000001</v>
      </c>
      <c r="K19" s="6">
        <v>839637</v>
      </c>
      <c r="M19" s="4" t="s">
        <v>428</v>
      </c>
      <c r="N19" s="4" t="s">
        <v>452</v>
      </c>
      <c r="O19" s="4" t="s">
        <v>486</v>
      </c>
      <c r="P19" s="25">
        <f t="shared" si="1"/>
        <v>2158449.8714652956</v>
      </c>
      <c r="Q19" s="36" t="s">
        <v>482</v>
      </c>
      <c r="R19" s="29">
        <f t="shared" si="4"/>
        <v>3.65</v>
      </c>
      <c r="S19" s="29">
        <f t="shared" si="2"/>
        <v>0</v>
      </c>
      <c r="T19" s="9">
        <f>AVERAGE(2.5,4.8)</f>
        <v>3.65</v>
      </c>
      <c r="U19" s="9"/>
      <c r="V19" s="9"/>
      <c r="W19" s="12">
        <v>1.9040624999999998</v>
      </c>
      <c r="X19" s="10"/>
      <c r="Z19" s="11">
        <f t="shared" si="3"/>
        <v>1.08</v>
      </c>
      <c r="AA19" s="11">
        <f t="shared" si="5"/>
        <v>3.14</v>
      </c>
      <c r="AC19" s="4" t="s">
        <v>494</v>
      </c>
      <c r="AD19" s="29">
        <v>0.81200000000000006</v>
      </c>
      <c r="AE19" s="29">
        <v>0.73899999999999999</v>
      </c>
      <c r="AF19" s="4" t="s">
        <v>494</v>
      </c>
      <c r="AG19" s="29">
        <v>1.2983191848894986</v>
      </c>
      <c r="AH19" s="29">
        <v>4.8395672422172105</v>
      </c>
    </row>
    <row r="20" spans="1:34" x14ac:dyDescent="0.15">
      <c r="A20" s="5" t="s">
        <v>363</v>
      </c>
      <c r="B20" s="6" t="s">
        <v>95</v>
      </c>
      <c r="C20" s="6" t="s">
        <v>371</v>
      </c>
      <c r="D20" s="6" t="s">
        <v>372</v>
      </c>
      <c r="E20" s="6"/>
      <c r="G20" s="6">
        <v>0.27700000000000002</v>
      </c>
      <c r="H20" s="6">
        <v>1639059</v>
      </c>
      <c r="J20" s="6">
        <v>0.155</v>
      </c>
      <c r="K20" s="6">
        <v>758335</v>
      </c>
      <c r="M20" s="4" t="s">
        <v>428</v>
      </c>
      <c r="N20" s="4" t="s">
        <v>430</v>
      </c>
      <c r="O20" s="4" t="s">
        <v>487</v>
      </c>
      <c r="P20" s="25">
        <f t="shared" si="1"/>
        <v>4892483.8709677421</v>
      </c>
      <c r="Q20" s="36" t="s">
        <v>482</v>
      </c>
      <c r="R20" s="29">
        <f t="shared" si="4"/>
        <v>2.7</v>
      </c>
      <c r="S20" s="29">
        <f t="shared" si="2"/>
        <v>0</v>
      </c>
      <c r="T20" s="9">
        <v>2.7</v>
      </c>
      <c r="U20" s="9"/>
      <c r="V20" s="9"/>
      <c r="W20" s="12">
        <v>1.9040624999999998</v>
      </c>
      <c r="X20" s="10"/>
      <c r="Z20" s="11">
        <f t="shared" si="3"/>
        <v>1.08</v>
      </c>
      <c r="AA20" s="11">
        <f t="shared" si="5"/>
        <v>3.14</v>
      </c>
      <c r="AC20" s="4" t="s">
        <v>494</v>
      </c>
      <c r="AD20" s="29">
        <v>0.81200000000000006</v>
      </c>
      <c r="AE20" s="29">
        <v>0.73899999999999999</v>
      </c>
      <c r="AF20" s="4" t="s">
        <v>494</v>
      </c>
      <c r="AG20" s="29">
        <v>1.2983191848894986</v>
      </c>
      <c r="AH20" s="29">
        <v>4.8395672422172105</v>
      </c>
    </row>
    <row r="21" spans="1:34" x14ac:dyDescent="0.15">
      <c r="A21" s="5" t="s">
        <v>364</v>
      </c>
      <c r="B21" s="6" t="s">
        <v>95</v>
      </c>
      <c r="C21" s="6" t="s">
        <v>371</v>
      </c>
      <c r="D21" s="6" t="s">
        <v>372</v>
      </c>
      <c r="E21" s="6"/>
      <c r="G21" s="6">
        <v>0.12</v>
      </c>
      <c r="H21" s="6">
        <v>400288</v>
      </c>
      <c r="J21" s="6">
        <v>6.6000000000000003E-2</v>
      </c>
      <c r="K21" s="6">
        <v>216193</v>
      </c>
      <c r="M21" s="4" t="s">
        <v>428</v>
      </c>
      <c r="N21" s="4" t="s">
        <v>451</v>
      </c>
      <c r="O21" s="4" t="s">
        <v>486</v>
      </c>
      <c r="P21" s="25">
        <f t="shared" si="1"/>
        <v>3275651.5151515151</v>
      </c>
      <c r="Q21" s="36" t="s">
        <v>482</v>
      </c>
      <c r="R21" s="29">
        <f t="shared" si="4"/>
        <v>1.9</v>
      </c>
      <c r="S21" s="29">
        <f t="shared" si="2"/>
        <v>0</v>
      </c>
      <c r="T21" s="9">
        <v>1.9</v>
      </c>
      <c r="U21" s="9"/>
      <c r="V21" s="9"/>
      <c r="W21" s="12">
        <v>1.9040624999999998</v>
      </c>
      <c r="X21" s="10"/>
      <c r="Z21" s="11">
        <f t="shared" si="3"/>
        <v>1.08</v>
      </c>
      <c r="AA21" s="11">
        <f t="shared" si="5"/>
        <v>3.14</v>
      </c>
      <c r="AC21" s="4" t="s">
        <v>494</v>
      </c>
      <c r="AD21" s="29">
        <v>0.81200000000000006</v>
      </c>
      <c r="AE21" s="29">
        <v>0.73899999999999999</v>
      </c>
      <c r="AF21" s="4" t="s">
        <v>494</v>
      </c>
      <c r="AG21" s="29">
        <v>1.2983191848894986</v>
      </c>
      <c r="AH21" s="29">
        <v>4.8395672422172105</v>
      </c>
    </row>
    <row r="22" spans="1:34" x14ac:dyDescent="0.15">
      <c r="A22" s="5" t="s">
        <v>365</v>
      </c>
      <c r="B22" s="6" t="s">
        <v>95</v>
      </c>
      <c r="C22" s="6" t="s">
        <v>371</v>
      </c>
      <c r="D22" s="6" t="s">
        <v>372</v>
      </c>
      <c r="E22" s="6"/>
      <c r="G22" s="6">
        <v>0.23</v>
      </c>
      <c r="H22" s="6">
        <v>96197</v>
      </c>
      <c r="J22" s="6">
        <v>0.18099999999999999</v>
      </c>
      <c r="K22" s="6">
        <v>61707</v>
      </c>
      <c r="M22" s="4" t="s">
        <v>428</v>
      </c>
      <c r="N22" s="4" t="s">
        <v>451</v>
      </c>
      <c r="O22" s="4" t="s">
        <v>486</v>
      </c>
      <c r="P22" s="25">
        <f t="shared" si="1"/>
        <v>340922.65193370165</v>
      </c>
      <c r="Q22" s="36" t="s">
        <v>482</v>
      </c>
      <c r="R22" s="29">
        <f t="shared" si="4"/>
        <v>1.9</v>
      </c>
      <c r="S22" s="29">
        <f t="shared" si="2"/>
        <v>0</v>
      </c>
      <c r="T22" s="9">
        <v>1.9</v>
      </c>
      <c r="U22" s="9"/>
      <c r="V22" s="9"/>
      <c r="W22" s="12">
        <v>1.9040624999999998</v>
      </c>
      <c r="X22" s="10"/>
      <c r="Z22" s="11">
        <f t="shared" si="3"/>
        <v>1.08</v>
      </c>
      <c r="AA22" s="11">
        <f t="shared" si="5"/>
        <v>3.14</v>
      </c>
      <c r="AC22" s="4" t="s">
        <v>494</v>
      </c>
      <c r="AD22" s="29">
        <v>0.81200000000000006</v>
      </c>
      <c r="AE22" s="29">
        <v>0.73899999999999999</v>
      </c>
      <c r="AF22" s="4" t="s">
        <v>494</v>
      </c>
      <c r="AG22" s="29">
        <v>1.2983191848894986</v>
      </c>
      <c r="AH22" s="29">
        <v>4.8395672422172105</v>
      </c>
    </row>
    <row r="23" spans="1:34" s="23" customFormat="1" x14ac:dyDescent="0.15">
      <c r="A23" s="22" t="s">
        <v>369</v>
      </c>
      <c r="P23" s="26"/>
      <c r="R23" s="28"/>
      <c r="S23" s="28"/>
      <c r="AD23" s="28"/>
      <c r="AE23" s="28"/>
      <c r="AG23" s="28"/>
      <c r="AH23" s="28"/>
    </row>
    <row r="24" spans="1:34" s="13" customFormat="1" x14ac:dyDescent="0.15">
      <c r="A24" s="14" t="s">
        <v>366</v>
      </c>
      <c r="B24" s="6" t="s">
        <v>463</v>
      </c>
      <c r="C24" s="6"/>
      <c r="D24" s="6"/>
      <c r="E24" s="6"/>
      <c r="G24" s="15">
        <v>8.8800000000000008</v>
      </c>
      <c r="H24" s="15">
        <v>7051720</v>
      </c>
      <c r="J24" s="15">
        <v>6.84</v>
      </c>
      <c r="K24" s="15">
        <v>5074480</v>
      </c>
      <c r="M24" s="13" t="s">
        <v>428</v>
      </c>
      <c r="N24" s="4" t="s">
        <v>429</v>
      </c>
      <c r="O24" s="13" t="s">
        <v>442</v>
      </c>
      <c r="P24" s="25">
        <f t="shared" si="1"/>
        <v>741883.04093567259</v>
      </c>
      <c r="Q24" s="35" t="s">
        <v>483</v>
      </c>
      <c r="R24" s="29"/>
      <c r="S24" s="29">
        <f>1/8.33*1000</f>
        <v>120.04801920768307</v>
      </c>
      <c r="T24" s="16"/>
      <c r="U24" s="16"/>
      <c r="V24" s="10"/>
      <c r="W24" s="12"/>
      <c r="X24" s="12">
        <v>3.6</v>
      </c>
      <c r="Z24" s="12"/>
      <c r="AA24" s="12">
        <v>3.6</v>
      </c>
      <c r="AC24" s="4" t="s">
        <v>494</v>
      </c>
      <c r="AD24" s="29">
        <v>0.81200000000000006</v>
      </c>
      <c r="AE24" s="29">
        <v>0.73899999999999999</v>
      </c>
      <c r="AF24" s="4" t="s">
        <v>494</v>
      </c>
      <c r="AG24" s="29">
        <v>1.2983191848894986</v>
      </c>
      <c r="AH24" s="29">
        <v>4.8395672422172105</v>
      </c>
    </row>
    <row r="25" spans="1:34" x14ac:dyDescent="0.15">
      <c r="A25" s="5" t="s">
        <v>367</v>
      </c>
      <c r="B25" s="6" t="s">
        <v>463</v>
      </c>
      <c r="C25" s="6"/>
      <c r="D25" s="6"/>
      <c r="E25" s="6"/>
      <c r="G25" s="6">
        <v>0.155</v>
      </c>
      <c r="H25" s="6">
        <v>357368</v>
      </c>
      <c r="J25" s="6">
        <v>0.187</v>
      </c>
      <c r="K25" s="6">
        <v>317371</v>
      </c>
      <c r="M25" s="13" t="s">
        <v>428</v>
      </c>
      <c r="N25" s="4" t="s">
        <v>429</v>
      </c>
      <c r="O25" s="13" t="s">
        <v>442</v>
      </c>
      <c r="P25" s="25">
        <f t="shared" si="1"/>
        <v>1697171.1229946525</v>
      </c>
      <c r="Q25" s="35" t="s">
        <v>483</v>
      </c>
      <c r="R25" s="29"/>
      <c r="S25" s="29">
        <f t="shared" ref="S25" si="6">1/8.33*1000</f>
        <v>120.04801920768307</v>
      </c>
      <c r="T25" s="16"/>
      <c r="U25" s="16"/>
      <c r="V25" s="10"/>
      <c r="W25" s="12"/>
      <c r="X25" s="12">
        <v>3.6</v>
      </c>
      <c r="Z25" s="12"/>
      <c r="AA25" s="12">
        <v>3.6</v>
      </c>
      <c r="AC25" s="4" t="s">
        <v>494</v>
      </c>
      <c r="AD25" s="29">
        <v>0.81200000000000006</v>
      </c>
      <c r="AE25" s="29">
        <v>0.73899999999999999</v>
      </c>
      <c r="AF25" s="4" t="s">
        <v>494</v>
      </c>
      <c r="AG25" s="29">
        <v>1.2983191848894986</v>
      </c>
      <c r="AH25" s="29">
        <v>4.8395672422172105</v>
      </c>
    </row>
    <row r="26" spans="1:34" s="23" customFormat="1" x14ac:dyDescent="0.15">
      <c r="A26" s="22" t="s">
        <v>20</v>
      </c>
      <c r="P26" s="26"/>
      <c r="R26" s="28"/>
      <c r="S26" s="28"/>
      <c r="AD26" s="28"/>
      <c r="AE26" s="28"/>
      <c r="AG26" s="28"/>
      <c r="AH26" s="28"/>
    </row>
    <row r="27" spans="1:34" x14ac:dyDescent="0.15">
      <c r="A27" s="5" t="s">
        <v>376</v>
      </c>
      <c r="B27" s="6"/>
      <c r="C27" s="6"/>
      <c r="D27" s="6"/>
      <c r="E27" s="6"/>
      <c r="G27" s="6">
        <v>0.248</v>
      </c>
      <c r="H27" s="15">
        <v>23154801</v>
      </c>
      <c r="J27" s="6">
        <v>0.157</v>
      </c>
      <c r="K27" s="6">
        <v>14393515</v>
      </c>
      <c r="M27" s="4" t="s">
        <v>428</v>
      </c>
      <c r="N27" s="4" t="s">
        <v>430</v>
      </c>
      <c r="O27" s="4" t="s">
        <v>433</v>
      </c>
      <c r="P27" s="25">
        <f t="shared" si="1"/>
        <v>91678439.490445852</v>
      </c>
      <c r="Q27" s="4" t="s">
        <v>480</v>
      </c>
      <c r="R27" s="29">
        <f>(0.12+0.5)*3.6</f>
        <v>2.2320000000000002</v>
      </c>
      <c r="S27" s="29">
        <v>0</v>
      </c>
      <c r="T27" s="9"/>
      <c r="U27" s="9"/>
      <c r="V27" s="10">
        <v>0.3</v>
      </c>
      <c r="W27" s="17">
        <v>4.1342400000000001</v>
      </c>
      <c r="X27" s="10">
        <v>6.4735199999999988</v>
      </c>
      <c r="Z27" s="17">
        <f>3.33</f>
        <v>3.33</v>
      </c>
      <c r="AA27" s="10"/>
      <c r="AC27" s="4" t="s">
        <v>495</v>
      </c>
      <c r="AD27" s="29">
        <v>0.48099999999999998</v>
      </c>
      <c r="AE27" s="29">
        <v>0.41199999999999998</v>
      </c>
      <c r="AF27" s="4" t="s">
        <v>495</v>
      </c>
      <c r="AG27" s="29">
        <v>1.2895889249131132</v>
      </c>
      <c r="AH27" s="29">
        <v>0.59422748497442568</v>
      </c>
    </row>
    <row r="28" spans="1:34" x14ac:dyDescent="0.15">
      <c r="A28" s="5" t="s">
        <v>373</v>
      </c>
      <c r="B28" s="6" t="s">
        <v>472</v>
      </c>
      <c r="C28" s="6"/>
      <c r="D28" s="6"/>
      <c r="E28" s="6"/>
      <c r="G28" s="6">
        <v>1.4950000000000001</v>
      </c>
      <c r="H28" s="15">
        <v>128889587</v>
      </c>
      <c r="J28" s="6">
        <v>1.288</v>
      </c>
      <c r="K28" s="6">
        <v>110024564</v>
      </c>
      <c r="M28" s="4" t="s">
        <v>428</v>
      </c>
      <c r="N28" s="4" t="s">
        <v>430</v>
      </c>
      <c r="O28" s="4" t="s">
        <v>448</v>
      </c>
      <c r="P28" s="25">
        <f t="shared" si="1"/>
        <v>85422798.136645958</v>
      </c>
      <c r="Q28" s="4" t="s">
        <v>480</v>
      </c>
      <c r="R28" s="29">
        <f>(0.83+3.33)*3.6</f>
        <v>14.976000000000001</v>
      </c>
      <c r="S28" s="29">
        <f>1.89*3.6</f>
        <v>6.8039999999999994</v>
      </c>
      <c r="T28" s="9"/>
      <c r="U28" s="9"/>
      <c r="V28" s="10">
        <f>MEDIAN(5.3,6.8)</f>
        <v>6.05</v>
      </c>
      <c r="W28" s="17">
        <v>4.1342400000000001</v>
      </c>
      <c r="X28" s="10">
        <v>6.4735199999999988</v>
      </c>
      <c r="Z28" s="18"/>
      <c r="AA28" s="18"/>
      <c r="AC28" s="4" t="s">
        <v>495</v>
      </c>
      <c r="AD28" s="29">
        <v>0.48099999999999998</v>
      </c>
      <c r="AE28" s="29">
        <v>0.41199999999999998</v>
      </c>
      <c r="AF28" s="4" t="s">
        <v>495</v>
      </c>
      <c r="AG28" s="29">
        <v>1.2895889249131132</v>
      </c>
      <c r="AH28" s="29">
        <v>0.59422748497442568</v>
      </c>
    </row>
    <row r="29" spans="1:34" x14ac:dyDescent="0.15">
      <c r="A29" s="5" t="s">
        <v>374</v>
      </c>
      <c r="B29" s="6" t="s">
        <v>473</v>
      </c>
      <c r="C29" s="6"/>
      <c r="D29" s="6"/>
      <c r="E29" s="6"/>
      <c r="G29" s="19">
        <v>0.255</v>
      </c>
      <c r="H29" s="15">
        <v>9804572</v>
      </c>
      <c r="J29" s="6">
        <v>0.215</v>
      </c>
      <c r="K29" s="6">
        <v>2050637</v>
      </c>
      <c r="M29" s="4" t="s">
        <v>428</v>
      </c>
      <c r="N29" s="4" t="s">
        <v>430</v>
      </c>
      <c r="O29" s="4" t="s">
        <v>447</v>
      </c>
      <c r="P29" s="25">
        <f t="shared" si="1"/>
        <v>9537846.5116279069</v>
      </c>
      <c r="Q29" s="4" t="s">
        <v>480</v>
      </c>
      <c r="R29" s="29">
        <f>(0.66+0.028)*3.6</f>
        <v>2.4768000000000003</v>
      </c>
      <c r="S29" s="29">
        <v>0</v>
      </c>
      <c r="T29" s="10"/>
      <c r="U29" s="10"/>
      <c r="V29" s="10">
        <v>2.2000000000000002</v>
      </c>
      <c r="W29" s="17">
        <v>4.1342400000000001</v>
      </c>
      <c r="X29" s="10">
        <v>6.4735199999999988</v>
      </c>
      <c r="Z29" s="18"/>
      <c r="AA29" s="18"/>
      <c r="AC29" s="4" t="s">
        <v>495</v>
      </c>
      <c r="AD29" s="29">
        <v>0.48099999999999998</v>
      </c>
      <c r="AE29" s="29">
        <v>0.41199999999999998</v>
      </c>
      <c r="AF29" s="4" t="s">
        <v>495</v>
      </c>
      <c r="AG29" s="29">
        <v>1.2895889249131132</v>
      </c>
      <c r="AH29" s="29">
        <v>0.59422748497442568</v>
      </c>
    </row>
    <row r="30" spans="1:34" x14ac:dyDescent="0.15">
      <c r="A30" s="5" t="s">
        <v>375</v>
      </c>
      <c r="B30" s="6" t="s">
        <v>473</v>
      </c>
      <c r="C30" s="6"/>
      <c r="D30" s="6"/>
      <c r="E30" s="6"/>
      <c r="G30" s="19">
        <v>0.32300000000000001</v>
      </c>
      <c r="H30" s="15">
        <v>8681596</v>
      </c>
      <c r="J30" s="6">
        <v>0.26800000000000002</v>
      </c>
      <c r="K30" s="6">
        <v>2185759</v>
      </c>
      <c r="M30" s="4" t="s">
        <v>428</v>
      </c>
      <c r="N30" s="4" t="s">
        <v>430</v>
      </c>
      <c r="O30" s="4" t="s">
        <v>447</v>
      </c>
      <c r="P30" s="25">
        <f t="shared" si="1"/>
        <v>8155817.1641791044</v>
      </c>
      <c r="Q30" s="4" t="s">
        <v>480</v>
      </c>
      <c r="R30" s="29">
        <f t="shared" ref="R30:R31" si="7">(0.66+0.028)*3.6</f>
        <v>2.4768000000000003</v>
      </c>
      <c r="S30" s="29">
        <v>0</v>
      </c>
      <c r="T30" s="10"/>
      <c r="U30" s="10"/>
      <c r="V30" s="10">
        <v>2.2000000000000002</v>
      </c>
      <c r="W30" s="17">
        <v>4.1342400000000001</v>
      </c>
      <c r="X30" s="10">
        <v>6.4735199999999988</v>
      </c>
      <c r="Z30" s="18"/>
      <c r="AA30" s="18"/>
      <c r="AC30" s="4" t="s">
        <v>495</v>
      </c>
      <c r="AD30" s="29">
        <v>0.48099999999999998</v>
      </c>
      <c r="AE30" s="29">
        <v>0.41199999999999998</v>
      </c>
      <c r="AF30" s="4" t="s">
        <v>495</v>
      </c>
      <c r="AG30" s="29">
        <v>1.2895889249131132</v>
      </c>
      <c r="AH30" s="29">
        <v>0.59422748497442568</v>
      </c>
    </row>
    <row r="31" spans="1:34" x14ac:dyDescent="0.15">
      <c r="A31" s="5" t="s">
        <v>352</v>
      </c>
      <c r="B31" s="6"/>
      <c r="C31" s="6"/>
      <c r="D31" s="6"/>
      <c r="E31" s="6"/>
      <c r="G31" s="19">
        <v>0.37</v>
      </c>
      <c r="H31" s="15">
        <v>1380242</v>
      </c>
      <c r="J31" s="6">
        <v>0.28199999999999997</v>
      </c>
      <c r="K31" s="6">
        <v>930583</v>
      </c>
      <c r="M31" s="4" t="s">
        <v>428</v>
      </c>
      <c r="N31" s="4" t="s">
        <v>430</v>
      </c>
      <c r="O31" s="4" t="s">
        <v>447</v>
      </c>
      <c r="P31" s="25">
        <f t="shared" si="1"/>
        <v>3299939.7163120569</v>
      </c>
      <c r="Q31" s="4" t="s">
        <v>480</v>
      </c>
      <c r="R31" s="29">
        <f t="shared" si="7"/>
        <v>2.4768000000000003</v>
      </c>
      <c r="S31" s="29">
        <v>0</v>
      </c>
      <c r="T31" s="10"/>
      <c r="U31" s="10"/>
      <c r="V31" s="10">
        <v>0.3</v>
      </c>
      <c r="W31" s="17">
        <v>4.1342400000000001</v>
      </c>
      <c r="X31" s="10">
        <v>6.4735199999999988</v>
      </c>
      <c r="Z31" s="17"/>
      <c r="AA31" s="10"/>
      <c r="AC31" s="4" t="s">
        <v>495</v>
      </c>
      <c r="AD31" s="29">
        <v>0.48099999999999998</v>
      </c>
      <c r="AE31" s="29">
        <v>0.41199999999999998</v>
      </c>
      <c r="AF31" s="4" t="s">
        <v>495</v>
      </c>
      <c r="AG31" s="29">
        <v>1.0573620640499655</v>
      </c>
      <c r="AH31" s="29">
        <v>0.79755753713664312</v>
      </c>
    </row>
    <row r="32" spans="1:34" s="23" customFormat="1" x14ac:dyDescent="0.15">
      <c r="A32" s="22" t="s">
        <v>224</v>
      </c>
      <c r="P32" s="26"/>
      <c r="R32" s="28"/>
      <c r="S32" s="28"/>
      <c r="AD32" s="28"/>
      <c r="AE32" s="28"/>
      <c r="AG32" s="28"/>
      <c r="AH32" s="28"/>
    </row>
    <row r="33" spans="1:34" x14ac:dyDescent="0.15">
      <c r="A33" s="5" t="s">
        <v>333</v>
      </c>
      <c r="B33" s="6"/>
      <c r="C33" s="6"/>
      <c r="D33" s="6"/>
      <c r="E33" s="6"/>
      <c r="G33" s="6">
        <f>0.0308/0.056</f>
        <v>0.55000000000000004</v>
      </c>
      <c r="H33" s="15"/>
      <c r="J33" s="19">
        <f>0.0228/0.056</f>
        <v>0.40714285714285714</v>
      </c>
      <c r="K33" s="15"/>
      <c r="M33" s="4" t="s">
        <v>428</v>
      </c>
      <c r="N33" s="4" t="s">
        <v>429</v>
      </c>
      <c r="O33" s="4" t="s">
        <v>432</v>
      </c>
      <c r="P33" s="25">
        <f t="shared" si="1"/>
        <v>0</v>
      </c>
      <c r="Q33" s="4" t="s">
        <v>480</v>
      </c>
      <c r="R33" s="29">
        <v>0</v>
      </c>
      <c r="S33" s="29">
        <f>0.12*3.6</f>
        <v>0.432</v>
      </c>
      <c r="T33" s="10"/>
      <c r="U33" s="10"/>
      <c r="V33" s="10"/>
      <c r="W33" s="10"/>
      <c r="X33" s="10">
        <f>(MEDIAN(0.389,0.639))*3.6</f>
        <v>1.8504</v>
      </c>
      <c r="AC33" s="4" t="s">
        <v>497</v>
      </c>
      <c r="AD33" s="29">
        <v>0.72599999999999998</v>
      </c>
      <c r="AE33" s="29">
        <v>0.30499999999999999</v>
      </c>
      <c r="AF33" s="4" t="s">
        <v>497</v>
      </c>
      <c r="AG33" s="29">
        <v>0.63412830119313213</v>
      </c>
      <c r="AH33" s="29">
        <v>8.240093553846331E-2</v>
      </c>
    </row>
    <row r="34" spans="1:34" x14ac:dyDescent="0.15">
      <c r="A34" s="5" t="s">
        <v>116</v>
      </c>
      <c r="B34" s="6"/>
      <c r="C34" s="6"/>
      <c r="D34" s="6"/>
      <c r="E34" s="6"/>
      <c r="G34" s="6">
        <v>0.28199999999999997</v>
      </c>
      <c r="H34" s="15"/>
      <c r="J34" s="6">
        <v>0.217</v>
      </c>
      <c r="K34" s="15"/>
      <c r="M34" s="4" t="s">
        <v>428</v>
      </c>
      <c r="N34" s="4" t="s">
        <v>429</v>
      </c>
      <c r="O34" s="4" t="s">
        <v>431</v>
      </c>
      <c r="P34" s="25">
        <f t="shared" si="1"/>
        <v>0</v>
      </c>
      <c r="Q34" s="4" t="s">
        <v>488</v>
      </c>
      <c r="R34" s="29">
        <v>0</v>
      </c>
      <c r="S34" s="29">
        <v>0</v>
      </c>
      <c r="T34" s="10"/>
      <c r="U34" s="10"/>
      <c r="V34" s="10"/>
      <c r="W34" s="10"/>
      <c r="X34" s="17">
        <v>1.8504</v>
      </c>
      <c r="AC34" s="4" t="s">
        <v>497</v>
      </c>
      <c r="AD34" s="29">
        <v>0.72599999999999998</v>
      </c>
      <c r="AE34" s="29">
        <v>0.30499999999999999</v>
      </c>
      <c r="AF34" s="4" t="s">
        <v>497</v>
      </c>
      <c r="AG34" s="29">
        <v>0.63412830119313213</v>
      </c>
      <c r="AH34" s="29">
        <v>8.240093553846331E-2</v>
      </c>
    </row>
    <row r="35" spans="1:34" s="23" customFormat="1" x14ac:dyDescent="0.15">
      <c r="A35" s="22" t="s">
        <v>81</v>
      </c>
      <c r="P35" s="26"/>
      <c r="R35" s="28"/>
      <c r="S35" s="28"/>
      <c r="AD35" s="28"/>
      <c r="AE35" s="28"/>
      <c r="AG35" s="28"/>
      <c r="AH35" s="28"/>
    </row>
    <row r="36" spans="1:34" x14ac:dyDescent="0.15">
      <c r="A36" s="5" t="s">
        <v>378</v>
      </c>
      <c r="B36" s="6" t="s">
        <v>409</v>
      </c>
      <c r="C36" s="6" t="s">
        <v>106</v>
      </c>
      <c r="D36" s="6"/>
      <c r="G36" s="6">
        <v>0.81</v>
      </c>
      <c r="H36" s="6">
        <v>105321006</v>
      </c>
      <c r="J36" s="6">
        <v>0.69299999999999995</v>
      </c>
      <c r="K36" s="6">
        <v>90105535</v>
      </c>
      <c r="M36" s="4" t="s">
        <v>428</v>
      </c>
      <c r="N36" s="4" t="s">
        <v>437</v>
      </c>
      <c r="O36" s="4" t="s">
        <v>438</v>
      </c>
      <c r="P36" s="25">
        <f t="shared" si="1"/>
        <v>130022417.02741703</v>
      </c>
      <c r="Q36" s="4" t="s">
        <v>480</v>
      </c>
      <c r="R36" s="29">
        <f>(0.12+1.08)*3.6</f>
        <v>4.3200000000000012</v>
      </c>
      <c r="S36" s="29">
        <v>0</v>
      </c>
      <c r="T36" s="20"/>
      <c r="U36" s="20"/>
      <c r="V36" s="20">
        <v>4</v>
      </c>
      <c r="W36" s="20">
        <v>3.492</v>
      </c>
      <c r="X36" s="20"/>
      <c r="AC36" s="4" t="s">
        <v>409</v>
      </c>
      <c r="AD36" s="29">
        <v>0.6</v>
      </c>
      <c r="AE36" s="29">
        <v>0.59799999999999998</v>
      </c>
      <c r="AF36" s="4" t="s">
        <v>409</v>
      </c>
      <c r="AG36" s="29">
        <v>1.7474276218071669</v>
      </c>
      <c r="AH36" s="29">
        <v>11.543912994239884</v>
      </c>
    </row>
    <row r="37" spans="1:34" x14ac:dyDescent="0.15">
      <c r="A37" s="5" t="s">
        <v>379</v>
      </c>
      <c r="B37" s="6" t="s">
        <v>409</v>
      </c>
      <c r="C37" s="6" t="s">
        <v>106</v>
      </c>
      <c r="D37" s="6"/>
      <c r="G37" s="6">
        <v>1.1140000000000001</v>
      </c>
      <c r="H37" s="6">
        <v>2646157</v>
      </c>
      <c r="J37" s="6">
        <v>0.95699999999999996</v>
      </c>
      <c r="K37" s="6">
        <v>2145323</v>
      </c>
      <c r="M37" s="4" t="s">
        <v>428</v>
      </c>
      <c r="N37" s="4" t="s">
        <v>437</v>
      </c>
      <c r="O37" s="4" t="s">
        <v>438</v>
      </c>
      <c r="P37" s="25">
        <f t="shared" si="1"/>
        <v>2241716.8234064789</v>
      </c>
      <c r="Q37" s="4" t="s">
        <v>480</v>
      </c>
      <c r="R37" s="29">
        <f>(0.12+1.08)*3.6</f>
        <v>4.3200000000000012</v>
      </c>
      <c r="S37" s="29">
        <v>0</v>
      </c>
      <c r="T37" s="20"/>
      <c r="U37" s="20"/>
      <c r="V37" s="20">
        <v>4</v>
      </c>
      <c r="W37" s="20">
        <v>3.492</v>
      </c>
      <c r="X37" s="20"/>
      <c r="AC37" s="4" t="s">
        <v>409</v>
      </c>
      <c r="AD37" s="29">
        <v>0.6</v>
      </c>
      <c r="AE37" s="29">
        <v>0.59799999999999998</v>
      </c>
      <c r="AF37" s="4" t="s">
        <v>409</v>
      </c>
      <c r="AG37" s="29">
        <v>1.7474276218071669</v>
      </c>
      <c r="AH37" s="29">
        <v>11.543912994239884</v>
      </c>
    </row>
    <row r="38" spans="1:34" x14ac:dyDescent="0.15">
      <c r="A38" s="5" t="s">
        <v>380</v>
      </c>
      <c r="B38" s="6" t="s">
        <v>409</v>
      </c>
      <c r="C38" s="6" t="s">
        <v>380</v>
      </c>
      <c r="D38" s="6"/>
      <c r="G38" s="6">
        <v>1.0589999999999999</v>
      </c>
      <c r="H38" s="6">
        <v>21751588</v>
      </c>
      <c r="J38" s="6">
        <v>0.72499999999999998</v>
      </c>
      <c r="K38" s="6">
        <v>15062292</v>
      </c>
      <c r="M38" s="4" t="s">
        <v>428</v>
      </c>
      <c r="N38" s="4" t="s">
        <v>430</v>
      </c>
      <c r="O38" s="4" t="s">
        <v>457</v>
      </c>
      <c r="P38" s="25">
        <f t="shared" si="1"/>
        <v>20775575.172413792</v>
      </c>
      <c r="Q38" s="4" t="s">
        <v>489</v>
      </c>
      <c r="R38" s="29">
        <f t="shared" ref="R38:R39" si="8">1.03*3.6</f>
        <v>3.7080000000000002</v>
      </c>
      <c r="S38" s="29">
        <v>0</v>
      </c>
      <c r="T38" s="20"/>
      <c r="U38" s="20"/>
      <c r="V38" s="20"/>
      <c r="W38" s="20">
        <v>3.7080000000000002</v>
      </c>
      <c r="X38" s="20"/>
      <c r="AC38" s="4" t="s">
        <v>409</v>
      </c>
      <c r="AD38" s="29">
        <v>0.6</v>
      </c>
      <c r="AE38" s="29">
        <v>0.59799999999999998</v>
      </c>
      <c r="AF38" s="4" t="s">
        <v>409</v>
      </c>
      <c r="AG38" s="29">
        <v>1.9487171000000012</v>
      </c>
      <c r="AH38" s="29">
        <v>118.49939476920677</v>
      </c>
    </row>
    <row r="39" spans="1:34" x14ac:dyDescent="0.15">
      <c r="A39" s="5" t="s">
        <v>381</v>
      </c>
      <c r="B39" s="6" t="s">
        <v>409</v>
      </c>
      <c r="C39" s="6" t="s">
        <v>380</v>
      </c>
      <c r="D39" s="6"/>
      <c r="G39" s="6">
        <v>1.214</v>
      </c>
      <c r="H39" s="6">
        <v>1794640</v>
      </c>
      <c r="J39" s="6">
        <v>0.81499999999999995</v>
      </c>
      <c r="K39" s="6">
        <v>1265828</v>
      </c>
      <c r="M39" s="4" t="s">
        <v>428</v>
      </c>
      <c r="N39" s="4" t="s">
        <v>430</v>
      </c>
      <c r="O39" s="4" t="s">
        <v>457</v>
      </c>
      <c r="P39" s="25">
        <f t="shared" si="1"/>
        <v>1553163.1901840491</v>
      </c>
      <c r="Q39" s="4" t="s">
        <v>489</v>
      </c>
      <c r="R39" s="29">
        <f t="shared" si="8"/>
        <v>3.7080000000000002</v>
      </c>
      <c r="S39" s="29">
        <v>0</v>
      </c>
      <c r="T39" s="20"/>
      <c r="U39" s="20"/>
      <c r="V39" s="20"/>
      <c r="W39" s="21">
        <v>3.7080000000000002</v>
      </c>
      <c r="X39" s="20"/>
      <c r="AC39" s="4" t="s">
        <v>409</v>
      </c>
      <c r="AD39" s="29">
        <v>0.6</v>
      </c>
      <c r="AE39" s="29">
        <v>0.59799999999999998</v>
      </c>
      <c r="AF39" s="4" t="s">
        <v>409</v>
      </c>
      <c r="AG39" s="29">
        <v>1.9487171000000012</v>
      </c>
      <c r="AH39" s="29">
        <v>118.49939476920677</v>
      </c>
    </row>
    <row r="40" spans="1:34" x14ac:dyDescent="0.15">
      <c r="A40" s="5" t="s">
        <v>382</v>
      </c>
      <c r="B40" s="6" t="s">
        <v>409</v>
      </c>
      <c r="C40" s="6" t="s">
        <v>380</v>
      </c>
      <c r="D40" s="6"/>
      <c r="G40" s="6">
        <v>1.5349999999999999</v>
      </c>
      <c r="H40" s="6">
        <v>790184</v>
      </c>
      <c r="J40" s="6">
        <v>1.4059999999999999</v>
      </c>
      <c r="K40" s="6">
        <v>722297</v>
      </c>
      <c r="M40" s="4" t="s">
        <v>428</v>
      </c>
      <c r="N40" s="4" t="s">
        <v>430</v>
      </c>
      <c r="O40" s="4" t="s">
        <v>457</v>
      </c>
      <c r="P40" s="25">
        <f t="shared" si="1"/>
        <v>513724.75106685638</v>
      </c>
      <c r="Q40" s="4" t="s">
        <v>489</v>
      </c>
      <c r="R40" s="29">
        <f>1.03*3.6</f>
        <v>3.7080000000000002</v>
      </c>
      <c r="S40" s="29">
        <v>0</v>
      </c>
      <c r="T40" s="20"/>
      <c r="U40" s="20"/>
      <c r="V40" s="20"/>
      <c r="W40" s="21">
        <v>3.7080000000000002</v>
      </c>
      <c r="X40" s="20"/>
      <c r="AC40" s="4" t="s">
        <v>409</v>
      </c>
      <c r="AD40" s="29">
        <v>0.6</v>
      </c>
      <c r="AE40" s="29">
        <v>0.59799999999999998</v>
      </c>
      <c r="AF40" s="4" t="s">
        <v>409</v>
      </c>
      <c r="AG40" s="29">
        <v>1.9487171000000012</v>
      </c>
      <c r="AH40" s="29">
        <v>118.49939476920677</v>
      </c>
    </row>
    <row r="41" spans="1:34" x14ac:dyDescent="0.15">
      <c r="A41" s="5" t="s">
        <v>383</v>
      </c>
      <c r="B41" s="6" t="s">
        <v>409</v>
      </c>
      <c r="C41" s="6" t="s">
        <v>82</v>
      </c>
      <c r="D41" s="6"/>
      <c r="G41" s="6">
        <v>0.51</v>
      </c>
      <c r="H41" s="6">
        <v>5129544</v>
      </c>
      <c r="J41" s="6">
        <v>0.39900000000000002</v>
      </c>
      <c r="K41" s="6">
        <v>4066932</v>
      </c>
      <c r="M41" s="4" t="s">
        <v>428</v>
      </c>
      <c r="N41" s="4" t="s">
        <v>430</v>
      </c>
      <c r="O41" s="4" t="s">
        <v>434</v>
      </c>
      <c r="P41" s="25">
        <f t="shared" si="1"/>
        <v>10192812.030075187</v>
      </c>
      <c r="Q41" s="4" t="s">
        <v>480</v>
      </c>
      <c r="R41" s="29">
        <f>(0.09+0.43+0.66+1.18)*3.6</f>
        <v>8.4960000000000022</v>
      </c>
      <c r="S41" s="29">
        <v>0</v>
      </c>
      <c r="T41" s="20"/>
      <c r="U41" s="20"/>
      <c r="V41" s="20">
        <v>7.8</v>
      </c>
      <c r="W41" s="20">
        <v>9.2880000000000003</v>
      </c>
      <c r="X41" s="20"/>
      <c r="AC41" s="4" t="s">
        <v>409</v>
      </c>
      <c r="AD41" s="29">
        <v>0.6</v>
      </c>
      <c r="AE41" s="29">
        <v>0.59799999999999998</v>
      </c>
      <c r="AF41" s="4" t="s">
        <v>409</v>
      </c>
      <c r="AG41" s="29">
        <v>1.1805916207174114</v>
      </c>
      <c r="AH41" s="29">
        <v>1.6217124671972132</v>
      </c>
    </row>
    <row r="42" spans="1:34" x14ac:dyDescent="0.15">
      <c r="A42" s="5" t="s">
        <v>384</v>
      </c>
      <c r="B42" s="6" t="s">
        <v>409</v>
      </c>
      <c r="C42" s="6" t="s">
        <v>82</v>
      </c>
      <c r="D42" s="6"/>
      <c r="G42" s="6">
        <v>0.45900000000000002</v>
      </c>
      <c r="H42" s="6">
        <v>3582195</v>
      </c>
      <c r="J42" s="6">
        <v>0.28999999999999998</v>
      </c>
      <c r="K42" s="6">
        <v>2265406</v>
      </c>
      <c r="M42" s="4" t="s">
        <v>428</v>
      </c>
      <c r="N42" s="4" t="s">
        <v>430</v>
      </c>
      <c r="O42" s="4" t="s">
        <v>434</v>
      </c>
      <c r="P42" s="25">
        <f t="shared" si="1"/>
        <v>7811744.8275862075</v>
      </c>
      <c r="Q42" s="4" t="s">
        <v>480</v>
      </c>
      <c r="R42" s="29">
        <f t="shared" ref="R42:R43" si="9">(0.09+0.43+0.66+1.18)*3.6</f>
        <v>8.4960000000000022</v>
      </c>
      <c r="S42" s="29">
        <v>0</v>
      </c>
      <c r="T42" s="20"/>
      <c r="U42" s="20"/>
      <c r="V42" s="20">
        <v>4.5999999999999996</v>
      </c>
      <c r="W42" s="20">
        <v>4.6080000000000005</v>
      </c>
      <c r="X42" s="20"/>
      <c r="AC42" s="4" t="s">
        <v>409</v>
      </c>
      <c r="AD42" s="29">
        <v>0.6</v>
      </c>
      <c r="AE42" s="29">
        <v>0.59799999999999998</v>
      </c>
      <c r="AF42" s="4" t="s">
        <v>409</v>
      </c>
      <c r="AG42" s="29">
        <v>1.1805916207174114</v>
      </c>
      <c r="AH42" s="29">
        <v>1.6217124671972132</v>
      </c>
    </row>
    <row r="43" spans="1:34" x14ac:dyDescent="0.15">
      <c r="A43" s="5" t="s">
        <v>385</v>
      </c>
      <c r="B43" s="6" t="s">
        <v>409</v>
      </c>
      <c r="C43" s="6" t="s">
        <v>82</v>
      </c>
      <c r="D43" s="6"/>
      <c r="G43" s="6">
        <v>0.35299999999999998</v>
      </c>
      <c r="H43" s="6">
        <v>3771180</v>
      </c>
      <c r="J43" s="6">
        <v>0.23699999999999999</v>
      </c>
      <c r="K43" s="6">
        <v>2519439</v>
      </c>
      <c r="M43" s="4" t="s">
        <v>428</v>
      </c>
      <c r="N43" s="4" t="s">
        <v>430</v>
      </c>
      <c r="O43" s="4" t="s">
        <v>434</v>
      </c>
      <c r="P43" s="25">
        <f t="shared" si="1"/>
        <v>10630544.303797469</v>
      </c>
      <c r="Q43" s="4" t="s">
        <v>480</v>
      </c>
      <c r="R43" s="29">
        <f t="shared" si="9"/>
        <v>8.4960000000000022</v>
      </c>
      <c r="S43" s="29">
        <v>0</v>
      </c>
      <c r="T43" s="20"/>
      <c r="U43" s="20"/>
      <c r="V43" s="20">
        <v>4.5999999999999996</v>
      </c>
      <c r="W43" s="20">
        <v>4.6080000000000005</v>
      </c>
      <c r="X43" s="20"/>
      <c r="AC43" s="4" t="s">
        <v>409</v>
      </c>
      <c r="AD43" s="29">
        <v>0.6</v>
      </c>
      <c r="AE43" s="29">
        <v>0.59799999999999998</v>
      </c>
      <c r="AF43" s="4" t="s">
        <v>409</v>
      </c>
      <c r="AG43" s="29">
        <v>1.1805916207174114</v>
      </c>
      <c r="AH43" s="29">
        <v>1.6217124671972132</v>
      </c>
    </row>
    <row r="44" spans="1:34" x14ac:dyDescent="0.15">
      <c r="A44" s="5" t="s">
        <v>386</v>
      </c>
      <c r="B44" s="6" t="s">
        <v>409</v>
      </c>
      <c r="C44" s="6" t="s">
        <v>82</v>
      </c>
      <c r="D44" s="6" t="s">
        <v>474</v>
      </c>
      <c r="G44" s="6">
        <v>0.41499999999999998</v>
      </c>
      <c r="H44" s="6">
        <v>390741</v>
      </c>
      <c r="J44" s="6">
        <v>0.309</v>
      </c>
      <c r="K44" s="6">
        <v>283967</v>
      </c>
      <c r="M44" s="4" t="s">
        <v>428</v>
      </c>
      <c r="N44" s="4" t="s">
        <v>430</v>
      </c>
      <c r="O44" s="4" t="s">
        <v>435</v>
      </c>
      <c r="P44" s="25">
        <f t="shared" si="1"/>
        <v>918987.0550161812</v>
      </c>
      <c r="Q44" s="4" t="s">
        <v>480</v>
      </c>
      <c r="R44" s="29">
        <f>(0.21+0.28+0.88)*3.6</f>
        <v>4.9320000000000004</v>
      </c>
      <c r="S44" s="29">
        <v>0</v>
      </c>
      <c r="T44" s="20"/>
      <c r="U44" s="20"/>
      <c r="V44" s="20">
        <v>0.54</v>
      </c>
      <c r="W44" s="21">
        <v>4.6080000000000005</v>
      </c>
      <c r="X44" s="20"/>
      <c r="AC44" s="4" t="s">
        <v>409</v>
      </c>
      <c r="AD44" s="29">
        <v>0.6</v>
      </c>
      <c r="AE44" s="29">
        <v>0.59799999999999998</v>
      </c>
      <c r="AF44" s="4" t="s">
        <v>409</v>
      </c>
      <c r="AG44" s="29">
        <v>1.1805916207174114</v>
      </c>
      <c r="AH44" s="29">
        <v>1.6217124671972132</v>
      </c>
    </row>
    <row r="45" spans="1:34" x14ac:dyDescent="0.15">
      <c r="A45" s="5" t="s">
        <v>334</v>
      </c>
      <c r="B45" s="6" t="s">
        <v>409</v>
      </c>
      <c r="C45" s="6" t="s">
        <v>101</v>
      </c>
      <c r="D45" s="6" t="s">
        <v>476</v>
      </c>
      <c r="G45" s="6">
        <v>0.16</v>
      </c>
      <c r="H45" s="6">
        <v>681443</v>
      </c>
      <c r="J45" s="6">
        <v>0.106</v>
      </c>
      <c r="K45" s="6">
        <v>452784</v>
      </c>
      <c r="M45" s="4" t="s">
        <v>428</v>
      </c>
      <c r="N45" s="4" t="s">
        <v>430</v>
      </c>
      <c r="O45" s="4" t="s">
        <v>502</v>
      </c>
      <c r="P45" s="25">
        <f t="shared" si="1"/>
        <v>4271547.1698113205</v>
      </c>
      <c r="Q45" s="4" t="s">
        <v>480</v>
      </c>
      <c r="R45" s="29">
        <f>(0.08+0.31)*3.6</f>
        <v>1.4040000000000001</v>
      </c>
      <c r="S45" s="29">
        <v>0</v>
      </c>
      <c r="T45" s="10"/>
      <c r="U45" s="10"/>
      <c r="V45" s="10"/>
      <c r="W45" s="21">
        <v>0.5714285714285714</v>
      </c>
      <c r="X45" s="10"/>
      <c r="AC45" s="4" t="s">
        <v>409</v>
      </c>
      <c r="AD45" s="29">
        <v>0.6</v>
      </c>
      <c r="AE45" s="29">
        <v>0.59799999999999998</v>
      </c>
      <c r="AF45" s="4" t="s">
        <v>409</v>
      </c>
      <c r="AG45" s="29">
        <v>1.1022133959071165</v>
      </c>
      <c r="AH45" s="29">
        <v>1.455542145135519</v>
      </c>
    </row>
    <row r="46" spans="1:34" x14ac:dyDescent="0.15">
      <c r="A46" s="5" t="s">
        <v>387</v>
      </c>
      <c r="B46" s="6" t="s">
        <v>409</v>
      </c>
      <c r="C46" s="6" t="s">
        <v>101</v>
      </c>
      <c r="D46" s="6" t="s">
        <v>476</v>
      </c>
      <c r="G46" s="6">
        <v>0.183</v>
      </c>
      <c r="H46" s="6">
        <v>207165</v>
      </c>
      <c r="J46" s="6">
        <v>0.14599999999999999</v>
      </c>
      <c r="K46" s="6">
        <v>160430</v>
      </c>
      <c r="M46" s="4" t="s">
        <v>427</v>
      </c>
      <c r="N46" s="4" t="s">
        <v>436</v>
      </c>
      <c r="O46" s="4" t="s">
        <v>502</v>
      </c>
      <c r="P46" s="25">
        <f t="shared" si="1"/>
        <v>1098835.6164383562</v>
      </c>
      <c r="Q46" s="4" t="s">
        <v>480</v>
      </c>
      <c r="R46" s="29">
        <f t="shared" ref="R46" si="10">(0.08+0.31)*3.6</f>
        <v>1.4040000000000001</v>
      </c>
      <c r="S46" s="29">
        <v>0</v>
      </c>
      <c r="T46" s="10"/>
      <c r="U46" s="10"/>
      <c r="V46" s="10"/>
      <c r="W46" s="21">
        <v>0.5714285714285714</v>
      </c>
      <c r="X46" s="10"/>
      <c r="AC46" s="4" t="s">
        <v>409</v>
      </c>
      <c r="AD46" s="29">
        <v>0.6</v>
      </c>
      <c r="AE46" s="29">
        <v>0.59799999999999998</v>
      </c>
      <c r="AF46" s="4" t="s">
        <v>409</v>
      </c>
      <c r="AG46" s="29">
        <v>1.1022133959071165</v>
      </c>
      <c r="AH46" s="29">
        <v>1.455542145135519</v>
      </c>
    </row>
    <row r="47" spans="1:34" x14ac:dyDescent="0.15">
      <c r="A47" s="5" t="s">
        <v>388</v>
      </c>
      <c r="B47" s="6" t="s">
        <v>409</v>
      </c>
      <c r="C47" s="6" t="s">
        <v>101</v>
      </c>
      <c r="D47" s="6" t="s">
        <v>476</v>
      </c>
      <c r="G47" s="6">
        <v>0.184</v>
      </c>
      <c r="H47" s="6">
        <v>1109511</v>
      </c>
      <c r="J47" s="6">
        <v>0.14399999999999999</v>
      </c>
      <c r="K47" s="6">
        <v>735846</v>
      </c>
      <c r="M47" s="4" t="s">
        <v>427</v>
      </c>
      <c r="N47" s="4" t="s">
        <v>436</v>
      </c>
      <c r="O47" s="4" t="s">
        <v>501</v>
      </c>
      <c r="P47" s="25">
        <f t="shared" si="1"/>
        <v>5110041.666666667</v>
      </c>
      <c r="Q47" s="4" t="s">
        <v>480</v>
      </c>
      <c r="R47" s="29">
        <f>(0.1+0.17+0.11+1.114)*3.6</f>
        <v>5.378400000000001</v>
      </c>
      <c r="S47" s="29">
        <v>0</v>
      </c>
      <c r="T47" s="10"/>
      <c r="U47" s="10"/>
      <c r="V47" s="10"/>
      <c r="W47" s="21">
        <v>0.5714285714285714</v>
      </c>
      <c r="X47" s="10"/>
      <c r="AC47" s="4" t="s">
        <v>409</v>
      </c>
      <c r="AD47" s="29">
        <v>0.6</v>
      </c>
      <c r="AE47" s="29">
        <v>0.59799999999999998</v>
      </c>
      <c r="AF47" s="4" t="s">
        <v>409</v>
      </c>
      <c r="AG47" s="29">
        <v>1.1022133959071165</v>
      </c>
      <c r="AH47" s="29">
        <v>1.455542145135519</v>
      </c>
    </row>
    <row r="48" spans="1:34" x14ac:dyDescent="0.15">
      <c r="A48" s="5" t="s">
        <v>389</v>
      </c>
      <c r="B48" s="6" t="s">
        <v>409</v>
      </c>
      <c r="C48" s="6" t="s">
        <v>101</v>
      </c>
      <c r="D48" s="6" t="s">
        <v>476</v>
      </c>
      <c r="G48" s="6">
        <v>7.3999999999999996E-2</v>
      </c>
      <c r="H48" s="6">
        <v>1712944</v>
      </c>
      <c r="J48" s="6">
        <v>5.8000000000000003E-2</v>
      </c>
      <c r="K48" s="6">
        <v>1323716</v>
      </c>
      <c r="M48" s="4" t="s">
        <v>427</v>
      </c>
      <c r="N48" s="4" t="s">
        <v>436</v>
      </c>
      <c r="O48" s="4" t="s">
        <v>503</v>
      </c>
      <c r="P48" s="25">
        <f t="shared" si="1"/>
        <v>22822689.655172411</v>
      </c>
      <c r="Q48" s="4" t="s">
        <v>480</v>
      </c>
      <c r="R48" s="29">
        <f>(0.01+0.02+0.08+0.71)*3.6</f>
        <v>2.952</v>
      </c>
      <c r="S48" s="29">
        <v>0</v>
      </c>
      <c r="T48" s="10"/>
      <c r="U48" s="10"/>
      <c r="V48" s="10"/>
      <c r="W48" s="21">
        <v>0.5714285714285714</v>
      </c>
      <c r="X48" s="10"/>
      <c r="AC48" s="4" t="s">
        <v>409</v>
      </c>
      <c r="AD48" s="29">
        <v>0.6</v>
      </c>
      <c r="AE48" s="29">
        <v>0.59799999999999998</v>
      </c>
      <c r="AF48" s="4" t="s">
        <v>409</v>
      </c>
      <c r="AG48" s="29">
        <v>1.1022133959071165</v>
      </c>
      <c r="AH48" s="29">
        <v>1.455542145135519</v>
      </c>
    </row>
    <row r="49" spans="1:34" x14ac:dyDescent="0.15">
      <c r="A49" s="5" t="s">
        <v>355</v>
      </c>
      <c r="B49" s="6" t="s">
        <v>409</v>
      </c>
      <c r="C49" s="6"/>
      <c r="D49" s="6" t="s">
        <v>474</v>
      </c>
      <c r="G49" s="6">
        <v>0.77900000000000003</v>
      </c>
      <c r="H49" s="6">
        <v>3187683</v>
      </c>
      <c r="J49" s="6">
        <v>0.53500000000000003</v>
      </c>
      <c r="K49" s="6">
        <v>1577648</v>
      </c>
      <c r="M49" s="4" t="s">
        <v>428</v>
      </c>
      <c r="N49" s="4" t="s">
        <v>430</v>
      </c>
      <c r="O49" s="4" t="s">
        <v>435</v>
      </c>
      <c r="P49" s="25">
        <f t="shared" si="1"/>
        <v>2948874.7663551401</v>
      </c>
      <c r="Q49" s="4" t="s">
        <v>480</v>
      </c>
      <c r="R49" s="29">
        <f>(0.21+0.28+0.88)*3.6</f>
        <v>4.9320000000000004</v>
      </c>
      <c r="S49" s="29">
        <v>0</v>
      </c>
      <c r="T49" s="10"/>
      <c r="U49" s="10"/>
      <c r="V49" s="10"/>
      <c r="W49" s="21">
        <v>0.5714285714285714</v>
      </c>
      <c r="X49" s="10"/>
      <c r="AC49" s="4" t="s">
        <v>409</v>
      </c>
      <c r="AD49" s="29">
        <v>0.6</v>
      </c>
      <c r="AE49" s="29">
        <v>0.59799999999999998</v>
      </c>
      <c r="AF49" s="4" t="s">
        <v>409</v>
      </c>
      <c r="AG49" s="29">
        <v>1.1022133959071165</v>
      </c>
      <c r="AH49" s="29">
        <v>1.455542145135519</v>
      </c>
    </row>
    <row r="50" spans="1:34" x14ac:dyDescent="0.15">
      <c r="A50" s="5" t="s">
        <v>390</v>
      </c>
      <c r="B50" s="6" t="s">
        <v>409</v>
      </c>
      <c r="C50" s="6" t="s">
        <v>390</v>
      </c>
      <c r="D50" s="6"/>
      <c r="G50" s="6">
        <v>0.06</v>
      </c>
      <c r="H50" s="6">
        <v>47230</v>
      </c>
      <c r="J50" s="6">
        <v>4.7E-2</v>
      </c>
      <c r="K50" s="6">
        <v>36673</v>
      </c>
      <c r="M50" s="4" t="s">
        <v>428</v>
      </c>
      <c r="N50" s="4" t="s">
        <v>439</v>
      </c>
      <c r="O50" s="4" t="s">
        <v>412</v>
      </c>
      <c r="P50" s="25">
        <f t="shared" si="1"/>
        <v>780276.59574468085</v>
      </c>
      <c r="Q50" s="4" t="s">
        <v>480</v>
      </c>
      <c r="R50" s="29">
        <f>(0.08+0.08+0.14)*3.6</f>
        <v>1.0800000000000003</v>
      </c>
      <c r="S50" s="29">
        <v>0</v>
      </c>
      <c r="T50" s="10"/>
      <c r="U50" s="10"/>
      <c r="V50" s="10"/>
      <c r="W50" s="21">
        <v>0.5714285714285714</v>
      </c>
      <c r="X50" s="10"/>
      <c r="AC50" s="4" t="s">
        <v>409</v>
      </c>
      <c r="AD50" s="29">
        <v>0.6</v>
      </c>
      <c r="AE50" s="29">
        <v>0.59799999999999998</v>
      </c>
      <c r="AF50" s="4" t="s">
        <v>409</v>
      </c>
      <c r="AG50" s="29">
        <v>1.064726745878753</v>
      </c>
      <c r="AH50" s="29">
        <v>1.4340325482945437</v>
      </c>
    </row>
    <row r="51" spans="1:34" x14ac:dyDescent="0.15">
      <c r="A51" s="5" t="s">
        <v>391</v>
      </c>
      <c r="B51" s="6" t="s">
        <v>409</v>
      </c>
      <c r="C51" s="6" t="s">
        <v>390</v>
      </c>
      <c r="D51" s="6"/>
      <c r="G51" s="6">
        <v>2.1000000000000001E-2</v>
      </c>
      <c r="H51" s="6">
        <v>78682</v>
      </c>
      <c r="J51" s="6">
        <v>2.1000000000000001E-2</v>
      </c>
      <c r="K51" s="6">
        <v>50229</v>
      </c>
      <c r="M51" s="4" t="s">
        <v>428</v>
      </c>
      <c r="N51" s="4" t="s">
        <v>439</v>
      </c>
      <c r="O51" s="4" t="s">
        <v>412</v>
      </c>
      <c r="P51" s="25">
        <f t="shared" si="1"/>
        <v>2391857.1428571427</v>
      </c>
      <c r="Q51" s="4" t="s">
        <v>480</v>
      </c>
      <c r="R51" s="29">
        <f t="shared" ref="R51:R52" si="11">(0.08+0.08+0.14)*3.6</f>
        <v>1.0800000000000003</v>
      </c>
      <c r="S51" s="29">
        <v>0</v>
      </c>
      <c r="T51" s="10"/>
      <c r="U51" s="10"/>
      <c r="V51" s="10"/>
      <c r="W51" s="21">
        <v>0.5714285714285714</v>
      </c>
      <c r="X51" s="10"/>
      <c r="AC51" s="4" t="s">
        <v>409</v>
      </c>
      <c r="AD51" s="29">
        <v>0.6</v>
      </c>
      <c r="AE51" s="29">
        <v>0.59799999999999998</v>
      </c>
      <c r="AF51" s="4" t="s">
        <v>409</v>
      </c>
      <c r="AG51" s="29">
        <v>1.064726745878753</v>
      </c>
      <c r="AH51" s="29">
        <v>1.4340325482945437</v>
      </c>
    </row>
    <row r="52" spans="1:34" x14ac:dyDescent="0.15">
      <c r="A52" s="5" t="s">
        <v>392</v>
      </c>
      <c r="B52" s="6" t="s">
        <v>409</v>
      </c>
      <c r="C52" s="6"/>
      <c r="D52" s="6"/>
      <c r="G52" s="6">
        <v>0.14199999999999999</v>
      </c>
      <c r="H52" s="6">
        <v>1131799</v>
      </c>
      <c r="J52" s="6">
        <v>0.11</v>
      </c>
      <c r="K52" s="6">
        <v>253159</v>
      </c>
      <c r="M52" s="4" t="s">
        <v>428</v>
      </c>
      <c r="N52" s="4" t="s">
        <v>439</v>
      </c>
      <c r="O52" s="4" t="s">
        <v>412</v>
      </c>
      <c r="P52" s="25">
        <f t="shared" si="1"/>
        <v>2301445.4545454546</v>
      </c>
      <c r="Q52" s="4" t="s">
        <v>480</v>
      </c>
      <c r="R52" s="29">
        <f t="shared" si="11"/>
        <v>1.0800000000000003</v>
      </c>
      <c r="S52" s="29">
        <v>0</v>
      </c>
      <c r="T52" s="10"/>
      <c r="U52" s="10"/>
      <c r="V52" s="10"/>
      <c r="W52" s="21">
        <v>0.5714285714285714</v>
      </c>
      <c r="X52" s="10"/>
      <c r="AC52" s="4" t="s">
        <v>409</v>
      </c>
      <c r="AD52" s="29">
        <v>0.6</v>
      </c>
      <c r="AE52" s="29">
        <v>0.59799999999999998</v>
      </c>
      <c r="AF52" s="4" t="s">
        <v>409</v>
      </c>
      <c r="AG52" s="29">
        <v>1.064726745878753</v>
      </c>
      <c r="AH52" s="29">
        <v>1.4340325482945437</v>
      </c>
    </row>
    <row r="53" spans="1:34" x14ac:dyDescent="0.15">
      <c r="A53" s="5" t="s">
        <v>332</v>
      </c>
      <c r="G53" s="6">
        <v>1.8</v>
      </c>
      <c r="J53" s="6">
        <v>1.8</v>
      </c>
      <c r="M53" s="4" t="s">
        <v>428</v>
      </c>
      <c r="N53" s="4" t="s">
        <v>436</v>
      </c>
      <c r="O53" s="4" t="s">
        <v>501</v>
      </c>
      <c r="P53" s="25">
        <f t="shared" si="1"/>
        <v>0</v>
      </c>
      <c r="Q53" s="4" t="s">
        <v>480</v>
      </c>
      <c r="R53" s="29">
        <f>(0.1+0.17+0.11+1.114)*3.6</f>
        <v>5.378400000000001</v>
      </c>
      <c r="S53" s="29">
        <v>0</v>
      </c>
      <c r="T53" s="10"/>
      <c r="U53" s="10"/>
      <c r="V53" s="10"/>
      <c r="W53" s="21">
        <v>0.5714285714285714</v>
      </c>
      <c r="X53" s="10"/>
      <c r="AC53" s="4" t="s">
        <v>409</v>
      </c>
      <c r="AD53" s="29">
        <v>0.6</v>
      </c>
      <c r="AE53" s="29">
        <v>0.59799999999999998</v>
      </c>
      <c r="AF53" s="4" t="s">
        <v>409</v>
      </c>
      <c r="AG53" s="29">
        <v>1.2551691331611463</v>
      </c>
      <c r="AH53" s="29">
        <v>2.4027505261813573</v>
      </c>
    </row>
    <row r="54" spans="1:34" s="23" customFormat="1" x14ac:dyDescent="0.15">
      <c r="A54" s="22" t="s">
        <v>122</v>
      </c>
      <c r="P54" s="26"/>
      <c r="R54" s="28"/>
      <c r="S54" s="28"/>
      <c r="AD54" s="28"/>
      <c r="AE54" s="28"/>
      <c r="AG54" s="28"/>
      <c r="AH54" s="28"/>
    </row>
    <row r="55" spans="1:34" x14ac:dyDescent="0.15">
      <c r="A55" s="5" t="s">
        <v>393</v>
      </c>
      <c r="B55" s="6" t="s">
        <v>475</v>
      </c>
      <c r="C55" s="6" t="s">
        <v>221</v>
      </c>
      <c r="D55" s="6"/>
      <c r="E55" s="6"/>
      <c r="G55" s="6">
        <v>0.111</v>
      </c>
      <c r="H55" s="6">
        <v>927669</v>
      </c>
      <c r="J55" s="6">
        <v>9.0999999999999998E-2</v>
      </c>
      <c r="K55" s="6">
        <v>416663</v>
      </c>
      <c r="M55" s="4" t="s">
        <v>428</v>
      </c>
      <c r="N55" s="4" t="s">
        <v>444</v>
      </c>
      <c r="O55" s="4" t="s">
        <v>443</v>
      </c>
      <c r="P55" s="25">
        <f t="shared" si="1"/>
        <v>4578714.2857142854</v>
      </c>
      <c r="Q55" s="4" t="s">
        <v>489</v>
      </c>
      <c r="R55" s="29">
        <f>2.86*3.6</f>
        <v>10.295999999999999</v>
      </c>
      <c r="S55" s="29">
        <v>0</v>
      </c>
      <c r="T55" s="10"/>
      <c r="U55" s="10"/>
      <c r="V55" s="10">
        <v>10.3</v>
      </c>
      <c r="W55" s="10">
        <v>10.295999999999999</v>
      </c>
      <c r="X55" s="10"/>
      <c r="AC55" s="4" t="s">
        <v>496</v>
      </c>
      <c r="AD55" s="29">
        <v>0.79800000000000004</v>
      </c>
      <c r="AE55" s="29">
        <v>0.92100000000000004</v>
      </c>
      <c r="AF55" s="4" t="s">
        <v>496</v>
      </c>
      <c r="AG55" s="29">
        <v>1.2809090316655367</v>
      </c>
      <c r="AH55" s="29">
        <v>4.1862577628706559</v>
      </c>
    </row>
    <row r="56" spans="1:34" x14ac:dyDescent="0.15">
      <c r="A56" s="5" t="s">
        <v>394</v>
      </c>
      <c r="B56" s="6" t="s">
        <v>475</v>
      </c>
      <c r="C56" s="6" t="s">
        <v>221</v>
      </c>
      <c r="D56" s="6"/>
      <c r="E56" s="6"/>
      <c r="G56" s="6">
        <v>7.1999999999999995E-2</v>
      </c>
      <c r="H56" s="6">
        <v>967436</v>
      </c>
      <c r="J56" s="6">
        <v>4.5999999999999999E-2</v>
      </c>
      <c r="K56" s="6">
        <v>360057</v>
      </c>
      <c r="M56" s="4" t="s">
        <v>428</v>
      </c>
      <c r="N56" s="4" t="s">
        <v>444</v>
      </c>
      <c r="O56" s="4" t="s">
        <v>443</v>
      </c>
      <c r="P56" s="25">
        <f t="shared" si="1"/>
        <v>7827326.0869565215</v>
      </c>
      <c r="Q56" s="4" t="s">
        <v>489</v>
      </c>
      <c r="R56" s="29">
        <f t="shared" ref="R56:R57" si="12">2.86*3.6</f>
        <v>10.295999999999999</v>
      </c>
      <c r="S56" s="29">
        <v>0</v>
      </c>
      <c r="T56" s="10"/>
      <c r="U56" s="10"/>
      <c r="V56" s="10">
        <v>10.3</v>
      </c>
      <c r="W56" s="10">
        <v>10.295999999999999</v>
      </c>
      <c r="X56" s="10"/>
      <c r="AC56" s="4" t="s">
        <v>496</v>
      </c>
      <c r="AD56" s="29">
        <v>0.79800000000000004</v>
      </c>
      <c r="AE56" s="29">
        <v>0.92100000000000004</v>
      </c>
      <c r="AF56" s="4" t="s">
        <v>496</v>
      </c>
      <c r="AG56" s="29">
        <v>1.2809090316655367</v>
      </c>
      <c r="AH56" s="29">
        <v>4.1862577628706559</v>
      </c>
    </row>
    <row r="57" spans="1:34" x14ac:dyDescent="0.15">
      <c r="A57" s="5" t="s">
        <v>395</v>
      </c>
      <c r="B57" s="6" t="s">
        <v>475</v>
      </c>
      <c r="C57" s="6" t="s">
        <v>221</v>
      </c>
      <c r="D57" s="6"/>
      <c r="E57" s="6"/>
      <c r="G57" s="6">
        <v>4.2000000000000003E-2</v>
      </c>
      <c r="H57" s="6">
        <v>249991</v>
      </c>
      <c r="J57" s="6">
        <v>1.4999999999999999E-2</v>
      </c>
      <c r="K57" s="6">
        <v>19633</v>
      </c>
      <c r="M57" s="4" t="s">
        <v>428</v>
      </c>
      <c r="N57" s="4" t="s">
        <v>444</v>
      </c>
      <c r="O57" s="4" t="s">
        <v>443</v>
      </c>
      <c r="P57" s="25">
        <f t="shared" si="1"/>
        <v>1308866.6666666667</v>
      </c>
      <c r="Q57" s="4" t="s">
        <v>489</v>
      </c>
      <c r="R57" s="29">
        <f t="shared" si="12"/>
        <v>10.295999999999999</v>
      </c>
      <c r="S57" s="29">
        <v>0</v>
      </c>
      <c r="T57" s="10"/>
      <c r="U57" s="10"/>
      <c r="V57" s="10">
        <v>10.3</v>
      </c>
      <c r="W57" s="10">
        <v>10.295999999999999</v>
      </c>
      <c r="X57" s="10"/>
      <c r="AC57" s="4" t="s">
        <v>496</v>
      </c>
      <c r="AD57" s="29">
        <v>0.79800000000000004</v>
      </c>
      <c r="AE57" s="29">
        <v>0.92100000000000004</v>
      </c>
      <c r="AF57" s="4" t="s">
        <v>496</v>
      </c>
      <c r="AG57" s="29">
        <v>1.2809090316655367</v>
      </c>
      <c r="AH57" s="29">
        <v>4.1862577628706559</v>
      </c>
    </row>
    <row r="58" spans="1:34" x14ac:dyDescent="0.15">
      <c r="A58" s="5" t="s">
        <v>396</v>
      </c>
      <c r="B58" s="6" t="s">
        <v>475</v>
      </c>
      <c r="C58" s="6" t="s">
        <v>221</v>
      </c>
      <c r="D58" s="6"/>
      <c r="E58" s="6"/>
      <c r="G58" s="6">
        <v>1.7000000000000001E-2</v>
      </c>
      <c r="H58" s="6">
        <v>621837</v>
      </c>
      <c r="J58" s="6">
        <v>0.03</v>
      </c>
      <c r="K58" s="6">
        <v>1065261</v>
      </c>
      <c r="M58" s="4" t="s">
        <v>428</v>
      </c>
      <c r="N58" s="4" t="s">
        <v>444</v>
      </c>
      <c r="O58" s="4" t="s">
        <v>491</v>
      </c>
      <c r="P58" s="25">
        <f t="shared" si="1"/>
        <v>35508700</v>
      </c>
      <c r="Q58" s="4" t="s">
        <v>489</v>
      </c>
      <c r="R58" s="29">
        <f>0.15*3.6</f>
        <v>0.54</v>
      </c>
      <c r="S58" s="29">
        <v>0</v>
      </c>
      <c r="T58" s="10"/>
      <c r="U58" s="10"/>
      <c r="V58" s="10"/>
      <c r="W58" s="10">
        <v>0.54</v>
      </c>
      <c r="X58" s="10"/>
      <c r="AC58" s="4" t="s">
        <v>496</v>
      </c>
      <c r="AD58" s="29">
        <v>0.79800000000000004</v>
      </c>
      <c r="AE58" s="29">
        <v>0.92100000000000004</v>
      </c>
      <c r="AF58" s="4" t="s">
        <v>496</v>
      </c>
      <c r="AG58" s="29">
        <v>1.2809090316655367</v>
      </c>
      <c r="AH58" s="29">
        <v>4.1862577628706559</v>
      </c>
    </row>
    <row r="59" spans="1:34" x14ac:dyDescent="0.15">
      <c r="A59" s="5" t="s">
        <v>397</v>
      </c>
      <c r="B59" s="6" t="s">
        <v>475</v>
      </c>
      <c r="C59" s="6" t="s">
        <v>173</v>
      </c>
      <c r="D59" s="6"/>
      <c r="E59" s="6"/>
      <c r="G59" s="6">
        <v>0.161</v>
      </c>
      <c r="H59" s="6">
        <v>1017364</v>
      </c>
      <c r="J59" s="6">
        <v>0.22600000000000001</v>
      </c>
      <c r="K59" s="6">
        <v>1309487</v>
      </c>
      <c r="M59" s="4" t="s">
        <v>428</v>
      </c>
      <c r="N59" s="4" t="s">
        <v>444</v>
      </c>
      <c r="O59" s="4" t="s">
        <v>413</v>
      </c>
      <c r="P59" s="25">
        <f t="shared" si="1"/>
        <v>5794190.2654867256</v>
      </c>
      <c r="Q59" s="4" t="s">
        <v>489</v>
      </c>
      <c r="R59" s="29">
        <f>(0.1+0.1+0.04+1.76)*3.6</f>
        <v>7.2</v>
      </c>
      <c r="S59" s="29">
        <v>0</v>
      </c>
      <c r="T59" s="9"/>
      <c r="U59" s="9"/>
      <c r="V59" s="9">
        <v>7.2</v>
      </c>
      <c r="W59" s="9">
        <v>7.2</v>
      </c>
      <c r="X59" s="10"/>
      <c r="AC59" s="4" t="s">
        <v>496</v>
      </c>
      <c r="AD59" s="29">
        <v>0.79800000000000004</v>
      </c>
      <c r="AE59" s="29">
        <v>0.92100000000000004</v>
      </c>
      <c r="AF59" s="4" t="s">
        <v>496</v>
      </c>
      <c r="AG59" s="29">
        <v>1.2809090316655367</v>
      </c>
      <c r="AH59" s="29">
        <v>4.1862577628706559</v>
      </c>
    </row>
    <row r="60" spans="1:34" x14ac:dyDescent="0.15">
      <c r="A60" s="5" t="s">
        <v>398</v>
      </c>
      <c r="B60" s="6" t="s">
        <v>475</v>
      </c>
      <c r="C60" s="6" t="s">
        <v>173</v>
      </c>
      <c r="D60" s="6"/>
      <c r="E60" s="6"/>
      <c r="G60" s="6">
        <v>0.17899999999999999</v>
      </c>
      <c r="H60" s="6">
        <v>2485893</v>
      </c>
      <c r="J60" s="6">
        <v>0.24199999999999999</v>
      </c>
      <c r="K60" s="6">
        <v>3151681</v>
      </c>
      <c r="M60" s="4" t="s">
        <v>428</v>
      </c>
      <c r="N60" s="4" t="s">
        <v>439</v>
      </c>
      <c r="O60" s="4" t="s">
        <v>413</v>
      </c>
      <c r="P60" s="25">
        <f t="shared" si="1"/>
        <v>13023475.20661157</v>
      </c>
      <c r="Q60" s="4" t="s">
        <v>480</v>
      </c>
      <c r="R60" s="29">
        <f>(0.1+0.1+0.04+1.76)*3.6</f>
        <v>7.2</v>
      </c>
      <c r="S60" s="29">
        <v>0</v>
      </c>
      <c r="T60" s="9"/>
      <c r="U60" s="9"/>
      <c r="V60" s="9">
        <v>7.2</v>
      </c>
      <c r="W60" s="9">
        <v>7.2</v>
      </c>
      <c r="X60" s="10"/>
      <c r="AC60" s="4" t="s">
        <v>496</v>
      </c>
      <c r="AD60" s="29">
        <v>0.79800000000000004</v>
      </c>
      <c r="AE60" s="29">
        <v>0.92100000000000004</v>
      </c>
      <c r="AF60" s="4" t="s">
        <v>496</v>
      </c>
      <c r="AG60" s="29">
        <v>1.2809090316655367</v>
      </c>
      <c r="AH60" s="29">
        <v>4.1862577628706559</v>
      </c>
    </row>
    <row r="61" spans="1:34" x14ac:dyDescent="0.15">
      <c r="A61" s="5" t="s">
        <v>399</v>
      </c>
      <c r="B61" s="6" t="s">
        <v>475</v>
      </c>
      <c r="C61" s="6" t="s">
        <v>173</v>
      </c>
      <c r="D61" s="6"/>
      <c r="E61" s="6"/>
      <c r="G61" s="6">
        <v>0.219</v>
      </c>
      <c r="H61" s="6">
        <v>3244348</v>
      </c>
      <c r="J61" s="6">
        <v>0.24199999999999999</v>
      </c>
      <c r="K61" s="6">
        <v>3409004</v>
      </c>
      <c r="M61" s="4" t="s">
        <v>428</v>
      </c>
      <c r="N61" s="4" t="s">
        <v>439</v>
      </c>
      <c r="O61" s="4" t="s">
        <v>413</v>
      </c>
      <c r="P61" s="25">
        <f t="shared" si="1"/>
        <v>14086793.388429752</v>
      </c>
      <c r="Q61" s="4" t="s">
        <v>480</v>
      </c>
      <c r="R61" s="29">
        <f t="shared" ref="R61" si="13">(0.1+0.1+0.04+1.76)*3.6</f>
        <v>7.2</v>
      </c>
      <c r="S61" s="29">
        <v>0</v>
      </c>
      <c r="T61" s="9"/>
      <c r="U61" s="9"/>
      <c r="V61" s="9">
        <v>7.2</v>
      </c>
      <c r="W61" s="9">
        <v>7.2</v>
      </c>
      <c r="X61" s="10"/>
      <c r="AC61" s="4" t="s">
        <v>496</v>
      </c>
      <c r="AD61" s="29">
        <v>0.79800000000000004</v>
      </c>
      <c r="AE61" s="29">
        <v>0.92100000000000004</v>
      </c>
      <c r="AF61" s="4" t="s">
        <v>496</v>
      </c>
      <c r="AG61" s="29">
        <v>1.2809090316655367</v>
      </c>
      <c r="AH61" s="29">
        <v>4.1862577628706559</v>
      </c>
    </row>
    <row r="62" spans="1:34" x14ac:dyDescent="0.15">
      <c r="A62" s="5" t="s">
        <v>149</v>
      </c>
      <c r="B62" s="6" t="s">
        <v>475</v>
      </c>
      <c r="C62" s="6" t="s">
        <v>173</v>
      </c>
      <c r="D62" s="6"/>
      <c r="E62" s="6"/>
      <c r="G62" s="6">
        <v>0.35199999999999998</v>
      </c>
      <c r="H62" s="6">
        <v>2167734</v>
      </c>
      <c r="J62" s="6">
        <v>0.254</v>
      </c>
      <c r="K62" s="6">
        <v>1517281</v>
      </c>
      <c r="M62" s="4" t="s">
        <v>428</v>
      </c>
      <c r="N62" s="4" t="s">
        <v>439</v>
      </c>
      <c r="O62" s="4" t="s">
        <v>149</v>
      </c>
      <c r="P62" s="25">
        <f t="shared" si="1"/>
        <v>5973547.2440944882</v>
      </c>
      <c r="Q62" s="4" t="s">
        <v>480</v>
      </c>
      <c r="R62" s="29">
        <f>(0.01+1.69+0.1+0.04)*3.6</f>
        <v>6.6240000000000006</v>
      </c>
      <c r="S62" s="29">
        <v>0</v>
      </c>
      <c r="T62" s="10"/>
      <c r="U62" s="10"/>
      <c r="V62" s="10">
        <v>6.9</v>
      </c>
      <c r="W62" s="10">
        <v>6.9119999999999999</v>
      </c>
      <c r="X62" s="10"/>
      <c r="AC62" s="4" t="s">
        <v>496</v>
      </c>
      <c r="AD62" s="29">
        <v>0.79800000000000004</v>
      </c>
      <c r="AE62" s="29">
        <v>0.92100000000000004</v>
      </c>
      <c r="AF62" s="4" t="s">
        <v>496</v>
      </c>
      <c r="AG62" s="29">
        <v>1.2809090316655367</v>
      </c>
      <c r="AH62" s="29">
        <v>4.1862577628706559</v>
      </c>
    </row>
    <row r="63" spans="1:34" x14ac:dyDescent="0.15">
      <c r="A63" s="5" t="s">
        <v>400</v>
      </c>
      <c r="B63" s="6" t="s">
        <v>475</v>
      </c>
      <c r="C63" s="6" t="s">
        <v>173</v>
      </c>
      <c r="D63" s="6" t="s">
        <v>440</v>
      </c>
      <c r="E63" s="6"/>
      <c r="G63" s="6">
        <v>0.223</v>
      </c>
      <c r="H63" s="6">
        <v>4641400</v>
      </c>
      <c r="J63" s="6">
        <v>0.188</v>
      </c>
      <c r="K63" s="6">
        <v>3880504</v>
      </c>
      <c r="M63" s="4" t="s">
        <v>428</v>
      </c>
      <c r="N63" s="4" t="s">
        <v>439</v>
      </c>
      <c r="O63" s="4" t="s">
        <v>440</v>
      </c>
      <c r="P63" s="25">
        <f t="shared" si="1"/>
        <v>20640978.723404255</v>
      </c>
      <c r="Q63" s="4" t="s">
        <v>480</v>
      </c>
      <c r="R63" s="29">
        <f>(0.07+1.2+0.07+0.04)*3.6</f>
        <v>4.9680000000000009</v>
      </c>
      <c r="S63" s="29">
        <v>0</v>
      </c>
      <c r="T63" s="10"/>
      <c r="U63" s="10"/>
      <c r="V63" s="10"/>
      <c r="W63" s="12">
        <v>4.8960000000000008</v>
      </c>
      <c r="X63" s="10"/>
      <c r="AC63" s="4" t="s">
        <v>496</v>
      </c>
      <c r="AD63" s="29">
        <v>0.79800000000000004</v>
      </c>
      <c r="AE63" s="29">
        <v>0.92100000000000004</v>
      </c>
      <c r="AF63" s="4" t="s">
        <v>496</v>
      </c>
      <c r="AG63" s="29">
        <v>1.2809090316655367</v>
      </c>
      <c r="AH63" s="29">
        <v>4.1862577628706559</v>
      </c>
    </row>
    <row r="64" spans="1:34" x14ac:dyDescent="0.15">
      <c r="A64" s="5" t="s">
        <v>401</v>
      </c>
      <c r="B64" s="6" t="s">
        <v>475</v>
      </c>
      <c r="C64" s="6" t="s">
        <v>173</v>
      </c>
      <c r="D64" s="6" t="s">
        <v>440</v>
      </c>
      <c r="E64" s="6"/>
      <c r="G64" s="6">
        <v>0.186</v>
      </c>
      <c r="H64" s="6">
        <v>874778</v>
      </c>
      <c r="J64" s="6">
        <v>0.18</v>
      </c>
      <c r="K64" s="6">
        <v>792054</v>
      </c>
      <c r="M64" s="4" t="s">
        <v>428</v>
      </c>
      <c r="N64" s="4" t="s">
        <v>439</v>
      </c>
      <c r="O64" s="4" t="s">
        <v>440</v>
      </c>
      <c r="P64" s="25">
        <f t="shared" si="1"/>
        <v>4400300</v>
      </c>
      <c r="Q64" s="4" t="s">
        <v>480</v>
      </c>
      <c r="R64" s="29">
        <f t="shared" ref="R64:R65" si="14">(0.07+1.2+0.07+0.04)*3.6</f>
        <v>4.9680000000000009</v>
      </c>
      <c r="S64" s="29">
        <v>0</v>
      </c>
      <c r="T64" s="10"/>
      <c r="U64" s="10"/>
      <c r="V64" s="10">
        <v>4.9000000000000004</v>
      </c>
      <c r="W64" s="10">
        <v>4.8960000000000008</v>
      </c>
      <c r="X64" s="10"/>
      <c r="AC64" s="4" t="s">
        <v>496</v>
      </c>
      <c r="AD64" s="29">
        <v>0.79800000000000004</v>
      </c>
      <c r="AE64" s="29">
        <v>0.92100000000000004</v>
      </c>
      <c r="AF64" s="4" t="s">
        <v>496</v>
      </c>
      <c r="AG64" s="29">
        <v>1.2809090316655367</v>
      </c>
      <c r="AH64" s="29">
        <v>4.1862577628706559</v>
      </c>
    </row>
    <row r="65" spans="1:34" x14ac:dyDescent="0.15">
      <c r="A65" s="5" t="s">
        <v>402</v>
      </c>
      <c r="B65" s="6" t="s">
        <v>475</v>
      </c>
      <c r="C65" s="6" t="s">
        <v>173</v>
      </c>
      <c r="D65" s="6" t="s">
        <v>440</v>
      </c>
      <c r="E65" s="6"/>
      <c r="G65" s="6">
        <v>0.14299999999999999</v>
      </c>
      <c r="H65" s="6">
        <v>1341063</v>
      </c>
      <c r="J65" s="6">
        <v>0.20699999999999999</v>
      </c>
      <c r="K65" s="6">
        <v>1911301</v>
      </c>
      <c r="M65" s="4" t="s">
        <v>428</v>
      </c>
      <c r="N65" s="4" t="s">
        <v>439</v>
      </c>
      <c r="O65" s="4" t="s">
        <v>440</v>
      </c>
      <c r="P65" s="25">
        <f t="shared" si="1"/>
        <v>9233338.1642512083</v>
      </c>
      <c r="Q65" s="4" t="s">
        <v>480</v>
      </c>
      <c r="R65" s="29">
        <f t="shared" si="14"/>
        <v>4.9680000000000009</v>
      </c>
      <c r="S65" s="29">
        <v>0</v>
      </c>
      <c r="T65" s="10"/>
      <c r="U65" s="10"/>
      <c r="V65" s="10">
        <v>4.9000000000000004</v>
      </c>
      <c r="W65" s="10">
        <v>4.8960000000000008</v>
      </c>
      <c r="X65" s="10"/>
      <c r="AC65" s="4" t="s">
        <v>496</v>
      </c>
      <c r="AD65" s="29">
        <v>0.79800000000000004</v>
      </c>
      <c r="AE65" s="29">
        <v>0.92100000000000004</v>
      </c>
      <c r="AF65" s="4" t="s">
        <v>496</v>
      </c>
      <c r="AG65" s="29">
        <v>1.2809090316655367</v>
      </c>
      <c r="AH65" s="29">
        <v>4.1862577628706559</v>
      </c>
    </row>
    <row r="66" spans="1:34" s="23" customFormat="1" x14ac:dyDescent="0.15">
      <c r="A66" s="22" t="s">
        <v>403</v>
      </c>
      <c r="P66" s="26"/>
      <c r="R66" s="28"/>
      <c r="S66" s="28"/>
      <c r="AD66" s="28"/>
      <c r="AE66" s="28"/>
      <c r="AG66" s="28"/>
      <c r="AH66" s="28"/>
    </row>
    <row r="67" spans="1:34" x14ac:dyDescent="0.15">
      <c r="A67" s="5" t="s">
        <v>329</v>
      </c>
      <c r="B67" s="6"/>
      <c r="C67" s="6"/>
      <c r="D67" s="6"/>
      <c r="E67" s="6"/>
      <c r="G67" s="6">
        <v>7.6799999999999993E-2</v>
      </c>
      <c r="J67" s="6">
        <v>4.7300000000000002E-2</v>
      </c>
      <c r="M67" s="4" t="s">
        <v>428</v>
      </c>
      <c r="O67" s="4" t="s">
        <v>441</v>
      </c>
      <c r="P67" s="25">
        <f t="shared" si="1"/>
        <v>0</v>
      </c>
      <c r="Q67" s="4" t="s">
        <v>490</v>
      </c>
      <c r="R67" s="29">
        <v>1</v>
      </c>
      <c r="S67" s="29">
        <v>0</v>
      </c>
      <c r="T67" s="10"/>
      <c r="U67" s="10"/>
      <c r="V67" s="10"/>
      <c r="W67" s="10">
        <v>1</v>
      </c>
      <c r="X67" s="10"/>
      <c r="AC67" s="4" t="s">
        <v>498</v>
      </c>
      <c r="AD67" s="29">
        <v>0.78200000000000003</v>
      </c>
      <c r="AE67" s="29">
        <v>0.63500000000000001</v>
      </c>
      <c r="AF67" s="4" t="s">
        <v>498</v>
      </c>
      <c r="AG67" s="29">
        <v>1.1486856676492798</v>
      </c>
      <c r="AH67" s="29">
        <v>1.7068864766411047</v>
      </c>
    </row>
    <row r="68" spans="1:34" x14ac:dyDescent="0.15">
      <c r="A68" s="5" t="s">
        <v>325</v>
      </c>
      <c r="B68" s="6"/>
      <c r="C68" s="6"/>
      <c r="D68" s="6"/>
      <c r="E68" s="6"/>
      <c r="G68" s="6">
        <v>5.79E-2</v>
      </c>
      <c r="J68" s="6">
        <v>4.2599999999999999E-2</v>
      </c>
      <c r="M68" s="4" t="s">
        <v>428</v>
      </c>
      <c r="O68" s="4" t="s">
        <v>441</v>
      </c>
      <c r="P68" s="25">
        <f t="shared" si="1"/>
        <v>0</v>
      </c>
      <c r="Q68" s="4" t="s">
        <v>490</v>
      </c>
      <c r="R68" s="29">
        <v>1</v>
      </c>
      <c r="S68" s="29">
        <v>0</v>
      </c>
      <c r="T68" s="10"/>
      <c r="U68" s="10"/>
      <c r="V68" s="10"/>
      <c r="W68" s="10">
        <v>1</v>
      </c>
      <c r="X68" s="10"/>
      <c r="AC68" s="4" t="s">
        <v>498</v>
      </c>
      <c r="AD68" s="29">
        <v>0.78200000000000003</v>
      </c>
      <c r="AE68" s="29">
        <v>0.63500000000000001</v>
      </c>
      <c r="AF68" s="4" t="s">
        <v>498</v>
      </c>
      <c r="AG68" s="29">
        <v>1.1486856676492798</v>
      </c>
      <c r="AH68" s="29">
        <v>1.7068864766411047</v>
      </c>
    </row>
    <row r="69" spans="1:34" s="23" customFormat="1" x14ac:dyDescent="0.15">
      <c r="A69" s="22" t="s">
        <v>461</v>
      </c>
      <c r="P69" s="26"/>
      <c r="R69" s="28"/>
      <c r="S69" s="28"/>
      <c r="AD69" s="28"/>
      <c r="AE69" s="28"/>
      <c r="AG69" s="28"/>
      <c r="AH69" s="28"/>
    </row>
    <row r="70" spans="1:34" x14ac:dyDescent="0.15">
      <c r="A70" s="5" t="s">
        <v>342</v>
      </c>
      <c r="B70" s="6" t="s">
        <v>94</v>
      </c>
      <c r="G70" s="24" cm="1">
        <f t="array" ref="G70">IFERROR(SUMPRODUCT(($B$5:$B$68=$B70)*G$5:G$68,$H$5:$H$68)/SUM(($B$5:$B$68=$B70)*$H$5:$H$68),IFERROR(SUMPRODUCT(($C$5:$C$68=$B70)*G$5:G$68,$H$5:$H$68)/SUM(($C$5:$C$68=$B70)*$H$5:$H$68),IFERROR(SUMPRODUCT(($D$5:$D$68=$B70)*G$5:G$68,$H$5:$H$68)/SUM(($D$5:$D$68=$B70)*$H$5:$H$68),SUMPRODUCT(($E$5:$E$68=$B70)*G$5:G$68,$H$5:$H$68)/SUM(($E$5:$E$68=$B70)*$H$5:$H$68))))</f>
        <v>0.38529467763961761</v>
      </c>
      <c r="J70" s="24" cm="1">
        <f t="array" ref="J70">IFERROR(SUMPRODUCT(($B$5:$B$68=$B70)*J$5:J$68,$K$5:$K$68)/SUM(($B$5:$B$68=$B70)*$K$5:$K$68),IFERROR(SUMPRODUCT(($C$5:$C$68=$B70)*J$5:J$68,$K$5:$K$68)/SUM(($C$5:$C$68=$B70)*$K$5:$K$68),IFERROR(SUMPRODUCT(($D$5:$D$68=$B70)*J$5:J$68,$K$5:$K$68)/SUM(($D$5:$D$68=$B70)*$K$5:$K$68),SUMPRODUCT(($E$5:$E$68=$B70)*J$5:J$68,$K$5:$K$68)/SUM(($E$5:$E$68=$B70)*$K$5:$K$68))))</f>
        <v>0.65015695160798492</v>
      </c>
      <c r="P70" s="27"/>
      <c r="Q70" s="37">
        <f>J70/SUM(R70:S70)*1000</f>
        <v>104.5002869820418</v>
      </c>
      <c r="R70" s="24" cm="1">
        <f t="array" ref="R70">IFERROR(SUMPRODUCT(($B$5:$B$68=$B70)*R$5:R$68,$P$5:$P$68)/SUM(($B$5:$B$68=$B70)*$P$5:$P$68),IFERROR(SUMPRODUCT(($C$5:$C$68=$B70)*R$5:R$68,$P$5:$P$68)/SUM(($C$5:$C$68=$B70)*$P$5:$P$68),IFERROR(SUMPRODUCT(($D$5:$D$68=$B70)*R$5:R$68,$P$5:$P$68)/SUM(($D$5:$D$68=$B70)*$P$5:$P$68),SUMPRODUCT(($E$5:$E$68=$B70)*R$5:R$68,$P$5:$P$68)/SUM(($E$5:$E$68=$B70)*$P$5:$P$68))))</f>
        <v>0.99664158109543011</v>
      </c>
      <c r="S70" s="24" cm="1">
        <f t="array" ref="S70">IFERROR(SUMPRODUCT(($B$5:$B$68=$B70)*S$5:S$68,$P$5:$P$68)/SUM(($B$5:$B$68=$B70)*$P$5:$P$68),IFERROR(SUMPRODUCT(($C$5:$C$68=$B70)*S$5:S$68,$P$5:$P$68)/SUM(($C$5:$C$68=$B70)*$P$5:$P$68),IFERROR(SUMPRODUCT(($D$5:$D$68=$B70)*S$5:S$68,$P$5:$P$68)/SUM(($D$5:$D$68=$B70)*$P$5:$P$68),SUMPRODUCT(($E$5:$E$68=$B70)*S$5:S$68,$P$5:$P$68)/SUM(($E$5:$E$68=$B70)*$P$5:$P$68))))</f>
        <v>5.2249389559964285</v>
      </c>
      <c r="T70" s="24" cm="1">
        <f t="array" ref="T70">IFERROR(SUMPRODUCT(($B$5:$B$68=$B70)*T$5:T$68,$P$5:$P$68)/SUM(($B$5:$B$68=$B70)*$P$5:$P$68),IFERROR(SUMPRODUCT(($C$5:$C$68=$B70)*T$5:T$68,$P$5:$P$68)/SUM(($C$5:$C$68=$B70)*$P$5:$P$68),IFERROR(SUMPRODUCT(($D$5:$D$68=$B70)*T$5:T$68,$P$5:$P$68)/SUM(($D$5:$D$68=$B70)*$P$5:$P$68),SUMPRODUCT(($E$5:$E$68=$B70)*T$5:T$68,$P$5:$P$68)/SUM(($E$5:$E$68=$B70)*$P$5:$P$68))))</f>
        <v>0.99664158109543011</v>
      </c>
      <c r="U70" s="24" cm="1">
        <f t="array" ref="U70">IFERROR(SUMPRODUCT(($B$5:$B$68=$B70)*U$5:U$68,$P$5:$P$68)/SUM(($B$5:$B$68=$B70)*$P$5:$P$68),IFERROR(SUMPRODUCT(($C$5:$C$68=$B70)*U$5:U$68,$P$5:$P$68)/SUM(($C$5:$C$68=$B70)*$P$5:$P$68),IFERROR(SUMPRODUCT(($D$5:$D$68=$B70)*U$5:U$68,$P$5:$P$68)/SUM(($D$5:$D$68=$B70)*$P$5:$P$68),SUMPRODUCT(($E$5:$E$68=$B70)*U$5:U$68,$P$5:$P$68)/SUM(($E$5:$E$68=$B70)*$P$5:$P$68))))</f>
        <v>0</v>
      </c>
      <c r="V70" s="24" cm="1">
        <f t="array" ref="V70">IFERROR(SUMPRODUCT(($B$5:$B$68=$B70)*V$5:V$68,$P$5:$P$68)/SUM(($B$5:$B$68=$B70)*$P$5:$P$68),IFERROR(SUMPRODUCT(($C$5:$C$68=$B70)*V$5:V$68,$P$5:$P$68)/SUM(($C$5:$C$68=$B70)*$P$5:$P$68),IFERROR(SUMPRODUCT(($D$5:$D$68=$B70)*V$5:V$68,$P$5:$P$68)/SUM(($D$5:$D$68=$B70)*$P$5:$P$68),SUMPRODUCT(($E$5:$E$68=$B70)*V$5:V$68,$P$5:$P$68)/SUM(($E$5:$E$68=$B70)*$P$5:$P$68))))</f>
        <v>0</v>
      </c>
      <c r="W70" s="24" cm="1">
        <f t="array" ref="W70">IFERROR(SUMPRODUCT(($B$5:$B$68=$B70)*W$5:W$68,$P$5:$P$68)/SUM(($B$5:$B$68=$B70)*$P$5:$P$68),IFERROR(SUMPRODUCT(($C$5:$C$68=$B70)*W$5:W$68,$P$5:$P$68)/SUM(($C$5:$C$68=$B70)*$P$5:$P$68),IFERROR(SUMPRODUCT(($D$5:$D$68=$B70)*W$5:W$68,$P$5:$P$68)/SUM(($D$5:$D$68=$B70)*$P$5:$P$68),SUMPRODUCT(($E$5:$E$68=$B70)*W$5:W$68,$P$5:$P$68)/SUM(($E$5:$E$68=$B70)*$P$5:$P$68))))</f>
        <v>1.9040624999999995</v>
      </c>
      <c r="X70" s="24" cm="1">
        <f t="array" ref="X70">IFERROR(SUMPRODUCT(($B$5:$B$68=$B70)*X$5:X$68,$P$5:$P$68)/SUM(($B$5:$B$68=$B70)*$P$5:$P$68),IFERROR(SUMPRODUCT(($C$5:$C$68=$B70)*X$5:X$68,$P$5:$P$68)/SUM(($C$5:$C$68=$B70)*$P$5:$P$68),IFERROR(SUMPRODUCT(($D$5:$D$68=$B70)*X$5:X$68,$P$5:$P$68)/SUM(($D$5:$D$68=$B70)*$P$5:$P$68),SUMPRODUCT(($E$5:$E$68=$B70)*X$5:X$68,$P$5:$P$68)/SUM(($E$5:$E$68=$B70)*$P$5:$P$68))))</f>
        <v>0</v>
      </c>
      <c r="AC70" s="37"/>
      <c r="AD70" s="24" cm="1">
        <f t="array" ref="AD70">IFERROR(SUMPRODUCT(($B$5:$B$68=$B70)*AD$5:AD$68,$P$5:$P$68)/SUM(($B$5:$B$68=$B70)*$P$5:$P$68),IFERROR(SUMPRODUCT(($C$5:$C$68=$B70)*AD$5:AD$68,$P$5:$P$68)/SUM(($C$5:$C$68=$B70)*$P$5:$P$68),IFERROR(SUMPRODUCT(($D$5:$D$68=$B70)*AD$5:AD$68,$P$5:$P$68)/SUM(($D$5:$D$68=$B70)*$P$5:$P$68),SUMPRODUCT(($E$5:$E$68=$B70)*AD$5:AD$68,$P$5:$P$68)/SUM(($E$5:$E$68=$B70)*$P$5:$P$68))))</f>
        <v>0.81200000000000006</v>
      </c>
      <c r="AE70" s="24" cm="1">
        <f t="array" ref="AE70">IFERROR(SUMPRODUCT(($B$5:$B$68=$B70)*AE$5:AE$68,$P$5:$P$68)/SUM(($B$5:$B$68=$B70)*$P$5:$P$68),IFERROR(SUMPRODUCT(($C$5:$C$68=$B70)*AE$5:AE$68,$P$5:$P$68)/SUM(($C$5:$C$68=$B70)*$P$5:$P$68),IFERROR(SUMPRODUCT(($D$5:$D$68=$B70)*AE$5:AE$68,$P$5:$P$68)/SUM(($D$5:$D$68=$B70)*$P$5:$P$68),SUMPRODUCT(($E$5:$E$68=$B70)*AE$5:AE$68,$P$5:$P$68)/SUM(($E$5:$E$68=$B70)*$P$5:$P$68))))</f>
        <v>0.73899999999999999</v>
      </c>
      <c r="AF70" s="37"/>
      <c r="AG70" s="24" cm="1">
        <f t="array" ref="AG70">IFERROR(SUMPRODUCT(($B$5:$B$68=$B70)*AG$5:AG$68,$P$5:$P$68)/SUM(($B$5:$B$68=$B70)*$P$5:$P$68),IFERROR(SUMPRODUCT(($C$5:$C$68=$B70)*AG$5:AG$68,$P$5:$P$68)/SUM(($C$5:$C$68=$B70)*$P$5:$P$68),IFERROR(SUMPRODUCT(($D$5:$D$68=$B70)*AG$5:AG$68,$P$5:$P$68)/SUM(($D$5:$D$68=$B70)*$P$5:$P$68),SUMPRODUCT(($E$5:$E$68=$B70)*AG$5:AG$68,$P$5:$P$68)/SUM(($E$5:$E$68=$B70)*$P$5:$P$68))))</f>
        <v>1.2983191848894986</v>
      </c>
      <c r="AH70" s="24" cm="1">
        <f t="array" ref="AH70">IFERROR(SUMPRODUCT(($B$5:$B$68=$B70)*AH$5:AH$68,$P$5:$P$68)/SUM(($B$5:$B$68=$B70)*$P$5:$P$68),IFERROR(SUMPRODUCT(($C$5:$C$68=$B70)*AH$5:AH$68,$P$5:$P$68)/SUM(($C$5:$C$68=$B70)*$P$5:$P$68),IFERROR(SUMPRODUCT(($D$5:$D$68=$B70)*AH$5:AH$68,$P$5:$P$68)/SUM(($D$5:$D$68=$B70)*$P$5:$P$68),SUMPRODUCT(($E$5:$E$68=$B70)*AH$5:AH$68,$P$5:$P$68)/SUM(($E$5:$E$68=$B70)*$P$5:$P$68))))</f>
        <v>4.8395672422172096</v>
      </c>
    </row>
    <row r="71" spans="1:34" x14ac:dyDescent="0.15">
      <c r="A71" s="5" t="s">
        <v>343</v>
      </c>
      <c r="B71" s="6" t="s">
        <v>462</v>
      </c>
      <c r="G71" s="24" cm="1">
        <f t="array" ref="G71">IFERROR(SUMPRODUCT(($B$5:$B$68=$B71)*G$5:G$68,$H$5:$H$68)/SUM(($B$5:$B$68=$B71)*$H$5:$H$68),IFERROR(SUMPRODUCT(($C$5:$C$68=$B71)*G$5:G$68,$H$5:$H$68)/SUM(($C$5:$C$68=$B71)*$H$5:$H$68),IFERROR(SUMPRODUCT(($D$5:$D$68=$B71)*G$5:G$68,$H$5:$H$68)/SUM(($D$5:$D$68=$B71)*$H$5:$H$68),SUMPRODUCT(($E$5:$E$68=$B71)*G$5:G$68,$H$5:$H$68)/SUM(($E$5:$E$68=$B71)*$H$5:$H$68))))</f>
        <v>1.7186343172225256</v>
      </c>
      <c r="J71" s="24" cm="1">
        <f t="array" ref="J71">IFERROR(SUMPRODUCT(($B$5:$B$68=$B71)*J$5:J$68,$K$5:$K$68)/SUM(($B$5:$B$68=$B71)*$K$5:$K$68),IFERROR(SUMPRODUCT(($C$5:$C$68=$B71)*J$5:J$68,$K$5:$K$68)/SUM(($C$5:$C$68=$B71)*$K$5:$K$68),IFERROR(SUMPRODUCT(($D$5:$D$68=$B71)*J$5:J$68,$K$5:$K$68)/SUM(($D$5:$D$68=$B71)*$K$5:$K$68),SUMPRODUCT(($E$5:$E$68=$B71)*J$5:J$68,$K$5:$K$68)/SUM(($E$5:$E$68=$B71)*$K$5:$K$68))))</f>
        <v>1.3535743777501814</v>
      </c>
      <c r="P71" s="27"/>
      <c r="Q71" s="37">
        <f t="shared" ref="Q71:Q89" si="15">J71/SUM(R71:S71)*1000</f>
        <v>107.45960775582002</v>
      </c>
      <c r="R71" s="24" cm="1">
        <f t="array" ref="R71">IFERROR(SUMPRODUCT(($B$5:$B$68=$B71)*R$5:R$68,$P$5:$P$68)/SUM(($B$5:$B$68=$B71)*$P$5:$P$68),IFERROR(SUMPRODUCT(($C$5:$C$68=$B71)*R$5:R$68,$P$5:$P$68)/SUM(($C$5:$C$68=$B71)*$P$5:$P$68),IFERROR(SUMPRODUCT(($D$5:$D$68=$B71)*R$5:R$68,$P$5:$P$68)/SUM(($D$5:$D$68=$B71)*$P$5:$P$68),SUMPRODUCT(($E$5:$E$68=$B71)*R$5:R$68,$P$5:$P$68)/SUM(($E$5:$E$68=$B71)*$P$5:$P$68))))</f>
        <v>0</v>
      </c>
      <c r="S71" s="24" cm="1">
        <f t="array" ref="S71">IFERROR(SUMPRODUCT(($B$5:$B$68=$B71)*S$5:S$68,$P$5:$P$68)/SUM(($B$5:$B$68=$B71)*$P$5:$P$68),IFERROR(SUMPRODUCT(($C$5:$C$68=$B71)*S$5:S$68,$P$5:$P$68)/SUM(($C$5:$C$68=$B71)*$P$5:$P$68),IFERROR(SUMPRODUCT(($D$5:$D$68=$B71)*S$5:S$68,$P$5:$P$68)/SUM(($D$5:$D$68=$B71)*$P$5:$P$68),SUMPRODUCT(($E$5:$E$68=$B71)*S$5:S$68,$P$5:$P$68)/SUM(($E$5:$E$68=$B71)*$P$5:$P$68))))</f>
        <v>12.596122450268965</v>
      </c>
      <c r="T71" s="24" cm="1">
        <f t="array" ref="T71">IFERROR(SUMPRODUCT(($B$5:$B$68=$B71)*T$5:T$68,$P$5:$P$68)/SUM(($B$5:$B$68=$B71)*$P$5:$P$68),IFERROR(SUMPRODUCT(($C$5:$C$68=$B71)*T$5:T$68,$P$5:$P$68)/SUM(($C$5:$C$68=$B71)*$P$5:$P$68),IFERROR(SUMPRODUCT(($D$5:$D$68=$B71)*T$5:T$68,$P$5:$P$68)/SUM(($D$5:$D$68=$B71)*$P$5:$P$68),SUMPRODUCT(($E$5:$E$68=$B71)*T$5:T$68,$P$5:$P$68)/SUM(($E$5:$E$68=$B71)*$P$5:$P$68))))</f>
        <v>2.8511475128628079</v>
      </c>
      <c r="U71" s="24" cm="1">
        <f t="array" ref="U71">IFERROR(SUMPRODUCT(($B$5:$B$68=$B71)*U$5:U$68,$P$5:$P$68)/SUM(($B$5:$B$68=$B71)*$P$5:$P$68),IFERROR(SUMPRODUCT(($C$5:$C$68=$B71)*U$5:U$68,$P$5:$P$68)/SUM(($C$5:$C$68=$B71)*$P$5:$P$68),IFERROR(SUMPRODUCT(($D$5:$D$68=$B71)*U$5:U$68,$P$5:$P$68)/SUM(($D$5:$D$68=$B71)*$P$5:$P$68),SUMPRODUCT(($E$5:$E$68=$B71)*U$5:U$68,$P$5:$P$68)/SUM(($E$5:$E$68=$B71)*$P$5:$P$68))))</f>
        <v>8.9422353812515336</v>
      </c>
      <c r="V71" s="24" cm="1">
        <f t="array" ref="V71">IFERROR(SUMPRODUCT(($B$5:$B$68=$B71)*V$5:V$68,$P$5:$P$68)/SUM(($B$5:$B$68=$B71)*$P$5:$P$68),IFERROR(SUMPRODUCT(($C$5:$C$68=$B71)*V$5:V$68,$P$5:$P$68)/SUM(($C$5:$C$68=$B71)*$P$5:$P$68),IFERROR(SUMPRODUCT(($D$5:$D$68=$B71)*V$5:V$68,$P$5:$P$68)/SUM(($D$5:$D$68=$B71)*$P$5:$P$68),SUMPRODUCT(($E$5:$E$68=$B71)*V$5:V$68,$P$5:$P$68)/SUM(($E$5:$E$68=$B71)*$P$5:$P$68))))</f>
        <v>0</v>
      </c>
      <c r="W71" s="24" cm="1">
        <f t="array" ref="W71">IFERROR(SUMPRODUCT(($B$5:$B$68=$B71)*W$5:W$68,$P$5:$P$68)/SUM(($B$5:$B$68=$B71)*$P$5:$P$68),IFERROR(SUMPRODUCT(($C$5:$C$68=$B71)*W$5:W$68,$P$5:$P$68)/SUM(($C$5:$C$68=$B71)*$P$5:$P$68),IFERROR(SUMPRODUCT(($D$5:$D$68=$B71)*W$5:W$68,$P$5:$P$68)/SUM(($D$5:$D$68=$B71)*$P$5:$P$68),SUMPRODUCT(($E$5:$E$68=$B71)*W$5:W$68,$P$5:$P$68)/SUM(($E$5:$E$68=$B71)*$P$5:$P$68))))</f>
        <v>1.0815226422408575</v>
      </c>
      <c r="X71" s="24" cm="1">
        <f t="array" ref="X71">IFERROR(SUMPRODUCT(($B$5:$B$68=$B71)*X$5:X$68,$P$5:$P$68)/SUM(($B$5:$B$68=$B71)*$P$5:$P$68),IFERROR(SUMPRODUCT(($C$5:$C$68=$B71)*X$5:X$68,$P$5:$P$68)/SUM(($C$5:$C$68=$B71)*$P$5:$P$68),IFERROR(SUMPRODUCT(($D$5:$D$68=$B71)*X$5:X$68,$P$5:$P$68)/SUM(($D$5:$D$68=$B71)*$P$5:$P$68),SUMPRODUCT(($E$5:$E$68=$B71)*X$5:X$68,$P$5:$P$68)/SUM(($E$5:$E$68=$B71)*$P$5:$P$68))))</f>
        <v>9.2066145142624496</v>
      </c>
      <c r="AC71" s="37"/>
      <c r="AD71" s="24" cm="1">
        <f t="array" ref="AD71">IFERROR(SUMPRODUCT(($B$5:$B$68=$B71)*AD$5:AD$68,$P$5:$P$68)/SUM(($B$5:$B$68=$B71)*$P$5:$P$68),IFERROR(SUMPRODUCT(($C$5:$C$68=$B71)*AD$5:AD$68,$P$5:$P$68)/SUM(($C$5:$C$68=$B71)*$P$5:$P$68),IFERROR(SUMPRODUCT(($D$5:$D$68=$B71)*AD$5:AD$68,$P$5:$P$68)/SUM(($D$5:$D$68=$B71)*$P$5:$P$68),SUMPRODUCT(($E$5:$E$68=$B71)*AD$5:AD$68,$P$5:$P$68)/SUM(($E$5:$E$68=$B71)*$P$5:$P$68))))</f>
        <v>0.81200000000000017</v>
      </c>
      <c r="AE71" s="24" cm="1">
        <f t="array" ref="AE71">IFERROR(SUMPRODUCT(($B$5:$B$68=$B71)*AE$5:AE$68,$P$5:$P$68)/SUM(($B$5:$B$68=$B71)*$P$5:$P$68),IFERROR(SUMPRODUCT(($C$5:$C$68=$B71)*AE$5:AE$68,$P$5:$P$68)/SUM(($C$5:$C$68=$B71)*$P$5:$P$68),IFERROR(SUMPRODUCT(($D$5:$D$68=$B71)*AE$5:AE$68,$P$5:$P$68)/SUM(($D$5:$D$68=$B71)*$P$5:$P$68),SUMPRODUCT(($E$5:$E$68=$B71)*AE$5:AE$68,$P$5:$P$68)/SUM(($E$5:$E$68=$B71)*$P$5:$P$68))))</f>
        <v>0.7390000000000001</v>
      </c>
      <c r="AF71" s="37"/>
      <c r="AG71" s="24" cm="1">
        <f t="array" ref="AG71">IFERROR(SUMPRODUCT(($B$5:$B$68=$B71)*AG$5:AG$68,$P$5:$P$68)/SUM(($B$5:$B$68=$B71)*$P$5:$P$68),IFERROR(SUMPRODUCT(($C$5:$C$68=$B71)*AG$5:AG$68,$P$5:$P$68)/SUM(($C$5:$C$68=$B71)*$P$5:$P$68),IFERROR(SUMPRODUCT(($D$5:$D$68=$B71)*AG$5:AG$68,$P$5:$P$68)/SUM(($D$5:$D$68=$B71)*$P$5:$P$68),SUMPRODUCT(($E$5:$E$68=$B71)*AG$5:AG$68,$P$5:$P$68)/SUM(($E$5:$E$68=$B71)*$P$5:$P$68))))</f>
        <v>1.3999902829084085</v>
      </c>
      <c r="AH71" s="24" cm="1">
        <f t="array" ref="AH71">IFERROR(SUMPRODUCT(($B$5:$B$68=$B71)*AH$5:AH$68,$P$5:$P$68)/SUM(($B$5:$B$68=$B71)*$P$5:$P$68),IFERROR(SUMPRODUCT(($C$5:$C$68=$B71)*AH$5:AH$68,$P$5:$P$68)/SUM(($C$5:$C$68=$B71)*$P$5:$P$68),IFERROR(SUMPRODUCT(($D$5:$D$68=$B71)*AH$5:AH$68,$P$5:$P$68)/SUM(($D$5:$D$68=$B71)*$P$5:$P$68),SUMPRODUCT(($E$5:$E$68=$B71)*AH$5:AH$68,$P$5:$P$68)/SUM(($E$5:$E$68=$B71)*$P$5:$P$68))))</f>
        <v>3.5899569454976663</v>
      </c>
    </row>
    <row r="72" spans="1:34" x14ac:dyDescent="0.15">
      <c r="A72" s="5" t="s">
        <v>349</v>
      </c>
      <c r="B72" s="6" t="s">
        <v>370</v>
      </c>
      <c r="G72" s="24" cm="1">
        <f t="array" ref="G72">IFERROR(SUMPRODUCT(($B$5:$B$68=$B72)*G$5:G$68,$H$5:$H$68)/SUM(($B$5:$B$68=$B72)*$H$5:$H$68),IFERROR(SUMPRODUCT(($C$5:$C$68=$B72)*G$5:G$68,$H$5:$H$68)/SUM(($C$5:$C$68=$B72)*$H$5:$H$68),IFERROR(SUMPRODUCT(($D$5:$D$68=$B72)*G$5:G$68,$H$5:$H$68)/SUM(($D$5:$D$68=$B72)*$H$5:$H$68),SUMPRODUCT(($E$5:$E$68=$B72)*G$5:G$68,$H$5:$H$68)/SUM(($E$5:$E$68=$B72)*$H$5:$H$68))))</f>
        <v>1.5967631163208207</v>
      </c>
      <c r="J72" s="24" cm="1">
        <f t="array" ref="J72">IFERROR(SUMPRODUCT(($B$5:$B$68=$B72)*J$5:J$68,$K$5:$K$68)/SUM(($B$5:$B$68=$B72)*$K$5:$K$68),IFERROR(SUMPRODUCT(($C$5:$C$68=$B72)*J$5:J$68,$K$5:$K$68)/SUM(($C$5:$C$68=$B72)*$K$5:$K$68),IFERROR(SUMPRODUCT(($D$5:$D$68=$B72)*J$5:J$68,$K$5:$K$68)/SUM(($D$5:$D$68=$B72)*$K$5:$K$68),SUMPRODUCT(($E$5:$E$68=$B72)*J$5:J$68,$K$5:$K$68)/SUM(($E$5:$E$68=$B72)*$K$5:$K$68))))</f>
        <v>1.2656396050839946</v>
      </c>
      <c r="P72" s="27"/>
      <c r="Q72" s="37">
        <f t="shared" si="15"/>
        <v>93.718143856109819</v>
      </c>
      <c r="R72" s="24" cm="1">
        <f t="array" ref="R72">IFERROR(SUMPRODUCT(($B$5:$B$68=$B72)*R$5:R$68,$P$5:$P$68)/SUM(($B$5:$B$68=$B72)*$P$5:$P$68),IFERROR(SUMPRODUCT(($C$5:$C$68=$B72)*R$5:R$68,$P$5:$P$68)/SUM(($C$5:$C$68=$B72)*$P$5:$P$68),IFERROR(SUMPRODUCT(($D$5:$D$68=$B72)*R$5:R$68,$P$5:$P$68)/SUM(($D$5:$D$68=$B72)*$P$5:$P$68),SUMPRODUCT(($E$5:$E$68=$B72)*R$5:R$68,$P$5:$P$68)/SUM(($E$5:$E$68=$B72)*$P$5:$P$68))))</f>
        <v>3.2911730425008185</v>
      </c>
      <c r="S72" s="24" cm="1">
        <f t="array" ref="S72">IFERROR(SUMPRODUCT(($B$5:$B$68=$B72)*S$5:S$68,$P$5:$P$68)/SUM(($B$5:$B$68=$B72)*$P$5:$P$68),IFERROR(SUMPRODUCT(($C$5:$C$68=$B72)*S$5:S$68,$P$5:$P$68)/SUM(($C$5:$C$68=$B72)*$P$5:$P$68),IFERROR(SUMPRODUCT(($D$5:$D$68=$B72)*S$5:S$68,$P$5:$P$68)/SUM(($D$5:$D$68=$B72)*$P$5:$P$68),SUMPRODUCT(($E$5:$E$68=$B72)*S$5:S$68,$P$5:$P$68)/SUM(($E$5:$E$68=$B72)*$P$5:$P$68))))</f>
        <v>10.213571642020407</v>
      </c>
      <c r="T72" s="24" cm="1">
        <f t="array" ref="T72">IFERROR(SUMPRODUCT(($B$5:$B$68=$B72)*T$5:T$68,$P$5:$P$68)/SUM(($B$5:$B$68=$B72)*$P$5:$P$68),IFERROR(SUMPRODUCT(($C$5:$C$68=$B72)*T$5:T$68,$P$5:$P$68)/SUM(($C$5:$C$68=$B72)*$P$5:$P$68),IFERROR(SUMPRODUCT(($D$5:$D$68=$B72)*T$5:T$68,$P$5:$P$68)/SUM(($D$5:$D$68=$B72)*$P$5:$P$68),SUMPRODUCT(($E$5:$E$68=$B72)*T$5:T$68,$P$5:$P$68)/SUM(($E$5:$E$68=$B72)*$P$5:$P$68))))</f>
        <v>3.0188094122610769</v>
      </c>
      <c r="U72" s="24" cm="1">
        <f t="array" ref="U72">IFERROR(SUMPRODUCT(($B$5:$B$68=$B72)*U$5:U$68,$P$5:$P$68)/SUM(($B$5:$B$68=$B72)*$P$5:$P$68),IFERROR(SUMPRODUCT(($C$5:$C$68=$B72)*U$5:U$68,$P$5:$P$68)/SUM(($C$5:$C$68=$B72)*$P$5:$P$68),IFERROR(SUMPRODUCT(($D$5:$D$68=$B72)*U$5:U$68,$P$5:$P$68)/SUM(($D$5:$D$68=$B72)*$P$5:$P$68),SUMPRODUCT(($E$5:$E$68=$B72)*U$5:U$68,$P$5:$P$68)/SUM(($E$5:$E$68=$B72)*$P$5:$P$68))))</f>
        <v>9.1111316051618374</v>
      </c>
      <c r="V72" s="24" cm="1">
        <f t="array" ref="V72">IFERROR(SUMPRODUCT(($B$5:$B$68=$B72)*V$5:V$68,$P$5:$P$68)/SUM(($B$5:$B$68=$B72)*$P$5:$P$68),IFERROR(SUMPRODUCT(($C$5:$C$68=$B72)*V$5:V$68,$P$5:$P$68)/SUM(($C$5:$C$68=$B72)*$P$5:$P$68),IFERROR(SUMPRODUCT(($D$5:$D$68=$B72)*V$5:V$68,$P$5:$P$68)/SUM(($D$5:$D$68=$B72)*$P$5:$P$68),SUMPRODUCT(($E$5:$E$68=$B72)*V$5:V$68,$P$5:$P$68)/SUM(($E$5:$E$68=$B72)*$P$5:$P$68))))</f>
        <v>0</v>
      </c>
      <c r="W72" s="24" cm="1">
        <f t="array" ref="W72">IFERROR(SUMPRODUCT(($B$5:$B$68=$B72)*W$5:W$68,$P$5:$P$68)/SUM(($B$5:$B$68=$B72)*$P$5:$P$68),IFERROR(SUMPRODUCT(($C$5:$C$68=$B72)*W$5:W$68,$P$5:$P$68)/SUM(($C$5:$C$68=$B72)*$P$5:$P$68),IFERROR(SUMPRODUCT(($D$5:$D$68=$B72)*W$5:W$68,$P$5:$P$68)/SUM(($D$5:$D$68=$B72)*$P$5:$P$68),SUMPRODUCT(($E$5:$E$68=$B72)*W$5:W$68,$P$5:$P$68)/SUM(($E$5:$E$68=$B72)*$P$5:$P$68))))</f>
        <v>1.2371056806447795</v>
      </c>
      <c r="X72" s="24" cm="1">
        <f t="array" ref="X72">IFERROR(SUMPRODUCT(($B$5:$B$68=$B72)*X$5:X$68,$P$5:$P$68)/SUM(($B$5:$B$68=$B72)*$P$5:$P$68),IFERROR(SUMPRODUCT(($C$5:$C$68=$B72)*X$5:X$68,$P$5:$P$68)/SUM(($C$5:$C$68=$B72)*$P$5:$P$68),IFERROR(SUMPRODUCT(($D$5:$D$68=$B72)*X$5:X$68,$P$5:$P$68)/SUM(($D$5:$D$68=$B72)*$P$5:$P$68),SUMPRODUCT(($E$5:$E$68=$B72)*X$5:X$68,$P$5:$P$68)/SUM(($E$5:$E$68=$B72)*$P$5:$P$68))))</f>
        <v>7.4651875839676798</v>
      </c>
      <c r="AC72" s="37"/>
      <c r="AD72" s="24" cm="1">
        <f t="array" ref="AD72">IFERROR(SUMPRODUCT(($B$5:$B$68=$B72)*AD$5:AD$68,$P$5:$P$68)/SUM(($B$5:$B$68=$B72)*$P$5:$P$68),IFERROR(SUMPRODUCT(($C$5:$C$68=$B72)*AD$5:AD$68,$P$5:$P$68)/SUM(($C$5:$C$68=$B72)*$P$5:$P$68),IFERROR(SUMPRODUCT(($D$5:$D$68=$B72)*AD$5:AD$68,$P$5:$P$68)/SUM(($D$5:$D$68=$B72)*$P$5:$P$68),SUMPRODUCT(($E$5:$E$68=$B72)*AD$5:AD$68,$P$5:$P$68)/SUM(($E$5:$E$68=$B72)*$P$5:$P$68))))</f>
        <v>0.81200000000000028</v>
      </c>
      <c r="AE72" s="24" cm="1">
        <f t="array" ref="AE72">IFERROR(SUMPRODUCT(($B$5:$B$68=$B72)*AE$5:AE$68,$P$5:$P$68)/SUM(($B$5:$B$68=$B72)*$P$5:$P$68),IFERROR(SUMPRODUCT(($C$5:$C$68=$B72)*AE$5:AE$68,$P$5:$P$68)/SUM(($C$5:$C$68=$B72)*$P$5:$P$68),IFERROR(SUMPRODUCT(($D$5:$D$68=$B72)*AE$5:AE$68,$P$5:$P$68)/SUM(($D$5:$D$68=$B72)*$P$5:$P$68),SUMPRODUCT(($E$5:$E$68=$B72)*AE$5:AE$68,$P$5:$P$68)/SUM(($E$5:$E$68=$B72)*$P$5:$P$68))))</f>
        <v>0.73899999999999999</v>
      </c>
      <c r="AF72" s="37"/>
      <c r="AG72" s="24" cm="1">
        <f t="array" ref="AG72">IFERROR(SUMPRODUCT(($B$5:$B$68=$B72)*AG$5:AG$68,$P$5:$P$68)/SUM(($B$5:$B$68=$B72)*$P$5:$P$68),IFERROR(SUMPRODUCT(($C$5:$C$68=$B72)*AG$5:AG$68,$P$5:$P$68)/SUM(($C$5:$C$68=$B72)*$P$5:$P$68),IFERROR(SUMPRODUCT(($D$5:$D$68=$B72)*AG$5:AG$68,$P$5:$P$68)/SUM(($D$5:$D$68=$B72)*$P$5:$P$68),SUMPRODUCT(($E$5:$E$68=$B72)*AG$5:AG$68,$P$5:$P$68)/SUM(($E$5:$E$68=$B72)*$P$5:$P$68))))</f>
        <v>1.3556812573212713</v>
      </c>
      <c r="AH72" s="24" cm="1">
        <f t="array" ref="AH72">IFERROR(SUMPRODUCT(($B$5:$B$68=$B72)*AH$5:AH$68,$P$5:$P$68)/SUM(($B$5:$B$68=$B72)*$P$5:$P$68),IFERROR(SUMPRODUCT(($C$5:$C$68=$B72)*AH$5:AH$68,$P$5:$P$68)/SUM(($C$5:$C$68=$B72)*$P$5:$P$68),IFERROR(SUMPRODUCT(($D$5:$D$68=$B72)*AH$5:AH$68,$P$5:$P$68)/SUM(($D$5:$D$68=$B72)*$P$5:$P$68),SUMPRODUCT(($E$5:$E$68=$B72)*AH$5:AH$68,$P$5:$P$68)/SUM(($E$5:$E$68=$B72)*$P$5:$P$68))))</f>
        <v>3.2322103139373444</v>
      </c>
    </row>
    <row r="73" spans="1:34" x14ac:dyDescent="0.15">
      <c r="A73" s="5" t="s">
        <v>348</v>
      </c>
      <c r="B73" s="6" t="s">
        <v>371</v>
      </c>
      <c r="G73" s="24" cm="1">
        <f t="array" ref="G73">IFERROR(SUMPRODUCT(($B$5:$B$68=$B73)*G$5:G$68,$H$5:$H$68)/SUM(($B$5:$B$68=$B73)*$H$5:$H$68),IFERROR(SUMPRODUCT(($C$5:$C$68=$B73)*G$5:G$68,$H$5:$H$68)/SUM(($C$5:$C$68=$B73)*$H$5:$H$68),IFERROR(SUMPRODUCT(($D$5:$D$68=$B73)*G$5:G$68,$H$5:$H$68)/SUM(($D$5:$D$68=$B73)*$H$5:$H$68),SUMPRODUCT(($E$5:$E$68=$B73)*G$5:G$68,$H$5:$H$68)/SUM(($E$5:$E$68=$B73)*$H$5:$H$68))))</f>
        <v>0.7451576638020061</v>
      </c>
      <c r="J73" s="24" cm="1">
        <f t="array" ref="J73">IFERROR(SUMPRODUCT(($B$5:$B$68=$B73)*J$5:J$68,$K$5:$K$68)/SUM(($B$5:$B$68=$B73)*$K$5:$K$68),IFERROR(SUMPRODUCT(($C$5:$C$68=$B73)*J$5:J$68,$K$5:$K$68)/SUM(($C$5:$C$68=$B73)*$K$5:$K$68),IFERROR(SUMPRODUCT(($D$5:$D$68=$B73)*J$5:J$68,$K$5:$K$68)/SUM(($D$5:$D$68=$B73)*$K$5:$K$68),SUMPRODUCT(($E$5:$E$68=$B73)*J$5:J$68,$K$5:$K$68)/SUM(($E$5:$E$68=$B73)*$K$5:$K$68))))</f>
        <v>0.6864801988122935</v>
      </c>
      <c r="P73" s="27"/>
      <c r="Q73" s="37">
        <f t="shared" si="15"/>
        <v>16.110086253876464</v>
      </c>
      <c r="R73" s="24" cm="1">
        <f t="array" ref="R73">IFERROR(SUMPRODUCT(($B$5:$B$68=$B73)*R$5:R$68,$P$5:$P$68)/SUM(($B$5:$B$68=$B73)*$P$5:$P$68),IFERROR(SUMPRODUCT(($C$5:$C$68=$B73)*R$5:R$68,$P$5:$P$68)/SUM(($C$5:$C$68=$B73)*$P$5:$P$68),IFERROR(SUMPRODUCT(($D$5:$D$68=$B73)*R$5:R$68,$P$5:$P$68)/SUM(($D$5:$D$68=$B73)*$P$5:$P$68),SUMPRODUCT(($E$5:$E$68=$B73)*R$5:R$68,$P$5:$P$68)/SUM(($E$5:$E$68=$B73)*$P$5:$P$68))))</f>
        <v>2.1991404818942466</v>
      </c>
      <c r="S73" s="24" cm="1">
        <f t="array" ref="S73">IFERROR(SUMPRODUCT(($B$5:$B$68=$B73)*S$5:S$68,$P$5:$P$68)/SUM(($B$5:$B$68=$B73)*$P$5:$P$68),IFERROR(SUMPRODUCT(($C$5:$C$68=$B73)*S$5:S$68,$P$5:$P$68)/SUM(($C$5:$C$68=$B73)*$P$5:$P$68),IFERROR(SUMPRODUCT(($D$5:$D$68=$B73)*S$5:S$68,$P$5:$P$68)/SUM(($D$5:$D$68=$B73)*$P$5:$P$68),SUMPRODUCT(($E$5:$E$68=$B73)*S$5:S$68,$P$5:$P$68)/SUM(($E$5:$E$68=$B73)*$P$5:$P$68))))</f>
        <v>40.412685922642247</v>
      </c>
      <c r="T73" s="24" cm="1">
        <f t="array" ref="T73">IFERROR(SUMPRODUCT(($B$5:$B$68=$B73)*T$5:T$68,$P$5:$P$68)/SUM(($B$5:$B$68=$B73)*$P$5:$P$68),IFERROR(SUMPRODUCT(($C$5:$C$68=$B73)*T$5:T$68,$P$5:$P$68)/SUM(($C$5:$C$68=$B73)*$P$5:$P$68),IFERROR(SUMPRODUCT(($D$5:$D$68=$B73)*T$5:T$68,$P$5:$P$68)/SUM(($D$5:$D$68=$B73)*$P$5:$P$68),SUMPRODUCT(($E$5:$E$68=$B73)*T$5:T$68,$P$5:$P$68)/SUM(($E$5:$E$68=$B73)*$P$5:$P$68))))</f>
        <v>9.1636200291248819</v>
      </c>
      <c r="U73" s="24" cm="1">
        <f t="array" ref="U73">IFERROR(SUMPRODUCT(($B$5:$B$68=$B73)*U$5:U$68,$P$5:$P$68)/SUM(($B$5:$B$68=$B73)*$P$5:$P$68),IFERROR(SUMPRODUCT(($C$5:$C$68=$B73)*U$5:U$68,$P$5:$P$68)/SUM(($C$5:$C$68=$B73)*$P$5:$P$68),IFERROR(SUMPRODUCT(($D$5:$D$68=$B73)*U$5:U$68,$P$5:$P$68)/SUM(($D$5:$D$68=$B73)*$P$5:$P$68),SUMPRODUCT(($E$5:$E$68=$B73)*U$5:U$68,$P$5:$P$68)/SUM(($E$5:$E$68=$B73)*$P$5:$P$68))))</f>
        <v>10.972922466122622</v>
      </c>
      <c r="V73" s="24" cm="1">
        <f t="array" ref="V73">IFERROR(SUMPRODUCT(($B$5:$B$68=$B73)*V$5:V$68,$P$5:$P$68)/SUM(($B$5:$B$68=$B73)*$P$5:$P$68),IFERROR(SUMPRODUCT(($C$5:$C$68=$B73)*V$5:V$68,$P$5:$P$68)/SUM(($C$5:$C$68=$B73)*$P$5:$P$68),IFERROR(SUMPRODUCT(($D$5:$D$68=$B73)*V$5:V$68,$P$5:$P$68)/SUM(($D$5:$D$68=$B73)*$P$5:$P$68),SUMPRODUCT(($E$5:$E$68=$B73)*V$5:V$68,$P$5:$P$68)/SUM(($E$5:$E$68=$B73)*$P$5:$P$68))))</f>
        <v>0</v>
      </c>
      <c r="W73" s="24" cm="1">
        <f t="array" ref="W73">IFERROR(SUMPRODUCT(($B$5:$B$68=$B73)*W$5:W$68,$P$5:$P$68)/SUM(($B$5:$B$68=$B73)*$P$5:$P$68),IFERROR(SUMPRODUCT(($C$5:$C$68=$B73)*W$5:W$68,$P$5:$P$68)/SUM(($C$5:$C$68=$B73)*$P$5:$P$68),IFERROR(SUMPRODUCT(($D$5:$D$68=$B73)*W$5:W$68,$P$5:$P$68)/SUM(($D$5:$D$68=$B73)*$P$5:$P$68),SUMPRODUCT(($E$5:$E$68=$B73)*W$5:W$68,$P$5:$P$68)/SUM(($E$5:$E$68=$B73)*$P$5:$P$68))))</f>
        <v>0.48730993222530877</v>
      </c>
      <c r="X73" s="24" cm="1">
        <f t="array" ref="X73">IFERROR(SUMPRODUCT(($B$5:$B$68=$B73)*X$5:X$68,$P$5:$P$68)/SUM(($B$5:$B$68=$B73)*$P$5:$P$68),IFERROR(SUMPRODUCT(($C$5:$C$68=$B73)*X$5:X$68,$P$5:$P$68)/SUM(($C$5:$C$68=$B73)*$P$5:$P$68),IFERROR(SUMPRODUCT(($D$5:$D$68=$B73)*X$5:X$68,$P$5:$P$68)/SUM(($D$5:$D$68=$B73)*$P$5:$P$68),SUMPRODUCT(($E$5:$E$68=$B73)*X$5:X$68,$P$5:$P$68)/SUM(($E$5:$E$68=$B73)*$P$5:$P$68))))</f>
        <v>64.233929123047986</v>
      </c>
      <c r="AC73" s="37"/>
      <c r="AD73" s="24" cm="1">
        <f t="array" ref="AD73">IFERROR(SUMPRODUCT(($B$5:$B$68=$B73)*AD$5:AD$68,$P$5:$P$68)/SUM(($B$5:$B$68=$B73)*$P$5:$P$68),IFERROR(SUMPRODUCT(($C$5:$C$68=$B73)*AD$5:AD$68,$P$5:$P$68)/SUM(($C$5:$C$68=$B73)*$P$5:$P$68),IFERROR(SUMPRODUCT(($D$5:$D$68=$B73)*AD$5:AD$68,$P$5:$P$68)/SUM(($D$5:$D$68=$B73)*$P$5:$P$68),SUMPRODUCT(($E$5:$E$68=$B73)*AD$5:AD$68,$P$5:$P$68)/SUM(($E$5:$E$68=$B73)*$P$5:$P$68))))</f>
        <v>0.81200000000000028</v>
      </c>
      <c r="AE73" s="24" cm="1">
        <f t="array" ref="AE73">IFERROR(SUMPRODUCT(($B$5:$B$68=$B73)*AE$5:AE$68,$P$5:$P$68)/SUM(($B$5:$B$68=$B73)*$P$5:$P$68),IFERROR(SUMPRODUCT(($C$5:$C$68=$B73)*AE$5:AE$68,$P$5:$P$68)/SUM(($C$5:$C$68=$B73)*$P$5:$P$68),IFERROR(SUMPRODUCT(($D$5:$D$68=$B73)*AE$5:AE$68,$P$5:$P$68)/SUM(($D$5:$D$68=$B73)*$P$5:$P$68),SUMPRODUCT(($E$5:$E$68=$B73)*AE$5:AE$68,$P$5:$P$68)/SUM(($E$5:$E$68=$B73)*$P$5:$P$68))))</f>
        <v>0.73899999999999988</v>
      </c>
      <c r="AF73" s="37"/>
      <c r="AG73" s="24" cm="1">
        <f t="array" ref="AG73">IFERROR(SUMPRODUCT(($B$5:$B$68=$B73)*AG$5:AG$68,$P$5:$P$68)/SUM(($B$5:$B$68=$B73)*$P$5:$P$68),IFERROR(SUMPRODUCT(($C$5:$C$68=$B73)*AG$5:AG$68,$P$5:$P$68)/SUM(($C$5:$C$68=$B73)*$P$5:$P$68),IFERROR(SUMPRODUCT(($D$5:$D$68=$B73)*AG$5:AG$68,$P$5:$P$68)/SUM(($D$5:$D$68=$B73)*$P$5:$P$68),SUMPRODUCT(($E$5:$E$68=$B73)*AG$5:AG$68,$P$5:$P$68)/SUM(($E$5:$E$68=$B73)*$P$5:$P$68))))</f>
        <v>1.303636940513492</v>
      </c>
      <c r="AH73" s="24" cm="1">
        <f t="array" ref="AH73">IFERROR(SUMPRODUCT(($B$5:$B$68=$B73)*AH$5:AH$68,$P$5:$P$68)/SUM(($B$5:$B$68=$B73)*$P$5:$P$68),IFERROR(SUMPRODUCT(($C$5:$C$68=$B73)*AH$5:AH$68,$P$5:$P$68)/SUM(($C$5:$C$68=$B73)*$P$5:$P$68),IFERROR(SUMPRODUCT(($D$5:$D$68=$B73)*AH$5:AH$68,$P$5:$P$68)/SUM(($D$5:$D$68=$B73)*$P$5:$P$68),SUMPRODUCT(($E$5:$E$68=$B73)*AH$5:AH$68,$P$5:$P$68)/SUM(($E$5:$E$68=$B73)*$P$5:$P$68))))</f>
        <v>9.6821078775000036</v>
      </c>
    </row>
    <row r="74" spans="1:34" x14ac:dyDescent="0.15">
      <c r="A74" s="5" t="s">
        <v>335</v>
      </c>
      <c r="B74" s="6" t="s">
        <v>372</v>
      </c>
      <c r="G74" s="24" cm="1">
        <f t="array" ref="G74">IFERROR(SUMPRODUCT(($B$5:$B$68=$B74)*G$5:G$68,$H$5:$H$68)/SUM(($B$5:$B$68=$B74)*$H$5:$H$68),IFERROR(SUMPRODUCT(($C$5:$C$68=$B74)*G$5:G$68,$H$5:$H$68)/SUM(($C$5:$C$68=$B74)*$H$5:$H$68),IFERROR(SUMPRODUCT(($D$5:$D$68=$B74)*G$5:G$68,$H$5:$H$68)/SUM(($D$5:$D$68=$B74)*$H$5:$H$68),SUMPRODUCT(($E$5:$E$68=$B74)*G$5:G$68,$H$5:$H$68)/SUM(($E$5:$E$68=$B74)*$H$5:$H$68))))</f>
        <v>0.49494039340491602</v>
      </c>
      <c r="J74" s="24" cm="1">
        <f t="array" ref="J74">IFERROR(SUMPRODUCT(($B$5:$B$68=$B74)*J$5:J$68,$K$5:$K$68)/SUM(($B$5:$B$68=$B74)*$K$5:$K$68),IFERROR(SUMPRODUCT(($C$5:$C$68=$B74)*J$5:J$68,$K$5:$K$68)/SUM(($C$5:$C$68=$B74)*$K$5:$K$68),IFERROR(SUMPRODUCT(($D$5:$D$68=$B74)*J$5:J$68,$K$5:$K$68)/SUM(($D$5:$D$68=$B74)*$K$5:$K$68),SUMPRODUCT(($E$5:$E$68=$B74)*J$5:J$68,$K$5:$K$68)/SUM(($E$5:$E$68=$B74)*$K$5:$K$68))))</f>
        <v>0.76276347235126118</v>
      </c>
      <c r="P74" s="27"/>
      <c r="Q74" s="37">
        <f t="shared" si="15"/>
        <v>125.60277030661825</v>
      </c>
      <c r="R74" s="24" cm="1">
        <f t="array" ref="R74">IFERROR(SUMPRODUCT(($B$5:$B$68=$B74)*R$5:R$68,$P$5:$P$68)/SUM(($B$5:$B$68=$B74)*$P$5:$P$68),IFERROR(SUMPRODUCT(($C$5:$C$68=$B74)*R$5:R$68,$P$5:$P$68)/SUM(($C$5:$C$68=$B74)*$P$5:$P$68),IFERROR(SUMPRODUCT(($D$5:$D$68=$B74)*R$5:R$68,$P$5:$P$68)/SUM(($D$5:$D$68=$B74)*$P$5:$P$68),SUMPRODUCT(($E$5:$E$68=$B74)*R$5:R$68,$P$5:$P$68)/SUM(($E$5:$E$68=$B74)*$P$5:$P$68))))</f>
        <v>6.0728236366858992</v>
      </c>
      <c r="S74" s="24" cm="1">
        <f t="array" ref="S74">IFERROR(SUMPRODUCT(($B$5:$B$68=$B74)*S$5:S$68,$P$5:$P$68)/SUM(($B$5:$B$68=$B74)*$P$5:$P$68),IFERROR(SUMPRODUCT(($C$5:$C$68=$B74)*S$5:S$68,$P$5:$P$68)/SUM(($C$5:$C$68=$B74)*$P$5:$P$68),IFERROR(SUMPRODUCT(($D$5:$D$68=$B74)*S$5:S$68,$P$5:$P$68)/SUM(($D$5:$D$68=$B74)*$P$5:$P$68),SUMPRODUCT(($E$5:$E$68=$B74)*S$5:S$68,$P$5:$P$68)/SUM(($E$5:$E$68=$B74)*$P$5:$P$68))))</f>
        <v>0</v>
      </c>
      <c r="T74" s="24" cm="1">
        <f t="array" ref="T74">IFERROR(SUMPRODUCT(($B$5:$B$68=$B74)*T$5:T$68,$P$5:$P$68)/SUM(($B$5:$B$68=$B74)*$P$5:$P$68),IFERROR(SUMPRODUCT(($C$5:$C$68=$B74)*T$5:T$68,$P$5:$P$68)/SUM(($C$5:$C$68=$B74)*$P$5:$P$68),IFERROR(SUMPRODUCT(($D$5:$D$68=$B74)*T$5:T$68,$P$5:$P$68)/SUM(($D$5:$D$68=$B74)*$P$5:$P$68),SUMPRODUCT(($E$5:$E$68=$B74)*T$5:T$68,$P$5:$P$68)/SUM(($E$5:$E$68=$B74)*$P$5:$P$68))))</f>
        <v>6.0728236366858992</v>
      </c>
      <c r="U74" s="24" cm="1">
        <f t="array" ref="U74">IFERROR(SUMPRODUCT(($B$5:$B$68=$B74)*U$5:U$68,$P$5:$P$68)/SUM(($B$5:$B$68=$B74)*$P$5:$P$68),IFERROR(SUMPRODUCT(($C$5:$C$68=$B74)*U$5:U$68,$P$5:$P$68)/SUM(($C$5:$C$68=$B74)*$P$5:$P$68),IFERROR(SUMPRODUCT(($D$5:$D$68=$B74)*U$5:U$68,$P$5:$P$68)/SUM(($D$5:$D$68=$B74)*$P$5:$P$68),SUMPRODUCT(($E$5:$E$68=$B74)*U$5:U$68,$P$5:$P$68)/SUM(($E$5:$E$68=$B74)*$P$5:$P$68))))</f>
        <v>0</v>
      </c>
      <c r="V74" s="24" cm="1">
        <f t="array" ref="V74">IFERROR(SUMPRODUCT(($B$5:$B$68=$B74)*V$5:V$68,$P$5:$P$68)/SUM(($B$5:$B$68=$B74)*$P$5:$P$68),IFERROR(SUMPRODUCT(($C$5:$C$68=$B74)*V$5:V$68,$P$5:$P$68)/SUM(($C$5:$C$68=$B74)*$P$5:$P$68),IFERROR(SUMPRODUCT(($D$5:$D$68=$B74)*V$5:V$68,$P$5:$P$68)/SUM(($D$5:$D$68=$B74)*$P$5:$P$68),SUMPRODUCT(($E$5:$E$68=$B74)*V$5:V$68,$P$5:$P$68)/SUM(($E$5:$E$68=$B74)*$P$5:$P$68))))</f>
        <v>0</v>
      </c>
      <c r="W74" s="24" cm="1">
        <f t="array" ref="W74">IFERROR(SUMPRODUCT(($B$5:$B$68=$B74)*W$5:W$68,$P$5:$P$68)/SUM(($B$5:$B$68=$B74)*$P$5:$P$68),IFERROR(SUMPRODUCT(($C$5:$C$68=$B74)*W$5:W$68,$P$5:$P$68)/SUM(($C$5:$C$68=$B74)*$P$5:$P$68),IFERROR(SUMPRODUCT(($D$5:$D$68=$B74)*W$5:W$68,$P$5:$P$68)/SUM(($D$5:$D$68=$B74)*$P$5:$P$68),SUMPRODUCT(($E$5:$E$68=$B74)*W$5:W$68,$P$5:$P$68)/SUM(($E$5:$E$68=$B74)*$P$5:$P$68))))</f>
        <v>1.1372231797744801</v>
      </c>
      <c r="X74" s="24" cm="1">
        <f t="array" ref="X74">IFERROR(SUMPRODUCT(($B$5:$B$68=$B74)*X$5:X$68,$P$5:$P$68)/SUM(($B$5:$B$68=$B74)*$P$5:$P$68),IFERROR(SUMPRODUCT(($C$5:$C$68=$B74)*X$5:X$68,$P$5:$P$68)/SUM(($C$5:$C$68=$B74)*$P$5:$P$68),IFERROR(SUMPRODUCT(($D$5:$D$68=$B74)*X$5:X$68,$P$5:$P$68)/SUM(($D$5:$D$68=$B74)*$P$5:$P$68),SUMPRODUCT(($E$5:$E$68=$B74)*X$5:X$68,$P$5:$P$68)/SUM(($E$5:$E$68=$B74)*$P$5:$P$68))))</f>
        <v>34.767611271388787</v>
      </c>
      <c r="AC74" s="37"/>
      <c r="AD74" s="24" cm="1">
        <f t="array" ref="AD74">IFERROR(SUMPRODUCT(($B$5:$B$68=$B74)*AD$5:AD$68,$P$5:$P$68)/SUM(($B$5:$B$68=$B74)*$P$5:$P$68),IFERROR(SUMPRODUCT(($C$5:$C$68=$B74)*AD$5:AD$68,$P$5:$P$68)/SUM(($C$5:$C$68=$B74)*$P$5:$P$68),IFERROR(SUMPRODUCT(($D$5:$D$68=$B74)*AD$5:AD$68,$P$5:$P$68)/SUM(($D$5:$D$68=$B74)*$P$5:$P$68),SUMPRODUCT(($E$5:$E$68=$B74)*AD$5:AD$68,$P$5:$P$68)/SUM(($E$5:$E$68=$B74)*$P$5:$P$68))))</f>
        <v>0.81200000000000017</v>
      </c>
      <c r="AE74" s="24" cm="1">
        <f t="array" ref="AE74">IFERROR(SUMPRODUCT(($B$5:$B$68=$B74)*AE$5:AE$68,$P$5:$P$68)/SUM(($B$5:$B$68=$B74)*$P$5:$P$68),IFERROR(SUMPRODUCT(($C$5:$C$68=$B74)*AE$5:AE$68,$P$5:$P$68)/SUM(($C$5:$C$68=$B74)*$P$5:$P$68),IFERROR(SUMPRODUCT(($D$5:$D$68=$B74)*AE$5:AE$68,$P$5:$P$68)/SUM(($D$5:$D$68=$B74)*$P$5:$P$68),SUMPRODUCT(($E$5:$E$68=$B74)*AE$5:AE$68,$P$5:$P$68)/SUM(($E$5:$E$68=$B74)*$P$5:$P$68))))</f>
        <v>0.73900000000000021</v>
      </c>
      <c r="AF74" s="37"/>
      <c r="AG74" s="24" cm="1">
        <f t="array" ref="AG74">IFERROR(SUMPRODUCT(($B$5:$B$68=$B74)*AG$5:AG$68,$P$5:$P$68)/SUM(($B$5:$B$68=$B74)*$P$5:$P$68),IFERROR(SUMPRODUCT(($C$5:$C$68=$B74)*AG$5:AG$68,$P$5:$P$68)/SUM(($C$5:$C$68=$B74)*$P$5:$P$68),IFERROR(SUMPRODUCT(($D$5:$D$68=$B74)*AG$5:AG$68,$P$5:$P$68)/SUM(($D$5:$D$68=$B74)*$P$5:$P$68),SUMPRODUCT(($E$5:$E$68=$B74)*AG$5:AG$68,$P$5:$P$68)/SUM(($E$5:$E$68=$B74)*$P$5:$P$68))))</f>
        <v>1.298319184889499</v>
      </c>
      <c r="AH74" s="24" cm="1">
        <f t="array" ref="AH74">IFERROR(SUMPRODUCT(($B$5:$B$68=$B74)*AH$5:AH$68,$P$5:$P$68)/SUM(($B$5:$B$68=$B74)*$P$5:$P$68),IFERROR(SUMPRODUCT(($C$5:$C$68=$B74)*AH$5:AH$68,$P$5:$P$68)/SUM(($C$5:$C$68=$B74)*$P$5:$P$68),IFERROR(SUMPRODUCT(($D$5:$D$68=$B74)*AH$5:AH$68,$P$5:$P$68)/SUM(($D$5:$D$68=$B74)*$P$5:$P$68),SUMPRODUCT(($E$5:$E$68=$B74)*AH$5:AH$68,$P$5:$P$68)/SUM(($E$5:$E$68=$B74)*$P$5:$P$68))))</f>
        <v>4.8395672422172114</v>
      </c>
    </row>
    <row r="75" spans="1:34" x14ac:dyDescent="0.15">
      <c r="A75" s="5" t="s">
        <v>338</v>
      </c>
      <c r="B75" s="6" t="s">
        <v>95</v>
      </c>
      <c r="G75" s="24" cm="1">
        <f t="array" ref="G75">IFERROR(SUMPRODUCT(($B$5:$B$68=$B75)*G$5:G$68,$H$5:$H$68)/SUM(($B$5:$B$68=$B75)*$H$5:$H$68),IFERROR(SUMPRODUCT(($C$5:$C$68=$B75)*G$5:G$68,$H$5:$H$68)/SUM(($C$5:$C$68=$B75)*$H$5:$H$68),IFERROR(SUMPRODUCT(($D$5:$D$68=$B75)*G$5:G$68,$H$5:$H$68)/SUM(($D$5:$D$68=$B75)*$H$5:$H$68),SUMPRODUCT(($E$5:$E$68=$B75)*G$5:G$68,$H$5:$H$68)/SUM(($E$5:$E$68=$B75)*$H$5:$H$68))))</f>
        <v>1.1838611017829463</v>
      </c>
      <c r="J75" s="24" cm="1">
        <f t="array" ref="J75">IFERROR(SUMPRODUCT(($B$5:$B$68=$B75)*J$5:J$68,$K$5:$K$68)/SUM(($B$5:$B$68=$B75)*$K$5:$K$68),IFERROR(SUMPRODUCT(($C$5:$C$68=$B75)*J$5:J$68,$K$5:$K$68)/SUM(($C$5:$C$68=$B75)*$K$5:$K$68),IFERROR(SUMPRODUCT(($D$5:$D$68=$B75)*J$5:J$68,$K$5:$K$68)/SUM(($D$5:$D$68=$B75)*$K$5:$K$68),SUMPRODUCT(($E$5:$E$68=$B75)*J$5:J$68,$K$5:$K$68)/SUM(($E$5:$E$68=$B75)*$K$5:$K$68))))</f>
        <v>1.0013516184567537</v>
      </c>
      <c r="P75" s="27"/>
      <c r="Q75" s="37">
        <f t="shared" si="15"/>
        <v>33.615107772482908</v>
      </c>
      <c r="R75" s="24" cm="1">
        <f t="array" ref="R75">IFERROR(SUMPRODUCT(($B$5:$B$68=$B75)*R$5:R$68,$P$5:$P$68)/SUM(($B$5:$B$68=$B75)*$P$5:$P$68),IFERROR(SUMPRODUCT(($C$5:$C$68=$B75)*R$5:R$68,$P$5:$P$68)/SUM(($C$5:$C$68=$B75)*$P$5:$P$68),IFERROR(SUMPRODUCT(($D$5:$D$68=$B75)*R$5:R$68,$P$5:$P$68)/SUM(($D$5:$D$68=$B75)*$P$5:$P$68),SUMPRODUCT(($E$5:$E$68=$B75)*R$5:R$68,$P$5:$P$68)/SUM(($E$5:$E$68=$B75)*$P$5:$P$68))))</f>
        <v>2.6802340811720051</v>
      </c>
      <c r="S75" s="24" cm="1">
        <f t="array" ref="S75">IFERROR(SUMPRODUCT(($B$5:$B$68=$B75)*S$5:S$68,$P$5:$P$68)/SUM(($B$5:$B$68=$B75)*$P$5:$P$68),IFERROR(SUMPRODUCT(($C$5:$C$68=$B75)*S$5:S$68,$P$5:$P$68)/SUM(($C$5:$C$68=$B75)*$P$5:$P$68),IFERROR(SUMPRODUCT(($D$5:$D$68=$B75)*S$5:S$68,$P$5:$P$68)/SUM(($D$5:$D$68=$B75)*$P$5:$P$68),SUMPRODUCT(($E$5:$E$68=$B75)*S$5:S$68,$P$5:$P$68)/SUM(($E$5:$E$68=$B75)*$P$5:$P$68))))</f>
        <v>27.108503329226927</v>
      </c>
      <c r="T75" s="24" cm="1">
        <f t="array" ref="T75">IFERROR(SUMPRODUCT(($B$5:$B$68=$B75)*T$5:T$68,$P$5:$P$68)/SUM(($B$5:$B$68=$B75)*$P$5:$P$68),IFERROR(SUMPRODUCT(($C$5:$C$68=$B75)*T$5:T$68,$P$5:$P$68)/SUM(($C$5:$C$68=$B75)*$P$5:$P$68),IFERROR(SUMPRODUCT(($D$5:$D$68=$B75)*T$5:T$68,$P$5:$P$68)/SUM(($D$5:$D$68=$B75)*$P$5:$P$68),SUMPRODUCT(($E$5:$E$68=$B75)*T$5:T$68,$P$5:$P$68)/SUM(($E$5:$E$68=$B75)*$P$5:$P$68))))</f>
        <v>6.4565312817846507</v>
      </c>
      <c r="U75" s="24" cm="1">
        <f t="array" ref="U75">IFERROR(SUMPRODUCT(($B$5:$B$68=$B75)*U$5:U$68,$P$5:$P$68)/SUM(($B$5:$B$68=$B75)*$P$5:$P$68),IFERROR(SUMPRODUCT(($C$5:$C$68=$B75)*U$5:U$68,$P$5:$P$68)/SUM(($C$5:$C$68=$B75)*$P$5:$P$68),IFERROR(SUMPRODUCT(($D$5:$D$68=$B75)*U$5:U$68,$P$5:$P$68)/SUM(($D$5:$D$68=$B75)*$P$5:$P$68),SUMPRODUCT(($E$5:$E$68=$B75)*U$5:U$68,$P$5:$P$68)/SUM(($E$5:$E$68=$B75)*$P$5:$P$68))))</f>
        <v>10.152712795904963</v>
      </c>
      <c r="V75" s="24" cm="1">
        <f t="array" ref="V75">IFERROR(SUMPRODUCT(($B$5:$B$68=$B75)*V$5:V$68,$P$5:$P$68)/SUM(($B$5:$B$68=$B75)*$P$5:$P$68),IFERROR(SUMPRODUCT(($C$5:$C$68=$B75)*V$5:V$68,$P$5:$P$68)/SUM(($C$5:$C$68=$B75)*$P$5:$P$68),IFERROR(SUMPRODUCT(($D$5:$D$68=$B75)*V$5:V$68,$P$5:$P$68)/SUM(($D$5:$D$68=$B75)*$P$5:$P$68),SUMPRODUCT(($E$5:$E$68=$B75)*V$5:V$68,$P$5:$P$68)/SUM(($E$5:$E$68=$B75)*$P$5:$P$68))))</f>
        <v>0</v>
      </c>
      <c r="W75" s="24" cm="1">
        <f t="array" ref="W75">IFERROR(SUMPRODUCT(($B$5:$B$68=$B75)*W$5:W$68,$P$5:$P$68)/SUM(($B$5:$B$68=$B75)*$P$5:$P$68),IFERROR(SUMPRODUCT(($C$5:$C$68=$B75)*W$5:W$68,$P$5:$P$68)/SUM(($C$5:$C$68=$B75)*$P$5:$P$68),IFERROR(SUMPRODUCT(($D$5:$D$68=$B75)*W$5:W$68,$P$5:$P$68)/SUM(($D$5:$D$68=$B75)*$P$5:$P$68),SUMPRODUCT(($E$5:$E$68=$B75)*W$5:W$68,$P$5:$P$68)/SUM(($E$5:$E$68=$B75)*$P$5:$P$68))))</f>
        <v>0.81763152550263762</v>
      </c>
      <c r="X75" s="24" cm="1">
        <f t="array" ref="X75">IFERROR(SUMPRODUCT(($B$5:$B$68=$B75)*X$5:X$68,$P$5:$P$68)/SUM(($B$5:$B$68=$B75)*$P$5:$P$68),IFERROR(SUMPRODUCT(($C$5:$C$68=$B75)*X$5:X$68,$P$5:$P$68)/SUM(($C$5:$C$68=$B75)*$P$5:$P$68),IFERROR(SUMPRODUCT(($D$5:$D$68=$B75)*X$5:X$68,$P$5:$P$68)/SUM(($D$5:$D$68=$B75)*$P$5:$P$68),SUMPRODUCT(($E$5:$E$68=$B75)*X$5:X$68,$P$5:$P$68)/SUM(($E$5:$E$68=$B75)*$P$5:$P$68))))</f>
        <v>39.224529972591384</v>
      </c>
      <c r="AC75" s="37"/>
      <c r="AD75" s="24" cm="1">
        <f t="array" ref="AD75">IFERROR(SUMPRODUCT(($B$5:$B$68=$B75)*AD$5:AD$68,$P$5:$P$68)/SUM(($B$5:$B$68=$B75)*$P$5:$P$68),IFERROR(SUMPRODUCT(($C$5:$C$68=$B75)*AD$5:AD$68,$P$5:$P$68)/SUM(($C$5:$C$68=$B75)*$P$5:$P$68),IFERROR(SUMPRODUCT(($D$5:$D$68=$B75)*AD$5:AD$68,$P$5:$P$68)/SUM(($D$5:$D$68=$B75)*$P$5:$P$68),SUMPRODUCT(($E$5:$E$68=$B75)*AD$5:AD$68,$P$5:$P$68)/SUM(($E$5:$E$68=$B75)*$P$5:$P$68))))</f>
        <v>0.81199999999999994</v>
      </c>
      <c r="AE75" s="24" cm="1">
        <f t="array" ref="AE75">IFERROR(SUMPRODUCT(($B$5:$B$68=$B75)*AE$5:AE$68,$P$5:$P$68)/SUM(($B$5:$B$68=$B75)*$P$5:$P$68),IFERROR(SUMPRODUCT(($C$5:$C$68=$B75)*AE$5:AE$68,$P$5:$P$68)/SUM(($C$5:$C$68=$B75)*$P$5:$P$68),IFERROR(SUMPRODUCT(($D$5:$D$68=$B75)*AE$5:AE$68,$P$5:$P$68)/SUM(($D$5:$D$68=$B75)*$P$5:$P$68),SUMPRODUCT(($E$5:$E$68=$B75)*AE$5:AE$68,$P$5:$P$68)/SUM(($E$5:$E$68=$B75)*$P$5:$P$68))))</f>
        <v>0.73899999999999999</v>
      </c>
      <c r="AF75" s="37"/>
      <c r="AG75" s="24" cm="1">
        <f t="array" ref="AG75">IFERROR(SUMPRODUCT(($B$5:$B$68=$B75)*AG$5:AG$68,$P$5:$P$68)/SUM(($B$5:$B$68=$B75)*$P$5:$P$68),IFERROR(SUMPRODUCT(($C$5:$C$68=$B75)*AG$5:AG$68,$P$5:$P$68)/SUM(($C$5:$C$68=$B75)*$P$5:$P$68),IFERROR(SUMPRODUCT(($D$5:$D$68=$B75)*AG$5:AG$68,$P$5:$P$68)/SUM(($D$5:$D$68=$B75)*$P$5:$P$68),SUMPRODUCT(($E$5:$E$68=$B75)*AG$5:AG$68,$P$5:$P$68)/SUM(($E$5:$E$68=$B75)*$P$5:$P$68))))</f>
        <v>1.3265650001686902</v>
      </c>
      <c r="AH75" s="24" cm="1">
        <f t="array" ref="AH75">IFERROR(SUMPRODUCT(($B$5:$B$68=$B75)*AH$5:AH$68,$P$5:$P$68)/SUM(($B$5:$B$68=$B75)*$P$5:$P$68),IFERROR(SUMPRODUCT(($C$5:$C$68=$B75)*AH$5:AH$68,$P$5:$P$68)/SUM(($C$5:$C$68=$B75)*$P$5:$P$68),IFERROR(SUMPRODUCT(($D$5:$D$68=$B75)*AH$5:AH$68,$P$5:$P$68)/SUM(($D$5:$D$68=$B75)*$P$5:$P$68),SUMPRODUCT(($E$5:$E$68=$B75)*AH$5:AH$68,$P$5:$P$68)/SUM(($E$5:$E$68=$B75)*$P$5:$P$68))))</f>
        <v>6.8406134516345016</v>
      </c>
    </row>
    <row r="76" spans="1:34" x14ac:dyDescent="0.15">
      <c r="A76" s="5" t="s">
        <v>339</v>
      </c>
      <c r="B76" s="6" t="s">
        <v>463</v>
      </c>
      <c r="G76" s="24" cm="1">
        <f t="array" ref="G76">IFERROR(SUMPRODUCT(($B$5:$B$68=$B76)*G$5:G$68,$H$5:$H$68)/SUM(($B$5:$B$68=$B76)*$H$5:$H$68),IFERROR(SUMPRODUCT(($C$5:$C$68=$B76)*G$5:G$68,$H$5:$H$68)/SUM(($C$5:$C$68=$B76)*$H$5:$H$68),IFERROR(SUMPRODUCT(($D$5:$D$68=$B76)*G$5:G$68,$H$5:$H$68)/SUM(($D$5:$D$68=$B76)*$H$5:$H$68),SUMPRODUCT(($E$5:$E$68=$B76)*G$5:G$68,$H$5:$H$68)/SUM(($E$5:$E$68=$B76)*$H$5:$H$68))))</f>
        <v>8.4591606470324017</v>
      </c>
      <c r="J76" s="24" cm="1">
        <f t="array" ref="J76">IFERROR(SUMPRODUCT(($B$5:$B$68=$B76)*J$5:J$68,$K$5:$K$68)/SUM(($B$5:$B$68=$B76)*$K$5:$K$68),IFERROR(SUMPRODUCT(($C$5:$C$68=$B76)*J$5:J$68,$K$5:$K$68)/SUM(($C$5:$C$68=$B76)*$K$5:$K$68),IFERROR(SUMPRODUCT(($D$5:$D$68=$B76)*J$5:J$68,$K$5:$K$68)/SUM(($D$5:$D$68=$B76)*$K$5:$K$68),SUMPRODUCT(($E$5:$E$68=$B76)*J$5:J$68,$K$5:$K$68)/SUM(($E$5:$E$68=$B76)*$K$5:$K$68))))</f>
        <v>6.4483962143983575</v>
      </c>
      <c r="P76" s="27"/>
      <c r="Q76" s="37">
        <f t="shared" si="15"/>
        <v>53.715140465938319</v>
      </c>
      <c r="R76" s="24" cm="1">
        <f t="array" ref="R76">IFERROR(SUMPRODUCT(($B$5:$B$68=$B76)*R$5:R$68,$P$5:$P$68)/SUM(($B$5:$B$68=$B76)*$P$5:$P$68),IFERROR(SUMPRODUCT(($C$5:$C$68=$B76)*R$5:R$68,$P$5:$P$68)/SUM(($C$5:$C$68=$B76)*$P$5:$P$68),IFERROR(SUMPRODUCT(($D$5:$D$68=$B76)*R$5:R$68,$P$5:$P$68)/SUM(($D$5:$D$68=$B76)*$P$5:$P$68),SUMPRODUCT(($E$5:$E$68=$B76)*R$5:R$68,$P$5:$P$68)/SUM(($E$5:$E$68=$B76)*$P$5:$P$68))))</f>
        <v>0</v>
      </c>
      <c r="S76" s="24" cm="1">
        <f t="array" ref="S76">IFERROR(SUMPRODUCT(($B$5:$B$68=$B76)*S$5:S$68,$P$5:$P$68)/SUM(($B$5:$B$68=$B76)*$P$5:$P$68),IFERROR(SUMPRODUCT(($C$5:$C$68=$B76)*S$5:S$68,$P$5:$P$68)/SUM(($C$5:$C$68=$B76)*$P$5:$P$68),IFERROR(SUMPRODUCT(($D$5:$D$68=$B76)*S$5:S$68,$P$5:$P$68)/SUM(($D$5:$D$68=$B76)*$P$5:$P$68),SUMPRODUCT(($E$5:$E$68=$B76)*S$5:S$68,$P$5:$P$68)/SUM(($E$5:$E$68=$B76)*$P$5:$P$68))))</f>
        <v>120.04801920768308</v>
      </c>
      <c r="T76" s="24" cm="1">
        <f t="array" ref="T76">IFERROR(SUMPRODUCT(($B$5:$B$68=$B76)*T$5:T$68,$P$5:$P$68)/SUM(($B$5:$B$68=$B76)*$P$5:$P$68),IFERROR(SUMPRODUCT(($C$5:$C$68=$B76)*T$5:T$68,$P$5:$P$68)/SUM(($C$5:$C$68=$B76)*$P$5:$P$68),IFERROR(SUMPRODUCT(($D$5:$D$68=$B76)*T$5:T$68,$P$5:$P$68)/SUM(($D$5:$D$68=$B76)*$P$5:$P$68),SUMPRODUCT(($E$5:$E$68=$B76)*T$5:T$68,$P$5:$P$68)/SUM(($E$5:$E$68=$B76)*$P$5:$P$68))))</f>
        <v>0</v>
      </c>
      <c r="U76" s="24" cm="1">
        <f t="array" ref="U76">IFERROR(SUMPRODUCT(($B$5:$B$68=$B76)*U$5:U$68,$P$5:$P$68)/SUM(($B$5:$B$68=$B76)*$P$5:$P$68),IFERROR(SUMPRODUCT(($C$5:$C$68=$B76)*U$5:U$68,$P$5:$P$68)/SUM(($C$5:$C$68=$B76)*$P$5:$P$68),IFERROR(SUMPRODUCT(($D$5:$D$68=$B76)*U$5:U$68,$P$5:$P$68)/SUM(($D$5:$D$68=$B76)*$P$5:$P$68),SUMPRODUCT(($E$5:$E$68=$B76)*U$5:U$68,$P$5:$P$68)/SUM(($E$5:$E$68=$B76)*$P$5:$P$68))))</f>
        <v>0</v>
      </c>
      <c r="V76" s="24" cm="1">
        <f t="array" ref="V76">IFERROR(SUMPRODUCT(($B$5:$B$68=$B76)*V$5:V$68,$P$5:$P$68)/SUM(($B$5:$B$68=$B76)*$P$5:$P$68),IFERROR(SUMPRODUCT(($C$5:$C$68=$B76)*V$5:V$68,$P$5:$P$68)/SUM(($C$5:$C$68=$B76)*$P$5:$P$68),IFERROR(SUMPRODUCT(($D$5:$D$68=$B76)*V$5:V$68,$P$5:$P$68)/SUM(($D$5:$D$68=$B76)*$P$5:$P$68),SUMPRODUCT(($E$5:$E$68=$B76)*V$5:V$68,$P$5:$P$68)/SUM(($E$5:$E$68=$B76)*$P$5:$P$68))))</f>
        <v>0</v>
      </c>
      <c r="W76" s="24" cm="1">
        <f t="array" ref="W76">IFERROR(SUMPRODUCT(($B$5:$B$68=$B76)*W$5:W$68,$P$5:$P$68)/SUM(($B$5:$B$68=$B76)*$P$5:$P$68),IFERROR(SUMPRODUCT(($C$5:$C$68=$B76)*W$5:W$68,$P$5:$P$68)/SUM(($C$5:$C$68=$B76)*$P$5:$P$68),IFERROR(SUMPRODUCT(($D$5:$D$68=$B76)*W$5:W$68,$P$5:$P$68)/SUM(($D$5:$D$68=$B76)*$P$5:$P$68),SUMPRODUCT(($E$5:$E$68=$B76)*W$5:W$68,$P$5:$P$68)/SUM(($E$5:$E$68=$B76)*$P$5:$P$68))))</f>
        <v>0</v>
      </c>
      <c r="X76" s="24" cm="1">
        <f t="array" ref="X76">IFERROR(SUMPRODUCT(($B$5:$B$68=$B76)*X$5:X$68,$P$5:$P$68)/SUM(($B$5:$B$68=$B76)*$P$5:$P$68),IFERROR(SUMPRODUCT(($C$5:$C$68=$B76)*X$5:X$68,$P$5:$P$68)/SUM(($C$5:$C$68=$B76)*$P$5:$P$68),IFERROR(SUMPRODUCT(($D$5:$D$68=$B76)*X$5:X$68,$P$5:$P$68)/SUM(($D$5:$D$68=$B76)*$P$5:$P$68),SUMPRODUCT(($E$5:$E$68=$B76)*X$5:X$68,$P$5:$P$68)/SUM(($E$5:$E$68=$B76)*$P$5:$P$68))))</f>
        <v>3.6</v>
      </c>
      <c r="AC76" s="37"/>
      <c r="AD76" s="24" cm="1">
        <f t="array" ref="AD76">IFERROR(SUMPRODUCT(($B$5:$B$68=$B76)*AD$5:AD$68,$P$5:$P$68)/SUM(($B$5:$B$68=$B76)*$P$5:$P$68),IFERROR(SUMPRODUCT(($C$5:$C$68=$B76)*AD$5:AD$68,$P$5:$P$68)/SUM(($C$5:$C$68=$B76)*$P$5:$P$68),IFERROR(SUMPRODUCT(($D$5:$D$68=$B76)*AD$5:AD$68,$P$5:$P$68)/SUM(($D$5:$D$68=$B76)*$P$5:$P$68),SUMPRODUCT(($E$5:$E$68=$B76)*AD$5:AD$68,$P$5:$P$68)/SUM(($E$5:$E$68=$B76)*$P$5:$P$68))))</f>
        <v>0.81200000000000017</v>
      </c>
      <c r="AE76" s="24" cm="1">
        <f t="array" ref="AE76">IFERROR(SUMPRODUCT(($B$5:$B$68=$B76)*AE$5:AE$68,$P$5:$P$68)/SUM(($B$5:$B$68=$B76)*$P$5:$P$68),IFERROR(SUMPRODUCT(($C$5:$C$68=$B76)*AE$5:AE$68,$P$5:$P$68)/SUM(($C$5:$C$68=$B76)*$P$5:$P$68),IFERROR(SUMPRODUCT(($D$5:$D$68=$B76)*AE$5:AE$68,$P$5:$P$68)/SUM(($D$5:$D$68=$B76)*$P$5:$P$68),SUMPRODUCT(($E$5:$E$68=$B76)*AE$5:AE$68,$P$5:$P$68)/SUM(($E$5:$E$68=$B76)*$P$5:$P$68))))</f>
        <v>0.7390000000000001</v>
      </c>
      <c r="AF76" s="37"/>
      <c r="AG76" s="24" cm="1">
        <f t="array" ref="AG76">IFERROR(SUMPRODUCT(($B$5:$B$68=$B76)*AG$5:AG$68,$P$5:$P$68)/SUM(($B$5:$B$68=$B76)*$P$5:$P$68),IFERROR(SUMPRODUCT(($C$5:$C$68=$B76)*AG$5:AG$68,$P$5:$P$68)/SUM(($C$5:$C$68=$B76)*$P$5:$P$68),IFERROR(SUMPRODUCT(($D$5:$D$68=$B76)*AG$5:AG$68,$P$5:$P$68)/SUM(($D$5:$D$68=$B76)*$P$5:$P$68),SUMPRODUCT(($E$5:$E$68=$B76)*AG$5:AG$68,$P$5:$P$68)/SUM(($E$5:$E$68=$B76)*$P$5:$P$68))))</f>
        <v>1.2983191848894988</v>
      </c>
      <c r="AH76" s="24" cm="1">
        <f t="array" ref="AH76">IFERROR(SUMPRODUCT(($B$5:$B$68=$B76)*AH$5:AH$68,$P$5:$P$68)/SUM(($B$5:$B$68=$B76)*$P$5:$P$68),IFERROR(SUMPRODUCT(($C$5:$C$68=$B76)*AH$5:AH$68,$P$5:$P$68)/SUM(($C$5:$C$68=$B76)*$P$5:$P$68),IFERROR(SUMPRODUCT(($D$5:$D$68=$B76)*AH$5:AH$68,$P$5:$P$68)/SUM(($D$5:$D$68=$B76)*$P$5:$P$68),SUMPRODUCT(($E$5:$E$68=$B76)*AH$5:AH$68,$P$5:$P$68)/SUM(($E$5:$E$68=$B76)*$P$5:$P$68))))</f>
        <v>4.8395672422172114</v>
      </c>
    </row>
    <row r="77" spans="1:34" x14ac:dyDescent="0.15">
      <c r="A77" s="5" t="s">
        <v>377</v>
      </c>
      <c r="B77" s="6" t="s">
        <v>472</v>
      </c>
      <c r="G77" s="24" cm="1">
        <f t="array" ref="G77">IFERROR(SUMPRODUCT(($B$5:$B$68=$B77)*G$5:G$68,$H$5:$H$68)/SUM(($B$5:$B$68=$B77)*$H$5:$H$68),IFERROR(SUMPRODUCT(($C$5:$C$68=$B77)*G$5:G$68,$H$5:$H$68)/SUM(($C$5:$C$68=$B77)*$H$5:$H$68),IFERROR(SUMPRODUCT(($D$5:$D$68=$B77)*G$5:G$68,$H$5:$H$68)/SUM(($D$5:$D$68=$B77)*$H$5:$H$68),SUMPRODUCT(($E$5:$E$68=$B77)*G$5:G$68,$H$5:$H$68)/SUM(($E$5:$E$68=$B77)*$H$5:$H$68))))</f>
        <v>1.4950000000000001</v>
      </c>
      <c r="J77" s="24" cm="1">
        <f t="array" ref="J77">IFERROR(SUMPRODUCT(($B$5:$B$68=$B77)*J$5:J$68,$K$5:$K$68)/SUM(($B$5:$B$68=$B77)*$K$5:$K$68),IFERROR(SUMPRODUCT(($C$5:$C$68=$B77)*J$5:J$68,$K$5:$K$68)/SUM(($C$5:$C$68=$B77)*$K$5:$K$68),IFERROR(SUMPRODUCT(($D$5:$D$68=$B77)*J$5:J$68,$K$5:$K$68)/SUM(($D$5:$D$68=$B77)*$K$5:$K$68),SUMPRODUCT(($E$5:$E$68=$B77)*J$5:J$68,$K$5:$K$68)/SUM(($E$5:$E$68=$B77)*$K$5:$K$68))))</f>
        <v>1.288</v>
      </c>
      <c r="P77" s="27"/>
      <c r="Q77" s="37">
        <f t="shared" si="15"/>
        <v>59.13682277318641</v>
      </c>
      <c r="R77" s="24" cm="1">
        <f t="array" ref="R77">IFERROR(SUMPRODUCT(($B$5:$B$68=$B77)*R$5:R$68,$P$5:$P$68)/SUM(($B$5:$B$68=$B77)*$P$5:$P$68),IFERROR(SUMPRODUCT(($C$5:$C$68=$B77)*R$5:R$68,$P$5:$P$68)/SUM(($C$5:$C$68=$B77)*$P$5:$P$68),IFERROR(SUMPRODUCT(($D$5:$D$68=$B77)*R$5:R$68,$P$5:$P$68)/SUM(($D$5:$D$68=$B77)*$P$5:$P$68),SUMPRODUCT(($E$5:$E$68=$B77)*R$5:R$68,$P$5:$P$68)/SUM(($E$5:$E$68=$B77)*$P$5:$P$68))))</f>
        <v>14.976000000000001</v>
      </c>
      <c r="S77" s="24" cm="1">
        <f t="array" ref="S77">IFERROR(SUMPRODUCT(($B$5:$B$68=$B77)*S$5:S$68,$P$5:$P$68)/SUM(($B$5:$B$68=$B77)*$P$5:$P$68),IFERROR(SUMPRODUCT(($C$5:$C$68=$B77)*S$5:S$68,$P$5:$P$68)/SUM(($C$5:$C$68=$B77)*$P$5:$P$68),IFERROR(SUMPRODUCT(($D$5:$D$68=$B77)*S$5:S$68,$P$5:$P$68)/SUM(($D$5:$D$68=$B77)*$P$5:$P$68),SUMPRODUCT(($E$5:$E$68=$B77)*S$5:S$68,$P$5:$P$68)/SUM(($E$5:$E$68=$B77)*$P$5:$P$68))))</f>
        <v>6.8039999999999985</v>
      </c>
      <c r="T77" s="24" cm="1">
        <f t="array" ref="T77">IFERROR(SUMPRODUCT(($B$5:$B$68=$B77)*T$5:T$68,$P$5:$P$68)/SUM(($B$5:$B$68=$B77)*$P$5:$P$68),IFERROR(SUMPRODUCT(($C$5:$C$68=$B77)*T$5:T$68,$P$5:$P$68)/SUM(($C$5:$C$68=$B77)*$P$5:$P$68),IFERROR(SUMPRODUCT(($D$5:$D$68=$B77)*T$5:T$68,$P$5:$P$68)/SUM(($D$5:$D$68=$B77)*$P$5:$P$68),SUMPRODUCT(($E$5:$E$68=$B77)*T$5:T$68,$P$5:$P$68)/SUM(($E$5:$E$68=$B77)*$P$5:$P$68))))</f>
        <v>0</v>
      </c>
      <c r="U77" s="24" cm="1">
        <f t="array" ref="U77">IFERROR(SUMPRODUCT(($B$5:$B$68=$B77)*U$5:U$68,$P$5:$P$68)/SUM(($B$5:$B$68=$B77)*$P$5:$P$68),IFERROR(SUMPRODUCT(($C$5:$C$68=$B77)*U$5:U$68,$P$5:$P$68)/SUM(($C$5:$C$68=$B77)*$P$5:$P$68),IFERROR(SUMPRODUCT(($D$5:$D$68=$B77)*U$5:U$68,$P$5:$P$68)/SUM(($D$5:$D$68=$B77)*$P$5:$P$68),SUMPRODUCT(($E$5:$E$68=$B77)*U$5:U$68,$P$5:$P$68)/SUM(($E$5:$E$68=$B77)*$P$5:$P$68))))</f>
        <v>0</v>
      </c>
      <c r="V77" s="24" cm="1">
        <f t="array" ref="V77">IFERROR(SUMPRODUCT(($B$5:$B$68=$B77)*V$5:V$68,$P$5:$P$68)/SUM(($B$5:$B$68=$B77)*$P$5:$P$68),IFERROR(SUMPRODUCT(($C$5:$C$68=$B77)*V$5:V$68,$P$5:$P$68)/SUM(($C$5:$C$68=$B77)*$P$5:$P$68),IFERROR(SUMPRODUCT(($D$5:$D$68=$B77)*V$5:V$68,$P$5:$P$68)/SUM(($D$5:$D$68=$B77)*$P$5:$P$68),SUMPRODUCT(($E$5:$E$68=$B77)*V$5:V$68,$P$5:$P$68)/SUM(($E$5:$E$68=$B77)*$P$5:$P$68))))</f>
        <v>6.05</v>
      </c>
      <c r="W77" s="24" cm="1">
        <f t="array" ref="W77">IFERROR(SUMPRODUCT(($B$5:$B$68=$B77)*W$5:W$68,$P$5:$P$68)/SUM(($B$5:$B$68=$B77)*$P$5:$P$68),IFERROR(SUMPRODUCT(($C$5:$C$68=$B77)*W$5:W$68,$P$5:$P$68)/SUM(($C$5:$C$68=$B77)*$P$5:$P$68),IFERROR(SUMPRODUCT(($D$5:$D$68=$B77)*W$5:W$68,$P$5:$P$68)/SUM(($D$5:$D$68=$B77)*$P$5:$P$68),SUMPRODUCT(($E$5:$E$68=$B77)*W$5:W$68,$P$5:$P$68)/SUM(($E$5:$E$68=$B77)*$P$5:$P$68))))</f>
        <v>4.1342400000000001</v>
      </c>
      <c r="X77" s="24" cm="1">
        <f t="array" ref="X77">IFERROR(SUMPRODUCT(($B$5:$B$68=$B77)*X$5:X$68,$P$5:$P$68)/SUM(($B$5:$B$68=$B77)*$P$5:$P$68),IFERROR(SUMPRODUCT(($C$5:$C$68=$B77)*X$5:X$68,$P$5:$P$68)/SUM(($C$5:$C$68=$B77)*$P$5:$P$68),IFERROR(SUMPRODUCT(($D$5:$D$68=$B77)*X$5:X$68,$P$5:$P$68)/SUM(($D$5:$D$68=$B77)*$P$5:$P$68),SUMPRODUCT(($E$5:$E$68=$B77)*X$5:X$68,$P$5:$P$68)/SUM(($E$5:$E$68=$B77)*$P$5:$P$68))))</f>
        <v>6.4735199999999988</v>
      </c>
      <c r="AC77" s="37"/>
      <c r="AD77" s="24" cm="1">
        <f t="array" ref="AD77">IFERROR(SUMPRODUCT(($B$5:$B$68=$B77)*AD$5:AD$68,$P$5:$P$68)/SUM(($B$5:$B$68=$B77)*$P$5:$P$68),IFERROR(SUMPRODUCT(($C$5:$C$68=$B77)*AD$5:AD$68,$P$5:$P$68)/SUM(($C$5:$C$68=$B77)*$P$5:$P$68),IFERROR(SUMPRODUCT(($D$5:$D$68=$B77)*AD$5:AD$68,$P$5:$P$68)/SUM(($D$5:$D$68=$B77)*$P$5:$P$68),SUMPRODUCT(($E$5:$E$68=$B77)*AD$5:AD$68,$P$5:$P$68)/SUM(($E$5:$E$68=$B77)*$P$5:$P$68))))</f>
        <v>0.48099999999999998</v>
      </c>
      <c r="AE77" s="24" cm="1">
        <f t="array" ref="AE77">IFERROR(SUMPRODUCT(($B$5:$B$68=$B77)*AE$5:AE$68,$P$5:$P$68)/SUM(($B$5:$B$68=$B77)*$P$5:$P$68),IFERROR(SUMPRODUCT(($C$5:$C$68=$B77)*AE$5:AE$68,$P$5:$P$68)/SUM(($C$5:$C$68=$B77)*$P$5:$P$68),IFERROR(SUMPRODUCT(($D$5:$D$68=$B77)*AE$5:AE$68,$P$5:$P$68)/SUM(($D$5:$D$68=$B77)*$P$5:$P$68),SUMPRODUCT(($E$5:$E$68=$B77)*AE$5:AE$68,$P$5:$P$68)/SUM(($E$5:$E$68=$B77)*$P$5:$P$68))))</f>
        <v>0.41199999999999992</v>
      </c>
      <c r="AF77" s="37"/>
      <c r="AG77" s="24" cm="1">
        <f t="array" ref="AG77">IFERROR(SUMPRODUCT(($B$5:$B$68=$B77)*AG$5:AG$68,$P$5:$P$68)/SUM(($B$5:$B$68=$B77)*$P$5:$P$68),IFERROR(SUMPRODUCT(($C$5:$C$68=$B77)*AG$5:AG$68,$P$5:$P$68)/SUM(($C$5:$C$68=$B77)*$P$5:$P$68),IFERROR(SUMPRODUCT(($D$5:$D$68=$B77)*AG$5:AG$68,$P$5:$P$68)/SUM(($D$5:$D$68=$B77)*$P$5:$P$68),SUMPRODUCT(($E$5:$E$68=$B77)*AG$5:AG$68,$P$5:$P$68)/SUM(($E$5:$E$68=$B77)*$P$5:$P$68))))</f>
        <v>1.2895889249131132</v>
      </c>
      <c r="AH77" s="24" cm="1">
        <f t="array" ref="AH77">IFERROR(SUMPRODUCT(($B$5:$B$68=$B77)*AH$5:AH$68,$P$5:$P$68)/SUM(($B$5:$B$68=$B77)*$P$5:$P$68),IFERROR(SUMPRODUCT(($C$5:$C$68=$B77)*AH$5:AH$68,$P$5:$P$68)/SUM(($C$5:$C$68=$B77)*$P$5:$P$68),IFERROR(SUMPRODUCT(($D$5:$D$68=$B77)*AH$5:AH$68,$P$5:$P$68)/SUM(($D$5:$D$68=$B77)*$P$5:$P$68),SUMPRODUCT(($E$5:$E$68=$B77)*AH$5:AH$68,$P$5:$P$68)/SUM(($E$5:$E$68=$B77)*$P$5:$P$68))))</f>
        <v>0.59422748497442568</v>
      </c>
    </row>
    <row r="78" spans="1:34" x14ac:dyDescent="0.15">
      <c r="A78" s="5" t="s">
        <v>446</v>
      </c>
      <c r="B78" s="6" t="s">
        <v>473</v>
      </c>
      <c r="G78" s="24" cm="1">
        <f t="array" ref="G78">IFERROR(SUMPRODUCT(($B$5:$B$68=$B78)*G$5:G$68,$H$5:$H$68)/SUM(($B$5:$B$68=$B78)*$H$5:$H$68),IFERROR(SUMPRODUCT(($C$5:$C$68=$B78)*G$5:G$68,$H$5:$H$68)/SUM(($C$5:$C$68=$B78)*$H$5:$H$68),IFERROR(SUMPRODUCT(($D$5:$D$68=$B78)*G$5:G$68,$H$5:$H$68)/SUM(($D$5:$D$68=$B78)*$H$5:$H$68),SUMPRODUCT(($E$5:$E$68=$B78)*G$5:G$68,$H$5:$H$68)/SUM(($E$5:$E$68=$B78)*$H$5:$H$68))))</f>
        <v>0.28693460797283676</v>
      </c>
      <c r="J78" s="24" cm="1">
        <f t="array" ref="J78">IFERROR(SUMPRODUCT(($B$5:$B$68=$B78)*J$5:J$68,$K$5:$K$68)/SUM(($B$5:$B$68=$B78)*$K$5:$K$68),IFERROR(SUMPRODUCT(($C$5:$C$68=$B78)*J$5:J$68,$K$5:$K$68)/SUM(($C$5:$C$68=$B78)*$K$5:$K$68),IFERROR(SUMPRODUCT(($D$5:$D$68=$B78)*J$5:J$68,$K$5:$K$68)/SUM(($D$5:$D$68=$B78)*$K$5:$K$68),SUMPRODUCT(($E$5:$E$68=$B78)*J$5:J$68,$K$5:$K$68)/SUM(($E$5:$E$68=$B78)*$K$5:$K$68))))</f>
        <v>0.24234523094630439</v>
      </c>
      <c r="P78" s="27"/>
      <c r="Q78" s="37">
        <f t="shared" si="15"/>
        <v>97.846104225736582</v>
      </c>
      <c r="R78" s="24" cm="1">
        <f t="array" ref="R78">IFERROR(SUMPRODUCT(($B$5:$B$68=$B78)*R$5:R$68,$P$5:$P$68)/SUM(($B$5:$B$68=$B78)*$P$5:$P$68),IFERROR(SUMPRODUCT(($C$5:$C$68=$B78)*R$5:R$68,$P$5:$P$68)/SUM(($C$5:$C$68=$B78)*$P$5:$P$68),IFERROR(SUMPRODUCT(($D$5:$D$68=$B78)*R$5:R$68,$P$5:$P$68)/SUM(($D$5:$D$68=$B78)*$P$5:$P$68),SUMPRODUCT(($E$5:$E$68=$B78)*R$5:R$68,$P$5:$P$68)/SUM(($E$5:$E$68=$B78)*$P$5:$P$68))))</f>
        <v>2.4768000000000003</v>
      </c>
      <c r="S78" s="24" cm="1">
        <f t="array" ref="S78">IFERROR(SUMPRODUCT(($B$5:$B$68=$B78)*S$5:S$68,$P$5:$P$68)/SUM(($B$5:$B$68=$B78)*$P$5:$P$68),IFERROR(SUMPRODUCT(($C$5:$C$68=$B78)*S$5:S$68,$P$5:$P$68)/SUM(($C$5:$C$68=$B78)*$P$5:$P$68),IFERROR(SUMPRODUCT(($D$5:$D$68=$B78)*S$5:S$68,$P$5:$P$68)/SUM(($D$5:$D$68=$B78)*$P$5:$P$68),SUMPRODUCT(($E$5:$E$68=$B78)*S$5:S$68,$P$5:$P$68)/SUM(($E$5:$E$68=$B78)*$P$5:$P$68))))</f>
        <v>0</v>
      </c>
      <c r="T78" s="24" cm="1">
        <f t="array" ref="T78">IFERROR(SUMPRODUCT(($B$5:$B$68=$B78)*T$5:T$68,$P$5:$P$68)/SUM(($B$5:$B$68=$B78)*$P$5:$P$68),IFERROR(SUMPRODUCT(($C$5:$C$68=$B78)*T$5:T$68,$P$5:$P$68)/SUM(($C$5:$C$68=$B78)*$P$5:$P$68),IFERROR(SUMPRODUCT(($D$5:$D$68=$B78)*T$5:T$68,$P$5:$P$68)/SUM(($D$5:$D$68=$B78)*$P$5:$P$68),SUMPRODUCT(($E$5:$E$68=$B78)*T$5:T$68,$P$5:$P$68)/SUM(($E$5:$E$68=$B78)*$P$5:$P$68))))</f>
        <v>0</v>
      </c>
      <c r="U78" s="24" cm="1">
        <f t="array" ref="U78">IFERROR(SUMPRODUCT(($B$5:$B$68=$B78)*U$5:U$68,$P$5:$P$68)/SUM(($B$5:$B$68=$B78)*$P$5:$P$68),IFERROR(SUMPRODUCT(($C$5:$C$68=$B78)*U$5:U$68,$P$5:$P$68)/SUM(($C$5:$C$68=$B78)*$P$5:$P$68),IFERROR(SUMPRODUCT(($D$5:$D$68=$B78)*U$5:U$68,$P$5:$P$68)/SUM(($D$5:$D$68=$B78)*$P$5:$P$68),SUMPRODUCT(($E$5:$E$68=$B78)*U$5:U$68,$P$5:$P$68)/SUM(($E$5:$E$68=$B78)*$P$5:$P$68))))</f>
        <v>0</v>
      </c>
      <c r="V78" s="24" cm="1">
        <f t="array" ref="V78">IFERROR(SUMPRODUCT(($B$5:$B$68=$B78)*V$5:V$68,$P$5:$P$68)/SUM(($B$5:$B$68=$B78)*$P$5:$P$68),IFERROR(SUMPRODUCT(($C$5:$C$68=$B78)*V$5:V$68,$P$5:$P$68)/SUM(($C$5:$C$68=$B78)*$P$5:$P$68),IFERROR(SUMPRODUCT(($D$5:$D$68=$B78)*V$5:V$68,$P$5:$P$68)/SUM(($D$5:$D$68=$B78)*$P$5:$P$68),SUMPRODUCT(($E$5:$E$68=$B78)*V$5:V$68,$P$5:$P$68)/SUM(($E$5:$E$68=$B78)*$P$5:$P$68))))</f>
        <v>2.2000000000000002</v>
      </c>
      <c r="W78" s="24" cm="1">
        <f t="array" ref="W78">IFERROR(SUMPRODUCT(($B$5:$B$68=$B78)*W$5:W$68,$P$5:$P$68)/SUM(($B$5:$B$68=$B78)*$P$5:$P$68),IFERROR(SUMPRODUCT(($C$5:$C$68=$B78)*W$5:W$68,$P$5:$P$68)/SUM(($C$5:$C$68=$B78)*$P$5:$P$68),IFERROR(SUMPRODUCT(($D$5:$D$68=$B78)*W$5:W$68,$P$5:$P$68)/SUM(($D$5:$D$68=$B78)*$P$5:$P$68),SUMPRODUCT(($E$5:$E$68=$B78)*W$5:W$68,$P$5:$P$68)/SUM(($E$5:$E$68=$B78)*$P$5:$P$68))))</f>
        <v>4.1342400000000001</v>
      </c>
      <c r="X78" s="24" cm="1">
        <f t="array" ref="X78">IFERROR(SUMPRODUCT(($B$5:$B$68=$B78)*X$5:X$68,$P$5:$P$68)/SUM(($B$5:$B$68=$B78)*$P$5:$P$68),IFERROR(SUMPRODUCT(($C$5:$C$68=$B78)*X$5:X$68,$P$5:$P$68)/SUM(($C$5:$C$68=$B78)*$P$5:$P$68),IFERROR(SUMPRODUCT(($D$5:$D$68=$B78)*X$5:X$68,$P$5:$P$68)/SUM(($D$5:$D$68=$B78)*$P$5:$P$68),SUMPRODUCT(($E$5:$E$68=$B78)*X$5:X$68,$P$5:$P$68)/SUM(($E$5:$E$68=$B78)*$P$5:$P$68))))</f>
        <v>6.4735199999999988</v>
      </c>
      <c r="AC78" s="37"/>
      <c r="AD78" s="24" cm="1">
        <f t="array" ref="AD78">IFERROR(SUMPRODUCT(($B$5:$B$68=$B78)*AD$5:AD$68,$P$5:$P$68)/SUM(($B$5:$B$68=$B78)*$P$5:$P$68),IFERROR(SUMPRODUCT(($C$5:$C$68=$B78)*AD$5:AD$68,$P$5:$P$68)/SUM(($C$5:$C$68=$B78)*$P$5:$P$68),IFERROR(SUMPRODUCT(($D$5:$D$68=$B78)*AD$5:AD$68,$P$5:$P$68)/SUM(($D$5:$D$68=$B78)*$P$5:$P$68),SUMPRODUCT(($E$5:$E$68=$B78)*AD$5:AD$68,$P$5:$P$68)/SUM(($E$5:$E$68=$B78)*$P$5:$P$68))))</f>
        <v>0.48099999999999998</v>
      </c>
      <c r="AE78" s="24" cm="1">
        <f t="array" ref="AE78">IFERROR(SUMPRODUCT(($B$5:$B$68=$B78)*AE$5:AE$68,$P$5:$P$68)/SUM(($B$5:$B$68=$B78)*$P$5:$P$68),IFERROR(SUMPRODUCT(($C$5:$C$68=$B78)*AE$5:AE$68,$P$5:$P$68)/SUM(($C$5:$C$68=$B78)*$P$5:$P$68),IFERROR(SUMPRODUCT(($D$5:$D$68=$B78)*AE$5:AE$68,$P$5:$P$68)/SUM(($D$5:$D$68=$B78)*$P$5:$P$68),SUMPRODUCT(($E$5:$E$68=$B78)*AE$5:AE$68,$P$5:$P$68)/SUM(($E$5:$E$68=$B78)*$P$5:$P$68))))</f>
        <v>0.41199999999999998</v>
      </c>
      <c r="AF78" s="37"/>
      <c r="AG78" s="24" cm="1">
        <f t="array" ref="AG78">IFERROR(SUMPRODUCT(($B$5:$B$68=$B78)*AG$5:AG$68,$P$5:$P$68)/SUM(($B$5:$B$68=$B78)*$P$5:$P$68),IFERROR(SUMPRODUCT(($C$5:$C$68=$B78)*AG$5:AG$68,$P$5:$P$68)/SUM(($C$5:$C$68=$B78)*$P$5:$P$68),IFERROR(SUMPRODUCT(($D$5:$D$68=$B78)*AG$5:AG$68,$P$5:$P$68)/SUM(($D$5:$D$68=$B78)*$P$5:$P$68),SUMPRODUCT(($E$5:$E$68=$B78)*AG$5:AG$68,$P$5:$P$68)/SUM(($E$5:$E$68=$B78)*$P$5:$P$68))))</f>
        <v>1.2895889249131132</v>
      </c>
      <c r="AH78" s="24" cm="1">
        <f t="array" ref="AH78">IFERROR(SUMPRODUCT(($B$5:$B$68=$B78)*AH$5:AH$68,$P$5:$P$68)/SUM(($B$5:$B$68=$B78)*$P$5:$P$68),IFERROR(SUMPRODUCT(($C$5:$C$68=$B78)*AH$5:AH$68,$P$5:$P$68)/SUM(($C$5:$C$68=$B78)*$P$5:$P$68),IFERROR(SUMPRODUCT(($D$5:$D$68=$B78)*AH$5:AH$68,$P$5:$P$68)/SUM(($D$5:$D$68=$B78)*$P$5:$P$68),SUMPRODUCT(($E$5:$E$68=$B78)*AH$5:AH$68,$P$5:$P$68)/SUM(($E$5:$E$68=$B78)*$P$5:$P$68))))</f>
        <v>0.59422748497442568</v>
      </c>
    </row>
    <row r="79" spans="1:34" x14ac:dyDescent="0.15">
      <c r="A79" s="5" t="s">
        <v>327</v>
      </c>
      <c r="B79" s="6" t="s">
        <v>106</v>
      </c>
      <c r="G79" s="24" cm="1">
        <f t="array" ref="G79">IFERROR(SUMPRODUCT(($B$5:$B$68=$B79)*G$5:G$68,$H$5:$H$68)/SUM(($B$5:$B$68=$B79)*$H$5:$H$68),IFERROR(SUMPRODUCT(($C$5:$C$68=$B79)*G$5:G$68,$H$5:$H$68)/SUM(($C$5:$C$68=$B79)*$H$5:$H$68),IFERROR(SUMPRODUCT(($D$5:$D$68=$B79)*G$5:G$68,$H$5:$H$68)/SUM(($D$5:$D$68=$B79)*$H$5:$H$68),SUMPRODUCT(($E$5:$E$68=$B79)*G$5:G$68,$H$5:$H$68)/SUM(($E$5:$E$68=$B79)*$H$5:$H$68))))</f>
        <v>0.81745070728588098</v>
      </c>
      <c r="J79" s="24" cm="1">
        <f t="array" ref="J79">IFERROR(SUMPRODUCT(($B$5:$B$68=$B79)*J$5:J$68,$K$5:$K$68)/SUM(($B$5:$B$68=$B79)*$K$5:$K$68),IFERROR(SUMPRODUCT(($C$5:$C$68=$B79)*J$5:J$68,$K$5:$K$68)/SUM(($C$5:$C$68=$B79)*$K$5:$K$68),IFERROR(SUMPRODUCT(($D$5:$D$68=$B79)*J$5:J$68,$K$5:$K$68)/SUM(($D$5:$D$68=$B79)*$K$5:$K$68),SUMPRODUCT(($E$5:$E$68=$B79)*J$5:J$68,$K$5:$K$68)/SUM(($E$5:$E$68=$B79)*$K$5:$K$68))))</f>
        <v>0.6991394038416423</v>
      </c>
      <c r="P79" s="27"/>
      <c r="Q79" s="37">
        <f t="shared" si="15"/>
        <v>161.83782496334302</v>
      </c>
      <c r="R79" s="24" cm="1">
        <f t="array" ref="R79">IFERROR(SUMPRODUCT(($B$5:$B$68=$B79)*R$5:R$68,$P$5:$P$68)/SUM(($B$5:$B$68=$B79)*$P$5:$P$68),IFERROR(SUMPRODUCT(($C$5:$C$68=$B79)*R$5:R$68,$P$5:$P$68)/SUM(($C$5:$C$68=$B79)*$P$5:$P$68),IFERROR(SUMPRODUCT(($D$5:$D$68=$B79)*R$5:R$68,$P$5:$P$68)/SUM(($D$5:$D$68=$B79)*$P$5:$P$68),SUMPRODUCT(($E$5:$E$68=$B79)*R$5:R$68,$P$5:$P$68)/SUM(($E$5:$E$68=$B79)*$P$5:$P$68))))</f>
        <v>4.3200000000000021</v>
      </c>
      <c r="S79" s="24" cm="1">
        <f t="array" ref="S79">IFERROR(SUMPRODUCT(($B$5:$B$68=$B79)*S$5:S$68,$P$5:$P$68)/SUM(($B$5:$B$68=$B79)*$P$5:$P$68),IFERROR(SUMPRODUCT(($C$5:$C$68=$B79)*S$5:S$68,$P$5:$P$68)/SUM(($C$5:$C$68=$B79)*$P$5:$P$68),IFERROR(SUMPRODUCT(($D$5:$D$68=$B79)*S$5:S$68,$P$5:$P$68)/SUM(($D$5:$D$68=$B79)*$P$5:$P$68),SUMPRODUCT(($E$5:$E$68=$B79)*S$5:S$68,$P$5:$P$68)/SUM(($E$5:$E$68=$B79)*$P$5:$P$68))))</f>
        <v>0</v>
      </c>
      <c r="T79" s="24" cm="1">
        <f t="array" ref="T79">IFERROR(SUMPRODUCT(($B$5:$B$68=$B79)*T$5:T$68,$P$5:$P$68)/SUM(($B$5:$B$68=$B79)*$P$5:$P$68),IFERROR(SUMPRODUCT(($C$5:$C$68=$B79)*T$5:T$68,$P$5:$P$68)/SUM(($C$5:$C$68=$B79)*$P$5:$P$68),IFERROR(SUMPRODUCT(($D$5:$D$68=$B79)*T$5:T$68,$P$5:$P$68)/SUM(($D$5:$D$68=$B79)*$P$5:$P$68),SUMPRODUCT(($E$5:$E$68=$B79)*T$5:T$68,$P$5:$P$68)/SUM(($E$5:$E$68=$B79)*$P$5:$P$68))))</f>
        <v>0</v>
      </c>
      <c r="U79" s="24" cm="1">
        <f t="array" ref="U79">IFERROR(SUMPRODUCT(($B$5:$B$68=$B79)*U$5:U$68,$P$5:$P$68)/SUM(($B$5:$B$68=$B79)*$P$5:$P$68),IFERROR(SUMPRODUCT(($C$5:$C$68=$B79)*U$5:U$68,$P$5:$P$68)/SUM(($C$5:$C$68=$B79)*$P$5:$P$68),IFERROR(SUMPRODUCT(($D$5:$D$68=$B79)*U$5:U$68,$P$5:$P$68)/SUM(($D$5:$D$68=$B79)*$P$5:$P$68),SUMPRODUCT(($E$5:$E$68=$B79)*U$5:U$68,$P$5:$P$68)/SUM(($E$5:$E$68=$B79)*$P$5:$P$68))))</f>
        <v>0</v>
      </c>
      <c r="V79" s="24" cm="1">
        <f t="array" ref="V79">IFERROR(SUMPRODUCT(($B$5:$B$68=$B79)*V$5:V$68,$P$5:$P$68)/SUM(($B$5:$B$68=$B79)*$P$5:$P$68),IFERROR(SUMPRODUCT(($C$5:$C$68=$B79)*V$5:V$68,$P$5:$P$68)/SUM(($C$5:$C$68=$B79)*$P$5:$P$68),IFERROR(SUMPRODUCT(($D$5:$D$68=$B79)*V$5:V$68,$P$5:$P$68)/SUM(($D$5:$D$68=$B79)*$P$5:$P$68),SUMPRODUCT(($E$5:$E$68=$B79)*V$5:V$68,$P$5:$P$68)/SUM(($E$5:$E$68=$B79)*$P$5:$P$68))))</f>
        <v>4</v>
      </c>
      <c r="W79" s="24" cm="1">
        <f t="array" ref="W79">IFERROR(SUMPRODUCT(($B$5:$B$68=$B79)*W$5:W$68,$P$5:$P$68)/SUM(($B$5:$B$68=$B79)*$P$5:$P$68),IFERROR(SUMPRODUCT(($C$5:$C$68=$B79)*W$5:W$68,$P$5:$P$68)/SUM(($C$5:$C$68=$B79)*$P$5:$P$68),IFERROR(SUMPRODUCT(($D$5:$D$68=$B79)*W$5:W$68,$P$5:$P$68)/SUM(($D$5:$D$68=$B79)*$P$5:$P$68),SUMPRODUCT(($E$5:$E$68=$B79)*W$5:W$68,$P$5:$P$68)/SUM(($E$5:$E$68=$B79)*$P$5:$P$68))))</f>
        <v>3.492</v>
      </c>
      <c r="X79" s="24" cm="1">
        <f t="array" ref="X79">IFERROR(SUMPRODUCT(($B$5:$B$68=$B79)*X$5:X$68,$P$5:$P$68)/SUM(($B$5:$B$68=$B79)*$P$5:$P$68),IFERROR(SUMPRODUCT(($C$5:$C$68=$B79)*X$5:X$68,$P$5:$P$68)/SUM(($C$5:$C$68=$B79)*$P$5:$P$68),IFERROR(SUMPRODUCT(($D$5:$D$68=$B79)*X$5:X$68,$P$5:$P$68)/SUM(($D$5:$D$68=$B79)*$P$5:$P$68),SUMPRODUCT(($E$5:$E$68=$B79)*X$5:X$68,$P$5:$P$68)/SUM(($E$5:$E$68=$B79)*$P$5:$P$68))))</f>
        <v>0</v>
      </c>
      <c r="AC79" s="37"/>
      <c r="AD79" s="24" cm="1">
        <f t="array" ref="AD79">IFERROR(SUMPRODUCT(($B$5:$B$68=$B79)*AD$5:AD$68,$P$5:$P$68)/SUM(($B$5:$B$68=$B79)*$P$5:$P$68),IFERROR(SUMPRODUCT(($C$5:$C$68=$B79)*AD$5:AD$68,$P$5:$P$68)/SUM(($C$5:$C$68=$B79)*$P$5:$P$68),IFERROR(SUMPRODUCT(($D$5:$D$68=$B79)*AD$5:AD$68,$P$5:$P$68)/SUM(($D$5:$D$68=$B79)*$P$5:$P$68),SUMPRODUCT(($E$5:$E$68=$B79)*AD$5:AD$68,$P$5:$P$68)/SUM(($E$5:$E$68=$B79)*$P$5:$P$68))))</f>
        <v>0.6</v>
      </c>
      <c r="AE79" s="24" cm="1">
        <f t="array" ref="AE79">IFERROR(SUMPRODUCT(($B$5:$B$68=$B79)*AE$5:AE$68,$P$5:$P$68)/SUM(($B$5:$B$68=$B79)*$P$5:$P$68),IFERROR(SUMPRODUCT(($C$5:$C$68=$B79)*AE$5:AE$68,$P$5:$P$68)/SUM(($C$5:$C$68=$B79)*$P$5:$P$68),IFERROR(SUMPRODUCT(($D$5:$D$68=$B79)*AE$5:AE$68,$P$5:$P$68)/SUM(($D$5:$D$68=$B79)*$P$5:$P$68),SUMPRODUCT(($E$5:$E$68=$B79)*AE$5:AE$68,$P$5:$P$68)/SUM(($E$5:$E$68=$B79)*$P$5:$P$68))))</f>
        <v>0.59799999999999998</v>
      </c>
      <c r="AF79" s="37"/>
      <c r="AG79" s="24" cm="1">
        <f t="array" ref="AG79">IFERROR(SUMPRODUCT(($B$5:$B$68=$B79)*AG$5:AG$68,$P$5:$P$68)/SUM(($B$5:$B$68=$B79)*$P$5:$P$68),IFERROR(SUMPRODUCT(($C$5:$C$68=$B79)*AG$5:AG$68,$P$5:$P$68)/SUM(($C$5:$C$68=$B79)*$P$5:$P$68),IFERROR(SUMPRODUCT(($D$5:$D$68=$B79)*AG$5:AG$68,$P$5:$P$68)/SUM(($D$5:$D$68=$B79)*$P$5:$P$68),SUMPRODUCT(($E$5:$E$68=$B79)*AG$5:AG$68,$P$5:$P$68)/SUM(($E$5:$E$68=$B79)*$P$5:$P$68))))</f>
        <v>1.7474276218071669</v>
      </c>
      <c r="AH79" s="24" cm="1">
        <f t="array" ref="AH79">IFERROR(SUMPRODUCT(($B$5:$B$68=$B79)*AH$5:AH$68,$P$5:$P$68)/SUM(($B$5:$B$68=$B79)*$P$5:$P$68),IFERROR(SUMPRODUCT(($C$5:$C$68=$B79)*AH$5:AH$68,$P$5:$P$68)/SUM(($C$5:$C$68=$B79)*$P$5:$P$68),IFERROR(SUMPRODUCT(($D$5:$D$68=$B79)*AH$5:AH$68,$P$5:$P$68)/SUM(($D$5:$D$68=$B79)*$P$5:$P$68),SUMPRODUCT(($E$5:$E$68=$B79)*AH$5:AH$68,$P$5:$P$68)/SUM(($E$5:$E$68=$B79)*$P$5:$P$68))))</f>
        <v>11.543912994239886</v>
      </c>
    </row>
    <row r="80" spans="1:34" x14ac:dyDescent="0.15">
      <c r="A80" s="5" t="s">
        <v>326</v>
      </c>
      <c r="B80" s="6" t="s">
        <v>101</v>
      </c>
      <c r="G80" s="24" cm="1">
        <f t="array" ref="G80">IFERROR(SUMPRODUCT(($B$5:$B$68=$B80)*G$5:G$68,$H$5:$H$68)/SUM(($B$5:$B$68=$B80)*$H$5:$H$68),IFERROR(SUMPRODUCT(($C$5:$C$68=$B80)*G$5:G$68,$H$5:$H$68)/SUM(($C$5:$C$68=$B80)*$H$5:$H$68),IFERROR(SUMPRODUCT(($D$5:$D$68=$B80)*G$5:G$68,$H$5:$H$68)/SUM(($D$5:$D$68=$B80)*$H$5:$H$68),SUMPRODUCT(($E$5:$E$68=$B80)*G$5:G$68,$H$5:$H$68)/SUM(($E$5:$E$68=$B80)*$H$5:$H$68))))</f>
        <v>0.12876363322314929</v>
      </c>
      <c r="J80" s="24" cm="1">
        <f t="array" ref="J80">IFERROR(SUMPRODUCT(($B$5:$B$68=$B80)*J$5:J$68,$K$5:$K$68)/SUM(($B$5:$B$68=$B80)*$K$5:$K$68),IFERROR(SUMPRODUCT(($C$5:$C$68=$B80)*J$5:J$68,$K$5:$K$68)/SUM(($C$5:$C$68=$B80)*$K$5:$K$68),IFERROR(SUMPRODUCT(($D$5:$D$68=$B80)*J$5:J$68,$K$5:$K$68)/SUM(($D$5:$D$68=$B80)*$K$5:$K$68),SUMPRODUCT(($E$5:$E$68=$B80)*J$5:J$68,$K$5:$K$68)/SUM(($E$5:$E$68=$B80)*$K$5:$K$68))))</f>
        <v>9.509036148184509E-2</v>
      </c>
      <c r="P80" s="27"/>
      <c r="Q80" s="37">
        <f t="shared" si="15"/>
        <v>30.926905195050697</v>
      </c>
      <c r="R80" s="24" cm="1">
        <f t="array" ref="R80">IFERROR(SUMPRODUCT(($B$5:$B$68=$B80)*R$5:R$68,$P$5:$P$68)/SUM(($B$5:$B$68=$B80)*$P$5:$P$68),IFERROR(SUMPRODUCT(($C$5:$C$68=$B80)*R$5:R$68,$P$5:$P$68)/SUM(($C$5:$C$68=$B80)*$P$5:$P$68),IFERROR(SUMPRODUCT(($D$5:$D$68=$B80)*R$5:R$68,$P$5:$P$68)/SUM(($D$5:$D$68=$B80)*$P$5:$P$68),SUMPRODUCT(($E$5:$E$68=$B80)*R$5:R$68,$P$5:$P$68)/SUM(($E$5:$E$68=$B80)*$P$5:$P$68))))</f>
        <v>3.0746807959647584</v>
      </c>
      <c r="S80" s="24" cm="1">
        <f t="array" ref="S80">IFERROR(SUMPRODUCT(($B$5:$B$68=$B80)*S$5:S$68,$P$5:$P$68)/SUM(($B$5:$B$68=$B80)*$P$5:$P$68),IFERROR(SUMPRODUCT(($C$5:$C$68=$B80)*S$5:S$68,$P$5:$P$68)/SUM(($C$5:$C$68=$B80)*$P$5:$P$68),IFERROR(SUMPRODUCT(($D$5:$D$68=$B80)*S$5:S$68,$P$5:$P$68)/SUM(($D$5:$D$68=$B80)*$P$5:$P$68),SUMPRODUCT(($E$5:$E$68=$B80)*S$5:S$68,$P$5:$P$68)/SUM(($E$5:$E$68=$B80)*$P$5:$P$68))))</f>
        <v>0</v>
      </c>
      <c r="T80" s="24" cm="1">
        <f t="array" ref="T80">IFERROR(SUMPRODUCT(($B$5:$B$68=$B80)*T$5:T$68,$P$5:$P$68)/SUM(($B$5:$B$68=$B80)*$P$5:$P$68),IFERROR(SUMPRODUCT(($C$5:$C$68=$B80)*T$5:T$68,$P$5:$P$68)/SUM(($C$5:$C$68=$B80)*$P$5:$P$68),IFERROR(SUMPRODUCT(($D$5:$D$68=$B80)*T$5:T$68,$P$5:$P$68)/SUM(($D$5:$D$68=$B80)*$P$5:$P$68),SUMPRODUCT(($E$5:$E$68=$B80)*T$5:T$68,$P$5:$P$68)/SUM(($E$5:$E$68=$B80)*$P$5:$P$68))))</f>
        <v>0</v>
      </c>
      <c r="U80" s="24" cm="1">
        <f t="array" ref="U80">IFERROR(SUMPRODUCT(($B$5:$B$68=$B80)*U$5:U$68,$P$5:$P$68)/SUM(($B$5:$B$68=$B80)*$P$5:$P$68),IFERROR(SUMPRODUCT(($C$5:$C$68=$B80)*U$5:U$68,$P$5:$P$68)/SUM(($C$5:$C$68=$B80)*$P$5:$P$68),IFERROR(SUMPRODUCT(($D$5:$D$68=$B80)*U$5:U$68,$P$5:$P$68)/SUM(($D$5:$D$68=$B80)*$P$5:$P$68),SUMPRODUCT(($E$5:$E$68=$B80)*U$5:U$68,$P$5:$P$68)/SUM(($E$5:$E$68=$B80)*$P$5:$P$68))))</f>
        <v>0</v>
      </c>
      <c r="V80" s="24" cm="1">
        <f t="array" ref="V80">IFERROR(SUMPRODUCT(($B$5:$B$68=$B80)*V$5:V$68,$P$5:$P$68)/SUM(($B$5:$B$68=$B80)*$P$5:$P$68),IFERROR(SUMPRODUCT(($C$5:$C$68=$B80)*V$5:V$68,$P$5:$P$68)/SUM(($C$5:$C$68=$B80)*$P$5:$P$68),IFERROR(SUMPRODUCT(($D$5:$D$68=$B80)*V$5:V$68,$P$5:$P$68)/SUM(($D$5:$D$68=$B80)*$P$5:$P$68),SUMPRODUCT(($E$5:$E$68=$B80)*V$5:V$68,$P$5:$P$68)/SUM(($E$5:$E$68=$B80)*$P$5:$P$68))))</f>
        <v>0</v>
      </c>
      <c r="W80" s="24" cm="1">
        <f t="array" ref="W80">IFERROR(SUMPRODUCT(($B$5:$B$68=$B80)*W$5:W$68,$P$5:$P$68)/SUM(($B$5:$B$68=$B80)*$P$5:$P$68),IFERROR(SUMPRODUCT(($C$5:$C$68=$B80)*W$5:W$68,$P$5:$P$68)/SUM(($C$5:$C$68=$B80)*$P$5:$P$68),IFERROR(SUMPRODUCT(($D$5:$D$68=$B80)*W$5:W$68,$P$5:$P$68)/SUM(($D$5:$D$68=$B80)*$P$5:$P$68),SUMPRODUCT(($E$5:$E$68=$B80)*W$5:W$68,$P$5:$P$68)/SUM(($E$5:$E$68=$B80)*$P$5:$P$68))))</f>
        <v>0.5714285714285714</v>
      </c>
      <c r="X80" s="24" cm="1">
        <f t="array" ref="X80">IFERROR(SUMPRODUCT(($B$5:$B$68=$B80)*X$5:X$68,$P$5:$P$68)/SUM(($B$5:$B$68=$B80)*$P$5:$P$68),IFERROR(SUMPRODUCT(($C$5:$C$68=$B80)*X$5:X$68,$P$5:$P$68)/SUM(($C$5:$C$68=$B80)*$P$5:$P$68),IFERROR(SUMPRODUCT(($D$5:$D$68=$B80)*X$5:X$68,$P$5:$P$68)/SUM(($D$5:$D$68=$B80)*$P$5:$P$68),SUMPRODUCT(($E$5:$E$68=$B80)*X$5:X$68,$P$5:$P$68)/SUM(($E$5:$E$68=$B80)*$P$5:$P$68))))</f>
        <v>0</v>
      </c>
      <c r="AC80" s="37"/>
      <c r="AD80" s="24" cm="1">
        <f t="array" ref="AD80">IFERROR(SUMPRODUCT(($B$5:$B$68=$B80)*AD$5:AD$68,$P$5:$P$68)/SUM(($B$5:$B$68=$B80)*$P$5:$P$68),IFERROR(SUMPRODUCT(($C$5:$C$68=$B80)*AD$5:AD$68,$P$5:$P$68)/SUM(($C$5:$C$68=$B80)*$P$5:$P$68),IFERROR(SUMPRODUCT(($D$5:$D$68=$B80)*AD$5:AD$68,$P$5:$P$68)/SUM(($D$5:$D$68=$B80)*$P$5:$P$68),SUMPRODUCT(($E$5:$E$68=$B80)*AD$5:AD$68,$P$5:$P$68)/SUM(($E$5:$E$68=$B80)*$P$5:$P$68))))</f>
        <v>0.6</v>
      </c>
      <c r="AE80" s="24" cm="1">
        <f t="array" ref="AE80">IFERROR(SUMPRODUCT(($B$5:$B$68=$B80)*AE$5:AE$68,$P$5:$P$68)/SUM(($B$5:$B$68=$B80)*$P$5:$P$68),IFERROR(SUMPRODUCT(($C$5:$C$68=$B80)*AE$5:AE$68,$P$5:$P$68)/SUM(($C$5:$C$68=$B80)*$P$5:$P$68),IFERROR(SUMPRODUCT(($D$5:$D$68=$B80)*AE$5:AE$68,$P$5:$P$68)/SUM(($D$5:$D$68=$B80)*$P$5:$P$68),SUMPRODUCT(($E$5:$E$68=$B80)*AE$5:AE$68,$P$5:$P$68)/SUM(($E$5:$E$68=$B80)*$P$5:$P$68))))</f>
        <v>0.59799999999999998</v>
      </c>
      <c r="AF80" s="37"/>
      <c r="AG80" s="24" cm="1">
        <f t="array" ref="AG80">IFERROR(SUMPRODUCT(($B$5:$B$68=$B80)*AG$5:AG$68,$P$5:$P$68)/SUM(($B$5:$B$68=$B80)*$P$5:$P$68),IFERROR(SUMPRODUCT(($C$5:$C$68=$B80)*AG$5:AG$68,$P$5:$P$68)/SUM(($C$5:$C$68=$B80)*$P$5:$P$68),IFERROR(SUMPRODUCT(($D$5:$D$68=$B80)*AG$5:AG$68,$P$5:$P$68)/SUM(($D$5:$D$68=$B80)*$P$5:$P$68),SUMPRODUCT(($E$5:$E$68=$B80)*AG$5:AG$68,$P$5:$P$68)/SUM(($E$5:$E$68=$B80)*$P$5:$P$68))))</f>
        <v>1.1022133959071165</v>
      </c>
      <c r="AH80" s="24" cm="1">
        <f t="array" ref="AH80">IFERROR(SUMPRODUCT(($B$5:$B$68=$B80)*AH$5:AH$68,$P$5:$P$68)/SUM(($B$5:$B$68=$B80)*$P$5:$P$68),IFERROR(SUMPRODUCT(($C$5:$C$68=$B80)*AH$5:AH$68,$P$5:$P$68)/SUM(($C$5:$C$68=$B80)*$P$5:$P$68),IFERROR(SUMPRODUCT(($D$5:$D$68=$B80)*AH$5:AH$68,$P$5:$P$68)/SUM(($D$5:$D$68=$B80)*$P$5:$P$68),SUMPRODUCT(($E$5:$E$68=$B80)*AH$5:AH$68,$P$5:$P$68)/SUM(($E$5:$E$68=$B80)*$P$5:$P$68))))</f>
        <v>1.455542145135519</v>
      </c>
    </row>
    <row r="81" spans="1:34" x14ac:dyDescent="0.15">
      <c r="A81" s="5" t="s">
        <v>336</v>
      </c>
      <c r="B81" s="6" t="s">
        <v>390</v>
      </c>
      <c r="G81" s="24" cm="1">
        <f t="array" ref="G81">IFERROR(SUMPRODUCT(($B$5:$B$68=$B81)*G$5:G$68,$H$5:$H$68)/SUM(($B$5:$B$68=$B81)*$H$5:$H$68),IFERROR(SUMPRODUCT(($C$5:$C$68=$B81)*G$5:G$68,$H$5:$H$68)/SUM(($C$5:$C$68=$B81)*$H$5:$H$68),IFERROR(SUMPRODUCT(($D$5:$D$68=$B81)*G$5:G$68,$H$5:$H$68)/SUM(($D$5:$D$68=$B81)*$H$5:$H$68),SUMPRODUCT(($E$5:$E$68=$B81)*G$5:G$68,$H$5:$H$68)/SUM(($E$5:$E$68=$B81)*$H$5:$H$68))))</f>
        <v>3.5629026621767576E-2</v>
      </c>
      <c r="J81" s="24" cm="1">
        <f t="array" ref="J81">IFERROR(SUMPRODUCT(($B$5:$B$68=$B81)*J$5:J$68,$K$5:$K$68)/SUM(($B$5:$B$68=$B81)*$K$5:$K$68),IFERROR(SUMPRODUCT(($C$5:$C$68=$B81)*J$5:J$68,$K$5:$K$68)/SUM(($C$5:$C$68=$B81)*$K$5:$K$68),IFERROR(SUMPRODUCT(($D$5:$D$68=$B81)*J$5:J$68,$K$5:$K$68)/SUM(($D$5:$D$68=$B81)*$K$5:$K$68),SUMPRODUCT(($E$5:$E$68=$B81)*J$5:J$68,$K$5:$K$68)/SUM(($E$5:$E$68=$B81)*$K$5:$K$68))))</f>
        <v>3.1972106510782264E-2</v>
      </c>
      <c r="P81" s="27"/>
      <c r="Q81" s="37">
        <f t="shared" si="15"/>
        <v>29.603802324798377</v>
      </c>
      <c r="R81" s="24" cm="1">
        <f t="array" ref="R81">IFERROR(SUMPRODUCT(($B$5:$B$68=$B81)*R$5:R$68,$P$5:$P$68)/SUM(($B$5:$B$68=$B81)*$P$5:$P$68),IFERROR(SUMPRODUCT(($C$5:$C$68=$B81)*R$5:R$68,$P$5:$P$68)/SUM(($C$5:$C$68=$B81)*$P$5:$P$68),IFERROR(SUMPRODUCT(($D$5:$D$68=$B81)*R$5:R$68,$P$5:$P$68)/SUM(($D$5:$D$68=$B81)*$P$5:$P$68),SUMPRODUCT(($E$5:$E$68=$B81)*R$5:R$68,$P$5:$P$68)/SUM(($E$5:$E$68=$B81)*$P$5:$P$68))))</f>
        <v>1.0800000000000005</v>
      </c>
      <c r="S81" s="24" cm="1">
        <f t="array" ref="S81">IFERROR(SUMPRODUCT(($B$5:$B$68=$B81)*S$5:S$68,$P$5:$P$68)/SUM(($B$5:$B$68=$B81)*$P$5:$P$68),IFERROR(SUMPRODUCT(($C$5:$C$68=$B81)*S$5:S$68,$P$5:$P$68)/SUM(($C$5:$C$68=$B81)*$P$5:$P$68),IFERROR(SUMPRODUCT(($D$5:$D$68=$B81)*S$5:S$68,$P$5:$P$68)/SUM(($D$5:$D$68=$B81)*$P$5:$P$68),SUMPRODUCT(($E$5:$E$68=$B81)*S$5:S$68,$P$5:$P$68)/SUM(($E$5:$E$68=$B81)*$P$5:$P$68))))</f>
        <v>0</v>
      </c>
      <c r="T81" s="24" cm="1">
        <f t="array" ref="T81">IFERROR(SUMPRODUCT(($B$5:$B$68=$B81)*T$5:T$68,$P$5:$P$68)/SUM(($B$5:$B$68=$B81)*$P$5:$P$68),IFERROR(SUMPRODUCT(($C$5:$C$68=$B81)*T$5:T$68,$P$5:$P$68)/SUM(($C$5:$C$68=$B81)*$P$5:$P$68),IFERROR(SUMPRODUCT(($D$5:$D$68=$B81)*T$5:T$68,$P$5:$P$68)/SUM(($D$5:$D$68=$B81)*$P$5:$P$68),SUMPRODUCT(($E$5:$E$68=$B81)*T$5:T$68,$P$5:$P$68)/SUM(($E$5:$E$68=$B81)*$P$5:$P$68))))</f>
        <v>0</v>
      </c>
      <c r="U81" s="24" cm="1">
        <f t="array" ref="U81">IFERROR(SUMPRODUCT(($B$5:$B$68=$B81)*U$5:U$68,$P$5:$P$68)/SUM(($B$5:$B$68=$B81)*$P$5:$P$68),IFERROR(SUMPRODUCT(($C$5:$C$68=$B81)*U$5:U$68,$P$5:$P$68)/SUM(($C$5:$C$68=$B81)*$P$5:$P$68),IFERROR(SUMPRODUCT(($D$5:$D$68=$B81)*U$5:U$68,$P$5:$P$68)/SUM(($D$5:$D$68=$B81)*$P$5:$P$68),SUMPRODUCT(($E$5:$E$68=$B81)*U$5:U$68,$P$5:$P$68)/SUM(($E$5:$E$68=$B81)*$P$5:$P$68))))</f>
        <v>0</v>
      </c>
      <c r="V81" s="24" cm="1">
        <f t="array" ref="V81">IFERROR(SUMPRODUCT(($B$5:$B$68=$B81)*V$5:V$68,$P$5:$P$68)/SUM(($B$5:$B$68=$B81)*$P$5:$P$68),IFERROR(SUMPRODUCT(($C$5:$C$68=$B81)*V$5:V$68,$P$5:$P$68)/SUM(($C$5:$C$68=$B81)*$P$5:$P$68),IFERROR(SUMPRODUCT(($D$5:$D$68=$B81)*V$5:V$68,$P$5:$P$68)/SUM(($D$5:$D$68=$B81)*$P$5:$P$68),SUMPRODUCT(($E$5:$E$68=$B81)*V$5:V$68,$P$5:$P$68)/SUM(($E$5:$E$68=$B81)*$P$5:$P$68))))</f>
        <v>0</v>
      </c>
      <c r="W81" s="24" cm="1">
        <f t="array" ref="W81">IFERROR(SUMPRODUCT(($B$5:$B$68=$B81)*W$5:W$68,$P$5:$P$68)/SUM(($B$5:$B$68=$B81)*$P$5:$P$68),IFERROR(SUMPRODUCT(($C$5:$C$68=$B81)*W$5:W$68,$P$5:$P$68)/SUM(($C$5:$C$68=$B81)*$P$5:$P$68),IFERROR(SUMPRODUCT(($D$5:$D$68=$B81)*W$5:W$68,$P$5:$P$68)/SUM(($D$5:$D$68=$B81)*$P$5:$P$68),SUMPRODUCT(($E$5:$E$68=$B81)*W$5:W$68,$P$5:$P$68)/SUM(($E$5:$E$68=$B81)*$P$5:$P$68))))</f>
        <v>0.5714285714285714</v>
      </c>
      <c r="X81" s="24" cm="1">
        <f t="array" ref="X81">IFERROR(SUMPRODUCT(($B$5:$B$68=$B81)*X$5:X$68,$P$5:$P$68)/SUM(($B$5:$B$68=$B81)*$P$5:$P$68),IFERROR(SUMPRODUCT(($C$5:$C$68=$B81)*X$5:X$68,$P$5:$P$68)/SUM(($C$5:$C$68=$B81)*$P$5:$P$68),IFERROR(SUMPRODUCT(($D$5:$D$68=$B81)*X$5:X$68,$P$5:$P$68)/SUM(($D$5:$D$68=$B81)*$P$5:$P$68),SUMPRODUCT(($E$5:$E$68=$B81)*X$5:X$68,$P$5:$P$68)/SUM(($E$5:$E$68=$B81)*$P$5:$P$68))))</f>
        <v>0</v>
      </c>
      <c r="AC81" s="37"/>
      <c r="AD81" s="24" cm="1">
        <f t="array" ref="AD81">IFERROR(SUMPRODUCT(($B$5:$B$68=$B81)*AD$5:AD$68,$P$5:$P$68)/SUM(($B$5:$B$68=$B81)*$P$5:$P$68),IFERROR(SUMPRODUCT(($C$5:$C$68=$B81)*AD$5:AD$68,$P$5:$P$68)/SUM(($C$5:$C$68=$B81)*$P$5:$P$68),IFERROR(SUMPRODUCT(($D$5:$D$68=$B81)*AD$5:AD$68,$P$5:$P$68)/SUM(($D$5:$D$68=$B81)*$P$5:$P$68),SUMPRODUCT(($E$5:$E$68=$B81)*AD$5:AD$68,$P$5:$P$68)/SUM(($E$5:$E$68=$B81)*$P$5:$P$68))))</f>
        <v>0.60000000000000009</v>
      </c>
      <c r="AE81" s="24" cm="1">
        <f t="array" ref="AE81">IFERROR(SUMPRODUCT(($B$5:$B$68=$B81)*AE$5:AE$68,$P$5:$P$68)/SUM(($B$5:$B$68=$B81)*$P$5:$P$68),IFERROR(SUMPRODUCT(($C$5:$C$68=$B81)*AE$5:AE$68,$P$5:$P$68)/SUM(($C$5:$C$68=$B81)*$P$5:$P$68),IFERROR(SUMPRODUCT(($D$5:$D$68=$B81)*AE$5:AE$68,$P$5:$P$68)/SUM(($D$5:$D$68=$B81)*$P$5:$P$68),SUMPRODUCT(($E$5:$E$68=$B81)*AE$5:AE$68,$P$5:$P$68)/SUM(($E$5:$E$68=$B81)*$P$5:$P$68))))</f>
        <v>0.59800000000000009</v>
      </c>
      <c r="AF81" s="37"/>
      <c r="AG81" s="24" cm="1">
        <f t="array" ref="AG81">IFERROR(SUMPRODUCT(($B$5:$B$68=$B81)*AG$5:AG$68,$P$5:$P$68)/SUM(($B$5:$B$68=$B81)*$P$5:$P$68),IFERROR(SUMPRODUCT(($C$5:$C$68=$B81)*AG$5:AG$68,$P$5:$P$68)/SUM(($C$5:$C$68=$B81)*$P$5:$P$68),IFERROR(SUMPRODUCT(($D$5:$D$68=$B81)*AG$5:AG$68,$P$5:$P$68)/SUM(($D$5:$D$68=$B81)*$P$5:$P$68),SUMPRODUCT(($E$5:$E$68=$B81)*AG$5:AG$68,$P$5:$P$68)/SUM(($E$5:$E$68=$B81)*$P$5:$P$68))))</f>
        <v>1.064726745878753</v>
      </c>
      <c r="AH81" s="24" cm="1">
        <f t="array" ref="AH81">IFERROR(SUMPRODUCT(($B$5:$B$68=$B81)*AH$5:AH$68,$P$5:$P$68)/SUM(($B$5:$B$68=$B81)*$P$5:$P$68),IFERROR(SUMPRODUCT(($C$5:$C$68=$B81)*AH$5:AH$68,$P$5:$P$68)/SUM(($C$5:$C$68=$B81)*$P$5:$P$68),IFERROR(SUMPRODUCT(($D$5:$D$68=$B81)*AH$5:AH$68,$P$5:$P$68)/SUM(($D$5:$D$68=$B81)*$P$5:$P$68),SUMPRODUCT(($E$5:$E$68=$B81)*AH$5:AH$68,$P$5:$P$68)/SUM(($E$5:$E$68=$B81)*$P$5:$P$68))))</f>
        <v>1.4340325482945437</v>
      </c>
    </row>
    <row r="82" spans="1:34" x14ac:dyDescent="0.15">
      <c r="A82" s="5" t="s">
        <v>351</v>
      </c>
      <c r="B82" s="6" t="s">
        <v>82</v>
      </c>
      <c r="G82" s="24" cm="1">
        <f t="array" ref="G82">IFERROR(SUMPRODUCT(($B$5:$B$68=$B82)*G$5:G$68,$H$5:$H$68)/SUM(($B$5:$B$68=$B82)*$H$5:$H$68),IFERROR(SUMPRODUCT(($C$5:$C$68=$B82)*G$5:G$68,$H$5:$H$68)/SUM(($C$5:$C$68=$B82)*$H$5:$H$68),IFERROR(SUMPRODUCT(($D$5:$D$68=$B82)*G$5:G$68,$H$5:$H$68)/SUM(($D$5:$D$68=$B82)*$H$5:$H$68),SUMPRODUCT(($E$5:$E$68=$B82)*G$5:G$68,$H$5:$H$68)/SUM(($E$5:$E$68=$B82)*$H$5:$H$68))))</f>
        <v>0.44693420519106453</v>
      </c>
      <c r="J82" s="24" cm="1">
        <f t="array" ref="J82">IFERROR(SUMPRODUCT(($B$5:$B$68=$B82)*J$5:J$68,$K$5:$K$68)/SUM(($B$5:$B$68=$B82)*$K$5:$K$68),IFERROR(SUMPRODUCT(($C$5:$C$68=$B82)*J$5:J$68,$K$5:$K$68)/SUM(($C$5:$C$68=$B82)*$K$5:$K$68),IFERROR(SUMPRODUCT(($D$5:$D$68=$B82)*J$5:J$68,$K$5:$K$68)/SUM(($D$5:$D$68=$B82)*$K$5:$K$68),SUMPRODUCT(($E$5:$E$68=$B82)*J$5:J$68,$K$5:$K$68)/SUM(($E$5:$E$68=$B82)*$K$5:$K$68))))</f>
        <v>0.32449753999236403</v>
      </c>
      <c r="P82" s="27"/>
      <c r="Q82" s="37">
        <f t="shared" si="15"/>
        <v>38.698948901712598</v>
      </c>
      <c r="R82" s="24" cm="1">
        <f t="array" ref="R82">IFERROR(SUMPRODUCT(($B$5:$B$68=$B82)*R$5:R$68,$P$5:$P$68)/SUM(($B$5:$B$68=$B82)*$P$5:$P$68),IFERROR(SUMPRODUCT(($C$5:$C$68=$B82)*R$5:R$68,$P$5:$P$68)/SUM(($C$5:$C$68=$B82)*$P$5:$P$68),IFERROR(SUMPRODUCT(($D$5:$D$68=$B82)*R$5:R$68,$P$5:$P$68)/SUM(($D$5:$D$68=$B82)*$P$5:$P$68),SUMPRODUCT(($E$5:$E$68=$B82)*R$5:R$68,$P$5:$P$68)/SUM(($E$5:$E$68=$B82)*$P$5:$P$68))))</f>
        <v>8.3851770965800991</v>
      </c>
      <c r="S82" s="24" cm="1">
        <f t="array" ref="S82">IFERROR(SUMPRODUCT(($B$5:$B$68=$B82)*S$5:S$68,$P$5:$P$68)/SUM(($B$5:$B$68=$B82)*$P$5:$P$68),IFERROR(SUMPRODUCT(($C$5:$C$68=$B82)*S$5:S$68,$P$5:$P$68)/SUM(($C$5:$C$68=$B82)*$P$5:$P$68),IFERROR(SUMPRODUCT(($D$5:$D$68=$B82)*S$5:S$68,$P$5:$P$68)/SUM(($D$5:$D$68=$B82)*$P$5:$P$68),SUMPRODUCT(($E$5:$E$68=$B82)*S$5:S$68,$P$5:$P$68)/SUM(($E$5:$E$68=$B82)*$P$5:$P$68))))</f>
        <v>0</v>
      </c>
      <c r="T82" s="24" cm="1">
        <f t="array" ref="T82">IFERROR(SUMPRODUCT(($B$5:$B$68=$B82)*T$5:T$68,$P$5:$P$68)/SUM(($B$5:$B$68=$B82)*$P$5:$P$68),IFERROR(SUMPRODUCT(($C$5:$C$68=$B82)*T$5:T$68,$P$5:$P$68)/SUM(($C$5:$C$68=$B82)*$P$5:$P$68),IFERROR(SUMPRODUCT(($D$5:$D$68=$B82)*T$5:T$68,$P$5:$P$68)/SUM(($D$5:$D$68=$B82)*$P$5:$P$68),SUMPRODUCT(($E$5:$E$68=$B82)*T$5:T$68,$P$5:$P$68)/SUM(($E$5:$E$68=$B82)*$P$5:$P$68))))</f>
        <v>0</v>
      </c>
      <c r="U82" s="24" cm="1">
        <f t="array" ref="U82">IFERROR(SUMPRODUCT(($B$5:$B$68=$B82)*U$5:U$68,$P$5:$P$68)/SUM(($B$5:$B$68=$B82)*$P$5:$P$68),IFERROR(SUMPRODUCT(($C$5:$C$68=$B82)*U$5:U$68,$P$5:$P$68)/SUM(($C$5:$C$68=$B82)*$P$5:$P$68),IFERROR(SUMPRODUCT(($D$5:$D$68=$B82)*U$5:U$68,$P$5:$P$68)/SUM(($D$5:$D$68=$B82)*$P$5:$P$68),SUMPRODUCT(($E$5:$E$68=$B82)*U$5:U$68,$P$5:$P$68)/SUM(($E$5:$E$68=$B82)*$P$5:$P$68))))</f>
        <v>0</v>
      </c>
      <c r="V82" s="24" cm="1">
        <f t="array" ref="V82">IFERROR(SUMPRODUCT(($B$5:$B$68=$B82)*V$5:V$68,$P$5:$P$68)/SUM(($B$5:$B$68=$B82)*$P$5:$P$68),IFERROR(SUMPRODUCT(($C$5:$C$68=$B82)*V$5:V$68,$P$5:$P$68)/SUM(($C$5:$C$68=$B82)*$P$5:$P$68),IFERROR(SUMPRODUCT(($D$5:$D$68=$B82)*V$5:V$68,$P$5:$P$68)/SUM(($D$5:$D$68=$B82)*$P$5:$P$68),SUMPRODUCT(($E$5:$E$68=$B82)*V$5:V$68,$P$5:$P$68)/SUM(($E$5:$E$68=$B82)*$P$5:$P$68))))</f>
        <v>5.5773913795375458</v>
      </c>
      <c r="W82" s="24" cm="1">
        <f t="array" ref="W82">IFERROR(SUMPRODUCT(($B$5:$B$68=$B82)*W$5:W$68,$P$5:$P$68)/SUM(($B$5:$B$68=$B82)*$P$5:$P$68),IFERROR(SUMPRODUCT(($C$5:$C$68=$B82)*W$5:W$68,$P$5:$P$68)/SUM(($C$5:$C$68=$B82)*$P$5:$P$68),IFERROR(SUMPRODUCT(($D$5:$D$68=$B82)*W$5:W$68,$P$5:$P$68)/SUM(($D$5:$D$68=$B82)*$P$5:$P$68),SUMPRODUCT(($E$5:$E$68=$B82)*W$5:W$68,$P$5:$P$68)/SUM(($E$5:$E$68=$B82)*$P$5:$P$68))))</f>
        <v>6.2220697676526528</v>
      </c>
      <c r="X82" s="24" cm="1">
        <f t="array" ref="X82">IFERROR(SUMPRODUCT(($B$5:$B$68=$B82)*X$5:X$68,$P$5:$P$68)/SUM(($B$5:$B$68=$B82)*$P$5:$P$68),IFERROR(SUMPRODUCT(($C$5:$C$68=$B82)*X$5:X$68,$P$5:$P$68)/SUM(($C$5:$C$68=$B82)*$P$5:$P$68),IFERROR(SUMPRODUCT(($D$5:$D$68=$B82)*X$5:X$68,$P$5:$P$68)/SUM(($D$5:$D$68=$B82)*$P$5:$P$68),SUMPRODUCT(($E$5:$E$68=$B82)*X$5:X$68,$P$5:$P$68)/SUM(($E$5:$E$68=$B82)*$P$5:$P$68))))</f>
        <v>0</v>
      </c>
      <c r="AC82" s="37"/>
      <c r="AD82" s="24" cm="1">
        <f t="array" ref="AD82">IFERROR(SUMPRODUCT(($B$5:$B$68=$B82)*AD$5:AD$68,$P$5:$P$68)/SUM(($B$5:$B$68=$B82)*$P$5:$P$68),IFERROR(SUMPRODUCT(($C$5:$C$68=$B82)*AD$5:AD$68,$P$5:$P$68)/SUM(($C$5:$C$68=$B82)*$P$5:$P$68),IFERROR(SUMPRODUCT(($D$5:$D$68=$B82)*AD$5:AD$68,$P$5:$P$68)/SUM(($D$5:$D$68=$B82)*$P$5:$P$68),SUMPRODUCT(($E$5:$E$68=$B82)*AD$5:AD$68,$P$5:$P$68)/SUM(($E$5:$E$68=$B82)*$P$5:$P$68))))</f>
        <v>0.6</v>
      </c>
      <c r="AE82" s="24" cm="1">
        <f t="array" ref="AE82">IFERROR(SUMPRODUCT(($B$5:$B$68=$B82)*AE$5:AE$68,$P$5:$P$68)/SUM(($B$5:$B$68=$B82)*$P$5:$P$68),IFERROR(SUMPRODUCT(($C$5:$C$68=$B82)*AE$5:AE$68,$P$5:$P$68)/SUM(($C$5:$C$68=$B82)*$P$5:$P$68),IFERROR(SUMPRODUCT(($D$5:$D$68=$B82)*AE$5:AE$68,$P$5:$P$68)/SUM(($D$5:$D$68=$B82)*$P$5:$P$68),SUMPRODUCT(($E$5:$E$68=$B82)*AE$5:AE$68,$P$5:$P$68)/SUM(($E$5:$E$68=$B82)*$P$5:$P$68))))</f>
        <v>0.59799999999999998</v>
      </c>
      <c r="AF82" s="37"/>
      <c r="AG82" s="24" cm="1">
        <f t="array" ref="AG82">IFERROR(SUMPRODUCT(($B$5:$B$68=$B82)*AG$5:AG$68,$P$5:$P$68)/SUM(($B$5:$B$68=$B82)*$P$5:$P$68),IFERROR(SUMPRODUCT(($C$5:$C$68=$B82)*AG$5:AG$68,$P$5:$P$68)/SUM(($C$5:$C$68=$B82)*$P$5:$P$68),IFERROR(SUMPRODUCT(($D$5:$D$68=$B82)*AG$5:AG$68,$P$5:$P$68)/SUM(($D$5:$D$68=$B82)*$P$5:$P$68),SUMPRODUCT(($E$5:$E$68=$B82)*AG$5:AG$68,$P$5:$P$68)/SUM(($E$5:$E$68=$B82)*$P$5:$P$68))))</f>
        <v>1.1805916207174112</v>
      </c>
      <c r="AH82" s="24" cm="1">
        <f t="array" ref="AH82">IFERROR(SUMPRODUCT(($B$5:$B$68=$B82)*AH$5:AH$68,$P$5:$P$68)/SUM(($B$5:$B$68=$B82)*$P$5:$P$68),IFERROR(SUMPRODUCT(($C$5:$C$68=$B82)*AH$5:AH$68,$P$5:$P$68)/SUM(($C$5:$C$68=$B82)*$P$5:$P$68),IFERROR(SUMPRODUCT(($D$5:$D$68=$B82)*AH$5:AH$68,$P$5:$P$68)/SUM(($D$5:$D$68=$B82)*$P$5:$P$68),SUMPRODUCT(($E$5:$E$68=$B82)*AH$5:AH$68,$P$5:$P$68)/SUM(($E$5:$E$68=$B82)*$P$5:$P$68))))</f>
        <v>1.6217124671972132</v>
      </c>
    </row>
    <row r="83" spans="1:34" x14ac:dyDescent="0.15">
      <c r="A83" s="5" t="s">
        <v>337</v>
      </c>
      <c r="B83" s="6" t="s">
        <v>380</v>
      </c>
      <c r="G83" s="24" cm="1">
        <f t="array" ref="G83">IFERROR(SUMPRODUCT(($B$5:$B$68=$B83)*G$5:G$68,$H$5:$H$68)/SUM(($B$5:$B$68=$B83)*$H$5:$H$68),IFERROR(SUMPRODUCT(($C$5:$C$68=$B83)*G$5:G$68,$H$5:$H$68)/SUM(($C$5:$C$68=$B83)*$H$5:$H$68),IFERROR(SUMPRODUCT(($D$5:$D$68=$B83)*G$5:G$68,$H$5:$H$68)/SUM(($D$5:$D$68=$B83)*$H$5:$H$68),SUMPRODUCT(($E$5:$E$68=$B83)*G$5:G$68,$H$5:$H$68)/SUM(($E$5:$E$68=$B83)*$H$5:$H$68))))</f>
        <v>1.0858855073623837</v>
      </c>
      <c r="J83" s="24" cm="1">
        <f t="array" ref="J83">IFERROR(SUMPRODUCT(($B$5:$B$68=$B83)*J$5:J$68,$K$5:$K$68)/SUM(($B$5:$B$68=$B83)*$K$5:$K$68),IFERROR(SUMPRODUCT(($C$5:$C$68=$B83)*J$5:J$68,$K$5:$K$68)/SUM(($C$5:$C$68=$B83)*$K$5:$K$68),IFERROR(SUMPRODUCT(($D$5:$D$68=$B83)*J$5:J$68,$K$5:$K$68)/SUM(($D$5:$D$68=$B83)*$K$5:$K$68),SUMPRODUCT(($E$5:$E$68=$B83)*J$5:J$68,$K$5:$K$68)/SUM(($E$5:$E$68=$B83)*$K$5:$K$68))))</f>
        <v>0.76053043758401917</v>
      </c>
      <c r="P83" s="27"/>
      <c r="Q83" s="37">
        <f t="shared" si="15"/>
        <v>205.10529600432017</v>
      </c>
      <c r="R83" s="24" cm="1">
        <f t="array" ref="R83">IFERROR(SUMPRODUCT(($B$5:$B$68=$B83)*R$5:R$68,$P$5:$P$68)/SUM(($B$5:$B$68=$B83)*$P$5:$P$68),IFERROR(SUMPRODUCT(($C$5:$C$68=$B83)*R$5:R$68,$P$5:$P$68)/SUM(($C$5:$C$68=$B83)*$P$5:$P$68),IFERROR(SUMPRODUCT(($D$5:$D$68=$B83)*R$5:R$68,$P$5:$P$68)/SUM(($D$5:$D$68=$B83)*$P$5:$P$68),SUMPRODUCT(($E$5:$E$68=$B83)*R$5:R$68,$P$5:$P$68)/SUM(($E$5:$E$68=$B83)*$P$5:$P$68))))</f>
        <v>3.7079999999999997</v>
      </c>
      <c r="S83" s="24" cm="1">
        <f t="array" ref="S83">IFERROR(SUMPRODUCT(($B$5:$B$68=$B83)*S$5:S$68,$P$5:$P$68)/SUM(($B$5:$B$68=$B83)*$P$5:$P$68),IFERROR(SUMPRODUCT(($C$5:$C$68=$B83)*S$5:S$68,$P$5:$P$68)/SUM(($C$5:$C$68=$B83)*$P$5:$P$68),IFERROR(SUMPRODUCT(($D$5:$D$68=$B83)*S$5:S$68,$P$5:$P$68)/SUM(($D$5:$D$68=$B83)*$P$5:$P$68),SUMPRODUCT(($E$5:$E$68=$B83)*S$5:S$68,$P$5:$P$68)/SUM(($E$5:$E$68=$B83)*$P$5:$P$68))))</f>
        <v>0</v>
      </c>
      <c r="T83" s="24" cm="1">
        <f t="array" ref="T83">IFERROR(SUMPRODUCT(($B$5:$B$68=$B83)*T$5:T$68,$P$5:$P$68)/SUM(($B$5:$B$68=$B83)*$P$5:$P$68),IFERROR(SUMPRODUCT(($C$5:$C$68=$B83)*T$5:T$68,$P$5:$P$68)/SUM(($C$5:$C$68=$B83)*$P$5:$P$68),IFERROR(SUMPRODUCT(($D$5:$D$68=$B83)*T$5:T$68,$P$5:$P$68)/SUM(($D$5:$D$68=$B83)*$P$5:$P$68),SUMPRODUCT(($E$5:$E$68=$B83)*T$5:T$68,$P$5:$P$68)/SUM(($E$5:$E$68=$B83)*$P$5:$P$68))))</f>
        <v>0</v>
      </c>
      <c r="U83" s="24" cm="1">
        <f t="array" ref="U83">IFERROR(SUMPRODUCT(($B$5:$B$68=$B83)*U$5:U$68,$P$5:$P$68)/SUM(($B$5:$B$68=$B83)*$P$5:$P$68),IFERROR(SUMPRODUCT(($C$5:$C$68=$B83)*U$5:U$68,$P$5:$P$68)/SUM(($C$5:$C$68=$B83)*$P$5:$P$68),IFERROR(SUMPRODUCT(($D$5:$D$68=$B83)*U$5:U$68,$P$5:$P$68)/SUM(($D$5:$D$68=$B83)*$P$5:$P$68),SUMPRODUCT(($E$5:$E$68=$B83)*U$5:U$68,$P$5:$P$68)/SUM(($E$5:$E$68=$B83)*$P$5:$P$68))))</f>
        <v>0</v>
      </c>
      <c r="V83" s="24" cm="1">
        <f t="array" ref="V83">IFERROR(SUMPRODUCT(($B$5:$B$68=$B83)*V$5:V$68,$P$5:$P$68)/SUM(($B$5:$B$68=$B83)*$P$5:$P$68),IFERROR(SUMPRODUCT(($C$5:$C$68=$B83)*V$5:V$68,$P$5:$P$68)/SUM(($C$5:$C$68=$B83)*$P$5:$P$68),IFERROR(SUMPRODUCT(($D$5:$D$68=$B83)*V$5:V$68,$P$5:$P$68)/SUM(($D$5:$D$68=$B83)*$P$5:$P$68),SUMPRODUCT(($E$5:$E$68=$B83)*V$5:V$68,$P$5:$P$68)/SUM(($E$5:$E$68=$B83)*$P$5:$P$68))))</f>
        <v>0</v>
      </c>
      <c r="W83" s="24" cm="1">
        <f t="array" ref="W83">IFERROR(SUMPRODUCT(($B$5:$B$68=$B83)*W$5:W$68,$P$5:$P$68)/SUM(($B$5:$B$68=$B83)*$P$5:$P$68),IFERROR(SUMPRODUCT(($C$5:$C$68=$B83)*W$5:W$68,$P$5:$P$68)/SUM(($C$5:$C$68=$B83)*$P$5:$P$68),IFERROR(SUMPRODUCT(($D$5:$D$68=$B83)*W$5:W$68,$P$5:$P$68)/SUM(($D$5:$D$68=$B83)*$P$5:$P$68),SUMPRODUCT(($E$5:$E$68=$B83)*W$5:W$68,$P$5:$P$68)/SUM(($E$5:$E$68=$B83)*$P$5:$P$68))))</f>
        <v>3.7079999999999997</v>
      </c>
      <c r="X83" s="24" cm="1">
        <f t="array" ref="X83">IFERROR(SUMPRODUCT(($B$5:$B$68=$B83)*X$5:X$68,$P$5:$P$68)/SUM(($B$5:$B$68=$B83)*$P$5:$P$68),IFERROR(SUMPRODUCT(($C$5:$C$68=$B83)*X$5:X$68,$P$5:$P$68)/SUM(($C$5:$C$68=$B83)*$P$5:$P$68),IFERROR(SUMPRODUCT(($D$5:$D$68=$B83)*X$5:X$68,$P$5:$P$68)/SUM(($D$5:$D$68=$B83)*$P$5:$P$68),SUMPRODUCT(($E$5:$E$68=$B83)*X$5:X$68,$P$5:$P$68)/SUM(($E$5:$E$68=$B83)*$P$5:$P$68))))</f>
        <v>0</v>
      </c>
      <c r="AC83" s="37"/>
      <c r="AD83" s="24" cm="1">
        <f t="array" ref="AD83">IFERROR(SUMPRODUCT(($B$5:$B$68=$B83)*AD$5:AD$68,$P$5:$P$68)/SUM(($B$5:$B$68=$B83)*$P$5:$P$68),IFERROR(SUMPRODUCT(($C$5:$C$68=$B83)*AD$5:AD$68,$P$5:$P$68)/SUM(($C$5:$C$68=$B83)*$P$5:$P$68),IFERROR(SUMPRODUCT(($D$5:$D$68=$B83)*AD$5:AD$68,$P$5:$P$68)/SUM(($D$5:$D$68=$B83)*$P$5:$P$68),SUMPRODUCT(($E$5:$E$68=$B83)*AD$5:AD$68,$P$5:$P$68)/SUM(($E$5:$E$68=$B83)*$P$5:$P$68))))</f>
        <v>0.6</v>
      </c>
      <c r="AE83" s="24" cm="1">
        <f t="array" ref="AE83">IFERROR(SUMPRODUCT(($B$5:$B$68=$B83)*AE$5:AE$68,$P$5:$P$68)/SUM(($B$5:$B$68=$B83)*$P$5:$P$68),IFERROR(SUMPRODUCT(($C$5:$C$68=$B83)*AE$5:AE$68,$P$5:$P$68)/SUM(($C$5:$C$68=$B83)*$P$5:$P$68),IFERROR(SUMPRODUCT(($D$5:$D$68=$B83)*AE$5:AE$68,$P$5:$P$68)/SUM(($D$5:$D$68=$B83)*$P$5:$P$68),SUMPRODUCT(($E$5:$E$68=$B83)*AE$5:AE$68,$P$5:$P$68)/SUM(($E$5:$E$68=$B83)*$P$5:$P$68))))</f>
        <v>0.59799999999999998</v>
      </c>
      <c r="AF83" s="37"/>
      <c r="AG83" s="24" cm="1">
        <f t="array" ref="AG83">IFERROR(SUMPRODUCT(($B$5:$B$68=$B83)*AG$5:AG$68,$P$5:$P$68)/SUM(($B$5:$B$68=$B83)*$P$5:$P$68),IFERROR(SUMPRODUCT(($C$5:$C$68=$B83)*AG$5:AG$68,$P$5:$P$68)/SUM(($C$5:$C$68=$B83)*$P$5:$P$68),IFERROR(SUMPRODUCT(($D$5:$D$68=$B83)*AG$5:AG$68,$P$5:$P$68)/SUM(($D$5:$D$68=$B83)*$P$5:$P$68),SUMPRODUCT(($E$5:$E$68=$B83)*AG$5:AG$68,$P$5:$P$68)/SUM(($E$5:$E$68=$B83)*$P$5:$P$68))))</f>
        <v>1.948717100000001</v>
      </c>
      <c r="AH83" s="24" cm="1">
        <f t="array" ref="AH83">IFERROR(SUMPRODUCT(($B$5:$B$68=$B83)*AH$5:AH$68,$P$5:$P$68)/SUM(($B$5:$B$68=$B83)*$P$5:$P$68),IFERROR(SUMPRODUCT(($C$5:$C$68=$B83)*AH$5:AH$68,$P$5:$P$68)/SUM(($C$5:$C$68=$B83)*$P$5:$P$68),IFERROR(SUMPRODUCT(($D$5:$D$68=$B83)*AH$5:AH$68,$P$5:$P$68)/SUM(($D$5:$D$68=$B83)*$P$5:$P$68),SUMPRODUCT(($E$5:$E$68=$B83)*AH$5:AH$68,$P$5:$P$68)/SUM(($E$5:$E$68=$B83)*$P$5:$P$68))))</f>
        <v>118.49939476920679</v>
      </c>
    </row>
    <row r="84" spans="1:34" x14ac:dyDescent="0.15">
      <c r="A84" s="5" t="s">
        <v>350</v>
      </c>
      <c r="B84" s="6" t="s">
        <v>474</v>
      </c>
      <c r="G84" s="24" cm="1">
        <f t="array" ref="G84">IFERROR(SUMPRODUCT(($B$5:$B$68=$B84)*G$5:G$68,$H$5:$H$68)/SUM(($B$5:$B$68=$B84)*$H$5:$H$68),IFERROR(SUMPRODUCT(($C$5:$C$68=$B84)*G$5:G$68,$H$5:$H$68)/SUM(($C$5:$C$68=$B84)*$H$5:$H$68),IFERROR(SUMPRODUCT(($D$5:$D$68=$B84)*G$5:G$68,$H$5:$H$68)/SUM(($D$5:$D$68=$B84)*$H$5:$H$68),SUMPRODUCT(($E$5:$E$68=$B84)*G$5:G$68,$H$5:$H$68)/SUM(($E$5:$E$68=$B84)*$H$5:$H$68))))</f>
        <v>0.73925352948672385</v>
      </c>
      <c r="J84" s="24" cm="1">
        <f t="array" ref="J84">IFERROR(SUMPRODUCT(($B$5:$B$68=$B84)*J$5:J$68,$K$5:$K$68)/SUM(($B$5:$B$68=$B84)*$K$5:$K$68),IFERROR(SUMPRODUCT(($C$5:$C$68=$B84)*J$5:J$68,$K$5:$K$68)/SUM(($C$5:$C$68=$B84)*$K$5:$K$68),IFERROR(SUMPRODUCT(($D$5:$D$68=$B84)*J$5:J$68,$K$5:$K$68)/SUM(($D$5:$D$68=$B84)*$K$5:$K$68),SUMPRODUCT(($E$5:$E$68=$B84)*J$5:J$68,$K$5:$K$68)/SUM(($E$5:$E$68=$B84)*$K$5:$K$68))))</f>
        <v>0.50052641550481702</v>
      </c>
      <c r="P84" s="27"/>
      <c r="Q84" s="37">
        <f t="shared" si="15"/>
        <v>101.48548570657279</v>
      </c>
      <c r="R84" s="24" cm="1">
        <f t="array" ref="R84">IFERROR(SUMPRODUCT(($B$5:$B$68=$B84)*R$5:R$68,$P$5:$P$68)/SUM(($B$5:$B$68=$B84)*$P$5:$P$68),IFERROR(SUMPRODUCT(($C$5:$C$68=$B84)*R$5:R$68,$P$5:$P$68)/SUM(($C$5:$C$68=$B84)*$P$5:$P$68),IFERROR(SUMPRODUCT(($D$5:$D$68=$B84)*R$5:R$68,$P$5:$P$68)/SUM(($D$5:$D$68=$B84)*$P$5:$P$68),SUMPRODUCT(($E$5:$E$68=$B84)*R$5:R$68,$P$5:$P$68)/SUM(($E$5:$E$68=$B84)*$P$5:$P$68))))</f>
        <v>4.9320000000000004</v>
      </c>
      <c r="S84" s="24" cm="1">
        <f t="array" ref="S84">IFERROR(SUMPRODUCT(($B$5:$B$68=$B84)*S$5:S$68,$P$5:$P$68)/SUM(($B$5:$B$68=$B84)*$P$5:$P$68),IFERROR(SUMPRODUCT(($C$5:$C$68=$B84)*S$5:S$68,$P$5:$P$68)/SUM(($C$5:$C$68=$B84)*$P$5:$P$68),IFERROR(SUMPRODUCT(($D$5:$D$68=$B84)*S$5:S$68,$P$5:$P$68)/SUM(($D$5:$D$68=$B84)*$P$5:$P$68),SUMPRODUCT(($E$5:$E$68=$B84)*S$5:S$68,$P$5:$P$68)/SUM(($E$5:$E$68=$B84)*$P$5:$P$68))))</f>
        <v>0</v>
      </c>
      <c r="T84" s="24" cm="1">
        <f t="array" ref="T84">IFERROR(SUMPRODUCT(($B$5:$B$68=$B84)*T$5:T$68,$P$5:$P$68)/SUM(($B$5:$B$68=$B84)*$P$5:$P$68),IFERROR(SUMPRODUCT(($C$5:$C$68=$B84)*T$5:T$68,$P$5:$P$68)/SUM(($C$5:$C$68=$B84)*$P$5:$P$68),IFERROR(SUMPRODUCT(($D$5:$D$68=$B84)*T$5:T$68,$P$5:$P$68)/SUM(($D$5:$D$68=$B84)*$P$5:$P$68),SUMPRODUCT(($E$5:$E$68=$B84)*T$5:T$68,$P$5:$P$68)/SUM(($E$5:$E$68=$B84)*$P$5:$P$68))))</f>
        <v>0</v>
      </c>
      <c r="U84" s="24" cm="1">
        <f t="array" ref="U84">IFERROR(SUMPRODUCT(($B$5:$B$68=$B84)*U$5:U$68,$P$5:$P$68)/SUM(($B$5:$B$68=$B84)*$P$5:$P$68),IFERROR(SUMPRODUCT(($C$5:$C$68=$B84)*U$5:U$68,$P$5:$P$68)/SUM(($C$5:$C$68=$B84)*$P$5:$P$68),IFERROR(SUMPRODUCT(($D$5:$D$68=$B84)*U$5:U$68,$P$5:$P$68)/SUM(($D$5:$D$68=$B84)*$P$5:$P$68),SUMPRODUCT(($E$5:$E$68=$B84)*U$5:U$68,$P$5:$P$68)/SUM(($E$5:$E$68=$B84)*$P$5:$P$68))))</f>
        <v>0</v>
      </c>
      <c r="V84" s="24" cm="1">
        <f t="array" ref="V84">IFERROR(SUMPRODUCT(($B$5:$B$68=$B84)*V$5:V$68,$P$5:$P$68)/SUM(($B$5:$B$68=$B84)*$P$5:$P$68),IFERROR(SUMPRODUCT(($C$5:$C$68=$B84)*V$5:V$68,$P$5:$P$68)/SUM(($C$5:$C$68=$B84)*$P$5:$P$68),IFERROR(SUMPRODUCT(($D$5:$D$68=$B84)*V$5:V$68,$P$5:$P$68)/SUM(($D$5:$D$68=$B84)*$P$5:$P$68),SUMPRODUCT(($E$5:$E$68=$B84)*V$5:V$68,$P$5:$P$68)/SUM(($E$5:$E$68=$B84)*$P$5:$P$68))))</f>
        <v>0.1283016386383718</v>
      </c>
      <c r="W84" s="24" cm="1">
        <f t="array" ref="W84">IFERROR(SUMPRODUCT(($B$5:$B$68=$B84)*W$5:W$68,$P$5:$P$68)/SUM(($B$5:$B$68=$B84)*$P$5:$P$68),IFERROR(SUMPRODUCT(($C$5:$C$68=$B84)*W$5:W$68,$P$5:$P$68)/SUM(($C$5:$C$68=$B84)*$P$5:$P$68),IFERROR(SUMPRODUCT(($D$5:$D$68=$B84)*W$5:W$68,$P$5:$P$68)/SUM(($D$5:$D$68=$B84)*$P$5:$P$68),SUMPRODUCT(($E$5:$E$68=$B84)*W$5:W$68,$P$5:$P$68)/SUM(($E$5:$E$68=$B84)*$P$5:$P$68))))</f>
        <v>1.5305002913666228</v>
      </c>
      <c r="X84" s="24" cm="1">
        <f t="array" ref="X84">IFERROR(SUMPRODUCT(($B$5:$B$68=$B84)*X$5:X$68,$P$5:$P$68)/SUM(($B$5:$B$68=$B84)*$P$5:$P$68),IFERROR(SUMPRODUCT(($C$5:$C$68=$B84)*X$5:X$68,$P$5:$P$68)/SUM(($C$5:$C$68=$B84)*$P$5:$P$68),IFERROR(SUMPRODUCT(($D$5:$D$68=$B84)*X$5:X$68,$P$5:$P$68)/SUM(($D$5:$D$68=$B84)*$P$5:$P$68),SUMPRODUCT(($E$5:$E$68=$B84)*X$5:X$68,$P$5:$P$68)/SUM(($E$5:$E$68=$B84)*$P$5:$P$68))))</f>
        <v>0</v>
      </c>
      <c r="AC84" s="37"/>
      <c r="AD84" s="24" cm="1">
        <f t="array" ref="AD84">IFERROR(SUMPRODUCT(($B$5:$B$68=$B84)*AD$5:AD$68,$P$5:$P$68)/SUM(($B$5:$B$68=$B84)*$P$5:$P$68),IFERROR(SUMPRODUCT(($C$5:$C$68=$B84)*AD$5:AD$68,$P$5:$P$68)/SUM(($C$5:$C$68=$B84)*$P$5:$P$68),IFERROR(SUMPRODUCT(($D$5:$D$68=$B84)*AD$5:AD$68,$P$5:$P$68)/SUM(($D$5:$D$68=$B84)*$P$5:$P$68),SUMPRODUCT(($E$5:$E$68=$B84)*AD$5:AD$68,$P$5:$P$68)/SUM(($E$5:$E$68=$B84)*$P$5:$P$68))))</f>
        <v>0.6</v>
      </c>
      <c r="AE84" s="24" cm="1">
        <f t="array" ref="AE84">IFERROR(SUMPRODUCT(($B$5:$B$68=$B84)*AE$5:AE$68,$P$5:$P$68)/SUM(($B$5:$B$68=$B84)*$P$5:$P$68),IFERROR(SUMPRODUCT(($C$5:$C$68=$B84)*AE$5:AE$68,$P$5:$P$68)/SUM(($C$5:$C$68=$B84)*$P$5:$P$68),IFERROR(SUMPRODUCT(($D$5:$D$68=$B84)*AE$5:AE$68,$P$5:$P$68)/SUM(($D$5:$D$68=$B84)*$P$5:$P$68),SUMPRODUCT(($E$5:$E$68=$B84)*AE$5:AE$68,$P$5:$P$68)/SUM(($E$5:$E$68=$B84)*$P$5:$P$68))))</f>
        <v>0.59799999999999998</v>
      </c>
      <c r="AF84" s="37"/>
      <c r="AG84" s="24" cm="1">
        <f t="array" ref="AG84">IFERROR(SUMPRODUCT(($B$5:$B$68=$B84)*AG$5:AG$68,$P$5:$P$68)/SUM(($B$5:$B$68=$B84)*$P$5:$P$68),IFERROR(SUMPRODUCT(($C$5:$C$68=$B84)*AG$5:AG$68,$P$5:$P$68)/SUM(($C$5:$C$68=$B84)*$P$5:$P$68),IFERROR(SUMPRODUCT(($D$5:$D$68=$B84)*AG$5:AG$68,$P$5:$P$68)/SUM(($D$5:$D$68=$B84)*$P$5:$P$68),SUMPRODUCT(($E$5:$E$68=$B84)*AG$5:AG$68,$P$5:$P$68)/SUM(($E$5:$E$68=$B84)*$P$5:$P$68))))</f>
        <v>1.1208357193825378</v>
      </c>
      <c r="AH84" s="24" cm="1">
        <f t="array" ref="AH84">IFERROR(SUMPRODUCT(($B$5:$B$68=$B84)*AH$5:AH$68,$P$5:$P$68)/SUM(($B$5:$B$68=$B84)*$P$5:$P$68),IFERROR(SUMPRODUCT(($C$5:$C$68=$B84)*AH$5:AH$68,$P$5:$P$68)/SUM(($C$5:$C$68=$B84)*$P$5:$P$68),IFERROR(SUMPRODUCT(($D$5:$D$68=$B84)*AH$5:AH$68,$P$5:$P$68)/SUM(($D$5:$D$68=$B84)*$P$5:$P$68),SUMPRODUCT(($E$5:$E$68=$B84)*AH$5:AH$68,$P$5:$P$68)/SUM(($E$5:$E$68=$B84)*$P$5:$P$68))))</f>
        <v>1.4950234870125214</v>
      </c>
    </row>
    <row r="85" spans="1:34" x14ac:dyDescent="0.15">
      <c r="A85" s="5" t="s">
        <v>357</v>
      </c>
      <c r="B85" s="6" t="s">
        <v>409</v>
      </c>
      <c r="G85" s="24" cm="1">
        <f t="array" ref="G85">IFERROR(SUMPRODUCT(($B$5:$B$68=$B85)*G$5:G$68,$H$5:$H$68)/SUM(($B$5:$B$68=$B85)*$H$5:$H$68),IFERROR(SUMPRODUCT(($C$5:$C$68=$B85)*G$5:G$68,$H$5:$H$68)/SUM(($C$5:$C$68=$B85)*$H$5:$H$68),IFERROR(SUMPRODUCT(($D$5:$D$68=$B85)*G$5:G$68,$H$5:$H$68)/SUM(($D$5:$D$68=$B85)*$H$5:$H$68),SUMPRODUCT(($E$5:$E$68=$B85)*G$5:G$68,$H$5:$H$68)/SUM(($E$5:$E$68=$B85)*$H$5:$H$68))))</f>
        <v>0.805852417888692</v>
      </c>
      <c r="J85" s="24" cm="1">
        <f t="array" ref="J85">IFERROR(SUMPRODUCT(($B$5:$B$68=$B85)*J$5:J$68,$K$5:$K$68)/SUM(($B$5:$B$68=$B85)*$K$5:$K$68),IFERROR(SUMPRODUCT(($C$5:$C$68=$B85)*J$5:J$68,$K$5:$K$68)/SUM(($C$5:$C$68=$B85)*$K$5:$K$68),IFERROR(SUMPRODUCT(($D$5:$D$68=$B85)*J$5:J$68,$K$5:$K$68)/SUM(($D$5:$D$68=$B85)*$K$5:$K$68),SUMPRODUCT(($E$5:$E$68=$B85)*J$5:J$68,$K$5:$K$68)/SUM(($E$5:$E$68=$B85)*$K$5:$K$68))))</f>
        <v>0.66291615790238245</v>
      </c>
      <c r="P85" s="27"/>
      <c r="Q85" s="37">
        <f t="shared" si="15"/>
        <v>146.16533788514602</v>
      </c>
      <c r="R85" s="24" cm="1">
        <f t="array" ref="R85">IFERROR(SUMPRODUCT(($B$5:$B$68=$B85)*R$5:R$68,$P$5:$P$68)/SUM(($B$5:$B$68=$B85)*$P$5:$P$68),IFERROR(SUMPRODUCT(($C$5:$C$68=$B85)*R$5:R$68,$P$5:$P$68)/SUM(($C$5:$C$68=$B85)*$P$5:$P$68),IFERROR(SUMPRODUCT(($D$5:$D$68=$B85)*R$5:R$68,$P$5:$P$68)/SUM(($D$5:$D$68=$B85)*$P$5:$P$68),SUMPRODUCT(($E$5:$E$68=$B85)*R$5:R$68,$P$5:$P$68)/SUM(($E$5:$E$68=$B85)*$P$5:$P$68))))</f>
        <v>4.5353855263775982</v>
      </c>
      <c r="S85" s="24" cm="1">
        <f t="array" ref="S85">IFERROR(SUMPRODUCT(($B$5:$B$68=$B85)*S$5:S$68,$P$5:$P$68)/SUM(($B$5:$B$68=$B85)*$P$5:$P$68),IFERROR(SUMPRODUCT(($C$5:$C$68=$B85)*S$5:S$68,$P$5:$P$68)/SUM(($C$5:$C$68=$B85)*$P$5:$P$68),IFERROR(SUMPRODUCT(($D$5:$D$68=$B85)*S$5:S$68,$P$5:$P$68)/SUM(($D$5:$D$68=$B85)*$P$5:$P$68),SUMPRODUCT(($E$5:$E$68=$B85)*S$5:S$68,$P$5:$P$68)/SUM(($E$5:$E$68=$B85)*$P$5:$P$68))))</f>
        <v>0</v>
      </c>
      <c r="T85" s="24" cm="1">
        <f t="array" ref="T85">IFERROR(SUMPRODUCT(($B$5:$B$68=$B85)*T$5:T$68,$P$5:$P$68)/SUM(($B$5:$B$68=$B85)*$P$5:$P$68),IFERROR(SUMPRODUCT(($C$5:$C$68=$B85)*T$5:T$68,$P$5:$P$68)/SUM(($C$5:$C$68=$B85)*$P$5:$P$68),IFERROR(SUMPRODUCT(($D$5:$D$68=$B85)*T$5:T$68,$P$5:$P$68)/SUM(($D$5:$D$68=$B85)*$P$5:$P$68),SUMPRODUCT(($E$5:$E$68=$B85)*T$5:T$68,$P$5:$P$68)/SUM(($E$5:$E$68=$B85)*$P$5:$P$68))))</f>
        <v>0</v>
      </c>
      <c r="U85" s="24" cm="1">
        <f t="array" ref="U85">IFERROR(SUMPRODUCT(($B$5:$B$68=$B85)*U$5:U$68,$P$5:$P$68)/SUM(($B$5:$B$68=$B85)*$P$5:$P$68),IFERROR(SUMPRODUCT(($C$5:$C$68=$B85)*U$5:U$68,$P$5:$P$68)/SUM(($C$5:$C$68=$B85)*$P$5:$P$68),IFERROR(SUMPRODUCT(($D$5:$D$68=$B85)*U$5:U$68,$P$5:$P$68)/SUM(($D$5:$D$68=$B85)*$P$5:$P$68),SUMPRODUCT(($E$5:$E$68=$B85)*U$5:U$68,$P$5:$P$68)/SUM(($E$5:$E$68=$B85)*$P$5:$P$68))))</f>
        <v>0</v>
      </c>
      <c r="V85" s="24" cm="1">
        <f t="array" ref="V85">IFERROR(SUMPRODUCT(($B$5:$B$68=$B85)*V$5:V$68,$P$5:$P$68)/SUM(($B$5:$B$68=$B85)*$P$5:$P$68),IFERROR(SUMPRODUCT(($C$5:$C$68=$B85)*V$5:V$68,$P$5:$P$68)/SUM(($C$5:$C$68=$B85)*$P$5:$P$68),IFERROR(SUMPRODUCT(($D$5:$D$68=$B85)*V$5:V$68,$P$5:$P$68)/SUM(($D$5:$D$68=$B85)*$P$5:$P$68),SUMPRODUCT(($E$5:$E$68=$B85)*V$5:V$68,$P$5:$P$68)/SUM(($E$5:$E$68=$B85)*$P$5:$P$68))))</f>
        <v>3.0650767981486746</v>
      </c>
      <c r="W85" s="24" cm="1">
        <f t="array" ref="W85">IFERROR(SUMPRODUCT(($B$5:$B$68=$B85)*W$5:W$68,$P$5:$P$68)/SUM(($B$5:$B$68=$B85)*$P$5:$P$68),IFERROR(SUMPRODUCT(($C$5:$C$68=$B85)*W$5:W$68,$P$5:$P$68)/SUM(($C$5:$C$68=$B85)*$P$5:$P$68),IFERROR(SUMPRODUCT(($D$5:$D$68=$B85)*W$5:W$68,$P$5:$P$68)/SUM(($D$5:$D$68=$B85)*$P$5:$P$68),SUMPRODUCT(($E$5:$E$68=$B85)*W$5:W$68,$P$5:$P$68)/SUM(($E$5:$E$68=$B85)*$P$5:$P$68))))</f>
        <v>3.3319027916397532</v>
      </c>
      <c r="X85" s="24" cm="1">
        <f t="array" ref="X85">IFERROR(SUMPRODUCT(($B$5:$B$68=$B85)*X$5:X$68,$P$5:$P$68)/SUM(($B$5:$B$68=$B85)*$P$5:$P$68),IFERROR(SUMPRODUCT(($C$5:$C$68=$B85)*X$5:X$68,$P$5:$P$68)/SUM(($C$5:$C$68=$B85)*$P$5:$P$68),IFERROR(SUMPRODUCT(($D$5:$D$68=$B85)*X$5:X$68,$P$5:$P$68)/SUM(($D$5:$D$68=$B85)*$P$5:$P$68),SUMPRODUCT(($E$5:$E$68=$B85)*X$5:X$68,$P$5:$P$68)/SUM(($E$5:$E$68=$B85)*$P$5:$P$68))))</f>
        <v>0</v>
      </c>
      <c r="AC85" s="37"/>
      <c r="AD85" s="24" cm="1">
        <f t="array" ref="AD85">IFERROR(SUMPRODUCT(($B$5:$B$68=$B85)*AD$5:AD$68,$P$5:$P$68)/SUM(($B$5:$B$68=$B85)*$P$5:$P$68),IFERROR(SUMPRODUCT(($C$5:$C$68=$B85)*AD$5:AD$68,$P$5:$P$68)/SUM(($C$5:$C$68=$B85)*$P$5:$P$68),IFERROR(SUMPRODUCT(($D$5:$D$68=$B85)*AD$5:AD$68,$P$5:$P$68)/SUM(($D$5:$D$68=$B85)*$P$5:$P$68),SUMPRODUCT(($E$5:$E$68=$B85)*AD$5:AD$68,$P$5:$P$68)/SUM(($E$5:$E$68=$B85)*$P$5:$P$68))))</f>
        <v>0.60000000000000009</v>
      </c>
      <c r="AE85" s="24" cm="1">
        <f t="array" ref="AE85">IFERROR(SUMPRODUCT(($B$5:$B$68=$B85)*AE$5:AE$68,$P$5:$P$68)/SUM(($B$5:$B$68=$B85)*$P$5:$P$68),IFERROR(SUMPRODUCT(($C$5:$C$68=$B85)*AE$5:AE$68,$P$5:$P$68)/SUM(($C$5:$C$68=$B85)*$P$5:$P$68),IFERROR(SUMPRODUCT(($D$5:$D$68=$B85)*AE$5:AE$68,$P$5:$P$68)/SUM(($D$5:$D$68=$B85)*$P$5:$P$68),SUMPRODUCT(($E$5:$E$68=$B85)*AE$5:AE$68,$P$5:$P$68)/SUM(($E$5:$E$68=$B85)*$P$5:$P$68))))</f>
        <v>0.59800000000000009</v>
      </c>
      <c r="AF85" s="37"/>
      <c r="AG85" s="24" cm="1">
        <f t="array" ref="AG85">IFERROR(SUMPRODUCT(($B$5:$B$68=$B85)*AG$5:AG$68,$P$5:$P$68)/SUM(($B$5:$B$68=$B85)*$P$5:$P$68),IFERROR(SUMPRODUCT(($C$5:$C$68=$B85)*AG$5:AG$68,$P$5:$P$68)/SUM(($C$5:$C$68=$B85)*$P$5:$P$68),IFERROR(SUMPRODUCT(($D$5:$D$68=$B85)*AG$5:AG$68,$P$5:$P$68)/SUM(($D$5:$D$68=$B85)*$P$5:$P$68),SUMPRODUCT(($E$5:$E$68=$B85)*AG$5:AG$68,$P$5:$P$68)/SUM(($E$5:$E$68=$B85)*$P$5:$P$68))))</f>
        <v>1.5739122718925649</v>
      </c>
      <c r="AH85" s="24" cm="1">
        <f t="array" ref="AH85">IFERROR(SUMPRODUCT(($B$5:$B$68=$B85)*AH$5:AH$68,$P$5:$P$68)/SUM(($B$5:$B$68=$B85)*$P$5:$P$68),IFERROR(SUMPRODUCT(($C$5:$C$68=$B85)*AH$5:AH$68,$P$5:$P$68)/SUM(($C$5:$C$68=$B85)*$P$5:$P$68),IFERROR(SUMPRODUCT(($D$5:$D$68=$B85)*AH$5:AH$68,$P$5:$P$68)/SUM(($D$5:$D$68=$B85)*$P$5:$P$68),SUMPRODUCT(($E$5:$E$68=$B85)*AH$5:AH$68,$P$5:$P$68)/SUM(($E$5:$E$68=$B85)*$P$5:$P$68))))</f>
        <v>19.180526497604429</v>
      </c>
    </row>
    <row r="86" spans="1:34" x14ac:dyDescent="0.15">
      <c r="A86" s="5" t="s">
        <v>330</v>
      </c>
      <c r="B86" s="6" t="s">
        <v>221</v>
      </c>
      <c r="G86" s="24" cm="1">
        <f t="array" ref="G86">IFERROR(SUMPRODUCT(($B$5:$B$68=$B86)*G$5:G$68,$H$5:$H$68)/SUM(($B$5:$B$68=$B86)*$H$5:$H$68),IFERROR(SUMPRODUCT(($C$5:$C$68=$B86)*G$5:G$68,$H$5:$H$68)/SUM(($C$5:$C$68=$B86)*$H$5:$H$68),IFERROR(SUMPRODUCT(($D$5:$D$68=$B86)*G$5:G$68,$H$5:$H$68)/SUM(($D$5:$D$68=$B86)*$H$5:$H$68),SUMPRODUCT(($E$5:$E$68=$B86)*G$5:G$68,$H$5:$H$68)/SUM(($E$5:$E$68=$B86)*$H$5:$H$68))))</f>
        <v>7.0004406322813018E-2</v>
      </c>
      <c r="J86" s="24" cm="1">
        <f t="array" ref="J86">IFERROR(SUMPRODUCT(($B$5:$B$68=$B86)*J$5:J$68,$K$5:$K$68)/SUM(($B$5:$B$68=$B86)*$K$5:$K$68),IFERROR(SUMPRODUCT(($C$5:$C$68=$B86)*J$5:J$68,$K$5:$K$68)/SUM(($C$5:$C$68=$B86)*$K$5:$K$68),IFERROR(SUMPRODUCT(($D$5:$D$68=$B86)*J$5:J$68,$K$5:$K$68)/SUM(($D$5:$D$68=$B86)*$K$5:$K$68),SUMPRODUCT(($E$5:$E$68=$B86)*J$5:J$68,$K$5:$K$68)/SUM(($E$5:$E$68=$B86)*$K$5:$K$68))))</f>
        <v>4.658929294687298E-2</v>
      </c>
      <c r="P86" s="27"/>
      <c r="Q86" s="37">
        <f t="shared" si="15"/>
        <v>14.298819713845171</v>
      </c>
      <c r="R86" s="24" cm="1">
        <f t="array" ref="R86">IFERROR(SUMPRODUCT(($B$5:$B$68=$B86)*R$5:R$68,$P$5:$P$68)/SUM(($B$5:$B$68=$B86)*$P$5:$P$68),IFERROR(SUMPRODUCT(($C$5:$C$68=$B86)*R$5:R$68,$P$5:$P$68)/SUM(($C$5:$C$68=$B86)*$P$5:$P$68),IFERROR(SUMPRODUCT(($D$5:$D$68=$B86)*R$5:R$68,$P$5:$P$68)/SUM(($D$5:$D$68=$B86)*$P$5:$P$68),SUMPRODUCT(($E$5:$E$68=$B86)*R$5:R$68,$P$5:$P$68)/SUM(($E$5:$E$68=$B86)*$P$5:$P$68))))</f>
        <v>3.2582614424994669</v>
      </c>
      <c r="S86" s="24" cm="1">
        <f t="array" ref="S86">IFERROR(SUMPRODUCT(($B$5:$B$68=$B86)*S$5:S$68,$P$5:$P$68)/SUM(($B$5:$B$68=$B86)*$P$5:$P$68),IFERROR(SUMPRODUCT(($C$5:$C$68=$B86)*S$5:S$68,$P$5:$P$68)/SUM(($C$5:$C$68=$B86)*$P$5:$P$68),IFERROR(SUMPRODUCT(($D$5:$D$68=$B86)*S$5:S$68,$P$5:$P$68)/SUM(($D$5:$D$68=$B86)*$P$5:$P$68),SUMPRODUCT(($E$5:$E$68=$B86)*S$5:S$68,$P$5:$P$68)/SUM(($E$5:$E$68=$B86)*$P$5:$P$68))))</f>
        <v>0</v>
      </c>
      <c r="T86" s="24" cm="1">
        <f t="array" ref="T86">IFERROR(SUMPRODUCT(($B$5:$B$68=$B86)*T$5:T$68,$P$5:$P$68)/SUM(($B$5:$B$68=$B86)*$P$5:$P$68),IFERROR(SUMPRODUCT(($C$5:$C$68=$B86)*T$5:T$68,$P$5:$P$68)/SUM(($C$5:$C$68=$B86)*$P$5:$P$68),IFERROR(SUMPRODUCT(($D$5:$D$68=$B86)*T$5:T$68,$P$5:$P$68)/SUM(($D$5:$D$68=$B86)*$P$5:$P$68),SUMPRODUCT(($E$5:$E$68=$B86)*T$5:T$68,$P$5:$P$68)/SUM(($E$5:$E$68=$B86)*$P$5:$P$68))))</f>
        <v>0</v>
      </c>
      <c r="U86" s="24" cm="1">
        <f t="array" ref="U86">IFERROR(SUMPRODUCT(($B$5:$B$68=$B86)*U$5:U$68,$P$5:$P$68)/SUM(($B$5:$B$68=$B86)*$P$5:$P$68),IFERROR(SUMPRODUCT(($C$5:$C$68=$B86)*U$5:U$68,$P$5:$P$68)/SUM(($C$5:$C$68=$B86)*$P$5:$P$68),IFERROR(SUMPRODUCT(($D$5:$D$68=$B86)*U$5:U$68,$P$5:$P$68)/SUM(($D$5:$D$68=$B86)*$P$5:$P$68),SUMPRODUCT(($E$5:$E$68=$B86)*U$5:U$68,$P$5:$P$68)/SUM(($E$5:$E$68=$B86)*$P$5:$P$68))))</f>
        <v>0</v>
      </c>
      <c r="V86" s="24" cm="1">
        <f t="array" ref="V86">IFERROR(SUMPRODUCT(($B$5:$B$68=$B86)*V$5:V$68,$P$5:$P$68)/SUM(($B$5:$B$68=$B86)*$P$5:$P$68),IFERROR(SUMPRODUCT(($C$5:$C$68=$B86)*V$5:V$68,$P$5:$P$68)/SUM(($C$5:$C$68=$B86)*$P$5:$P$68),IFERROR(SUMPRODUCT(($D$5:$D$68=$B86)*V$5:V$68,$P$5:$P$68)/SUM(($D$5:$D$68=$B86)*$P$5:$P$68),SUMPRODUCT(($E$5:$E$68=$B86)*V$5:V$68,$P$5:$P$68)/SUM(($E$5:$E$68=$B86)*$P$5:$P$68))))</f>
        <v>2.8698332162509748</v>
      </c>
      <c r="W86" s="24" cm="1">
        <f t="array" ref="W86">IFERROR(SUMPRODUCT(($B$5:$B$68=$B86)*W$5:W$68,$P$5:$P$68)/SUM(($B$5:$B$68=$B86)*$P$5:$P$68),IFERROR(SUMPRODUCT(($C$5:$C$68=$B86)*W$5:W$68,$P$5:$P$68)/SUM(($C$5:$C$68=$B86)*$P$5:$P$68),IFERROR(SUMPRODUCT(($D$5:$D$68=$B86)*W$5:W$68,$P$5:$P$68)/SUM(($D$5:$D$68=$B86)*$P$5:$P$68),SUMPRODUCT(($E$5:$E$68=$B86)*W$5:W$68,$P$5:$P$68)/SUM(($E$5:$E$68=$B86)*$P$5:$P$68))))</f>
        <v>3.2582614424994669</v>
      </c>
      <c r="X86" s="24" cm="1">
        <f t="array" ref="X86">IFERROR(SUMPRODUCT(($B$5:$B$68=$B86)*X$5:X$68,$P$5:$P$68)/SUM(($B$5:$B$68=$B86)*$P$5:$P$68),IFERROR(SUMPRODUCT(($C$5:$C$68=$B86)*X$5:X$68,$P$5:$P$68)/SUM(($C$5:$C$68=$B86)*$P$5:$P$68),IFERROR(SUMPRODUCT(($D$5:$D$68=$B86)*X$5:X$68,$P$5:$P$68)/SUM(($D$5:$D$68=$B86)*$P$5:$P$68),SUMPRODUCT(($E$5:$E$68=$B86)*X$5:X$68,$P$5:$P$68)/SUM(($E$5:$E$68=$B86)*$P$5:$P$68))))</f>
        <v>0</v>
      </c>
      <c r="AC86" s="37"/>
      <c r="AD86" s="24" cm="1">
        <f t="array" ref="AD86">IFERROR(SUMPRODUCT(($B$5:$B$68=$B86)*AD$5:AD$68,$P$5:$P$68)/SUM(($B$5:$B$68=$B86)*$P$5:$P$68),IFERROR(SUMPRODUCT(($C$5:$C$68=$B86)*AD$5:AD$68,$P$5:$P$68)/SUM(($C$5:$C$68=$B86)*$P$5:$P$68),IFERROR(SUMPRODUCT(($D$5:$D$68=$B86)*AD$5:AD$68,$P$5:$P$68)/SUM(($D$5:$D$68=$B86)*$P$5:$P$68),SUMPRODUCT(($E$5:$E$68=$B86)*AD$5:AD$68,$P$5:$P$68)/SUM(($E$5:$E$68=$B86)*$P$5:$P$68))))</f>
        <v>0.79800000000000015</v>
      </c>
      <c r="AE86" s="24" cm="1">
        <f t="array" ref="AE86">IFERROR(SUMPRODUCT(($B$5:$B$68=$B86)*AE$5:AE$68,$P$5:$P$68)/SUM(($B$5:$B$68=$B86)*$P$5:$P$68),IFERROR(SUMPRODUCT(($C$5:$C$68=$B86)*AE$5:AE$68,$P$5:$P$68)/SUM(($C$5:$C$68=$B86)*$P$5:$P$68),IFERROR(SUMPRODUCT(($D$5:$D$68=$B86)*AE$5:AE$68,$P$5:$P$68)/SUM(($D$5:$D$68=$B86)*$P$5:$P$68),SUMPRODUCT(($E$5:$E$68=$B86)*AE$5:AE$68,$P$5:$P$68)/SUM(($E$5:$E$68=$B86)*$P$5:$P$68))))</f>
        <v>0.92100000000000015</v>
      </c>
      <c r="AF86" s="37"/>
      <c r="AG86" s="24" cm="1">
        <f t="array" ref="AG86">IFERROR(SUMPRODUCT(($B$5:$B$68=$B86)*AG$5:AG$68,$P$5:$P$68)/SUM(($B$5:$B$68=$B86)*$P$5:$P$68),IFERROR(SUMPRODUCT(($C$5:$C$68=$B86)*AG$5:AG$68,$P$5:$P$68)/SUM(($C$5:$C$68=$B86)*$P$5:$P$68),IFERROR(SUMPRODUCT(($D$5:$D$68=$B86)*AG$5:AG$68,$P$5:$P$68)/SUM(($D$5:$D$68=$B86)*$P$5:$P$68),SUMPRODUCT(($E$5:$E$68=$B86)*AG$5:AG$68,$P$5:$P$68)/SUM(($E$5:$E$68=$B86)*$P$5:$P$68))))</f>
        <v>1.2809090316655367</v>
      </c>
      <c r="AH86" s="24" cm="1">
        <f t="array" ref="AH86">IFERROR(SUMPRODUCT(($B$5:$B$68=$B86)*AH$5:AH$68,$P$5:$P$68)/SUM(($B$5:$B$68=$B86)*$P$5:$P$68),IFERROR(SUMPRODUCT(($C$5:$C$68=$B86)*AH$5:AH$68,$P$5:$P$68)/SUM(($C$5:$C$68=$B86)*$P$5:$P$68),IFERROR(SUMPRODUCT(($D$5:$D$68=$B86)*AH$5:AH$68,$P$5:$P$68)/SUM(($D$5:$D$68=$B86)*$P$5:$P$68),SUMPRODUCT(($E$5:$E$68=$B86)*AH$5:AH$68,$P$5:$P$68)/SUM(($E$5:$E$68=$B86)*$P$5:$P$68))))</f>
        <v>4.1862577628706568</v>
      </c>
    </row>
    <row r="87" spans="1:34" x14ac:dyDescent="0.15">
      <c r="A87" s="5" t="s">
        <v>356</v>
      </c>
      <c r="B87" s="6" t="s">
        <v>173</v>
      </c>
      <c r="G87" s="24" cm="1">
        <f t="array" ref="G87">IFERROR(SUMPRODUCT(($B$5:$B$68=$B87)*G$5:G$68,$H$5:$H$68)/SUM(($B$5:$B$68=$B87)*$H$5:$H$68),IFERROR(SUMPRODUCT(($C$5:$C$68=$B87)*G$5:G$68,$H$5:$H$68)/SUM(($C$5:$C$68=$B87)*$H$5:$H$68),IFERROR(SUMPRODUCT(($D$5:$D$68=$B87)*G$5:G$68,$H$5:$H$68)/SUM(($D$5:$D$68=$B87)*$H$5:$H$68),SUMPRODUCT(($E$5:$E$68=$B87)*G$5:G$68,$H$5:$H$68)/SUM(($E$5:$E$68=$B87)*$H$5:$H$68))))</f>
        <v>0.2201185822484337</v>
      </c>
      <c r="J87" s="24" cm="1">
        <f t="array" ref="J87">IFERROR(SUMPRODUCT(($B$5:$B$68=$B87)*J$5:J$68,$K$5:$K$68)/SUM(($B$5:$B$68=$B87)*$K$5:$K$68),IFERROR(SUMPRODUCT(($C$5:$C$68=$B87)*J$5:J$68,$K$5:$K$68)/SUM(($C$5:$C$68=$B87)*$K$5:$K$68),IFERROR(SUMPRODUCT(($D$5:$D$68=$B87)*J$5:J$68,$K$5:$K$68)/SUM(($D$5:$D$68=$B87)*$K$5:$K$68),SUMPRODUCT(($E$5:$E$68=$B87)*J$5:J$68,$K$5:$K$68)/SUM(($E$5:$E$68=$B87)*$K$5:$K$68))))</f>
        <v>0.22144473697589778</v>
      </c>
      <c r="P87" s="27"/>
      <c r="Q87" s="37">
        <f t="shared" si="15"/>
        <v>36.25966000255238</v>
      </c>
      <c r="R87" s="24" cm="1">
        <f t="array" ref="R87">IFERROR(SUMPRODUCT(($B$5:$B$68=$B87)*R$5:R$68,$P$5:$P$68)/SUM(($B$5:$B$68=$B87)*$P$5:$P$68),IFERROR(SUMPRODUCT(($C$5:$C$68=$B87)*R$5:R$68,$P$5:$P$68)/SUM(($C$5:$C$68=$B87)*$P$5:$P$68),IFERROR(SUMPRODUCT(($D$5:$D$68=$B87)*R$5:R$68,$P$5:$P$68)/SUM(($D$5:$D$68=$B87)*$P$5:$P$68),SUMPRODUCT(($E$5:$E$68=$B87)*R$5:R$68,$P$5:$P$68)/SUM(($E$5:$E$68=$B87)*$P$5:$P$68))))</f>
        <v>6.1071928683366004</v>
      </c>
      <c r="S87" s="24" cm="1">
        <f t="array" ref="S87">IFERROR(SUMPRODUCT(($B$5:$B$68=$B87)*S$5:S$68,$P$5:$P$68)/SUM(($B$5:$B$68=$B87)*$P$5:$P$68),IFERROR(SUMPRODUCT(($C$5:$C$68=$B87)*S$5:S$68,$P$5:$P$68)/SUM(($C$5:$C$68=$B87)*$P$5:$P$68),IFERROR(SUMPRODUCT(($D$5:$D$68=$B87)*S$5:S$68,$P$5:$P$68)/SUM(($D$5:$D$68=$B87)*$P$5:$P$68),SUMPRODUCT(($E$5:$E$68=$B87)*S$5:S$68,$P$5:$P$68)/SUM(($E$5:$E$68=$B87)*$P$5:$P$68))))</f>
        <v>0</v>
      </c>
      <c r="T87" s="24" cm="1">
        <f t="array" ref="T87">IFERROR(SUMPRODUCT(($B$5:$B$68=$B87)*T$5:T$68,$P$5:$P$68)/SUM(($B$5:$B$68=$B87)*$P$5:$P$68),IFERROR(SUMPRODUCT(($C$5:$C$68=$B87)*T$5:T$68,$P$5:$P$68)/SUM(($C$5:$C$68=$B87)*$P$5:$P$68),IFERROR(SUMPRODUCT(($D$5:$D$68=$B87)*T$5:T$68,$P$5:$P$68)/SUM(($D$5:$D$68=$B87)*$P$5:$P$68),SUMPRODUCT(($E$5:$E$68=$B87)*T$5:T$68,$P$5:$P$68)/SUM(($E$5:$E$68=$B87)*$P$5:$P$68))))</f>
        <v>0</v>
      </c>
      <c r="U87" s="24" cm="1">
        <f t="array" ref="U87">IFERROR(SUMPRODUCT(($B$5:$B$68=$B87)*U$5:U$68,$P$5:$P$68)/SUM(($B$5:$B$68=$B87)*$P$5:$P$68),IFERROR(SUMPRODUCT(($C$5:$C$68=$B87)*U$5:U$68,$P$5:$P$68)/SUM(($C$5:$C$68=$B87)*$P$5:$P$68),IFERROR(SUMPRODUCT(($D$5:$D$68=$B87)*U$5:U$68,$P$5:$P$68)/SUM(($D$5:$D$68=$B87)*$P$5:$P$68),SUMPRODUCT(($E$5:$E$68=$B87)*U$5:U$68,$P$5:$P$68)/SUM(($E$5:$E$68=$B87)*$P$5:$P$68))))</f>
        <v>0</v>
      </c>
      <c r="V87" s="24" cm="1">
        <f t="array" ref="V87">IFERROR(SUMPRODUCT(($B$5:$B$68=$B87)*V$5:V$68,$P$5:$P$68)/SUM(($B$5:$B$68=$B87)*$P$5:$P$68),IFERROR(SUMPRODUCT(($C$5:$C$68=$B87)*V$5:V$68,$P$5:$P$68)/SUM(($C$5:$C$68=$B87)*$P$5:$P$68),IFERROR(SUMPRODUCT(($D$5:$D$68=$B87)*V$5:V$68,$P$5:$P$68)/SUM(($D$5:$D$68=$B87)*$P$5:$P$68),SUMPRODUCT(($E$5:$E$68=$B87)*V$5:V$68,$P$5:$P$68)/SUM(($E$5:$E$68=$B87)*$P$5:$P$68))))</f>
        <v>4.7152705217596385</v>
      </c>
      <c r="W87" s="24" cm="1">
        <f t="array" ref="W87">IFERROR(SUMPRODUCT(($B$5:$B$68=$B87)*W$5:W$68,$P$5:$P$68)/SUM(($B$5:$B$68=$B87)*$P$5:$P$68),IFERROR(SUMPRODUCT(($C$5:$C$68=$B87)*W$5:W$68,$P$5:$P$68)/SUM(($C$5:$C$68=$B87)*$P$5:$P$68),IFERROR(SUMPRODUCT(($D$5:$D$68=$B87)*W$5:W$68,$P$5:$P$68)/SUM(($D$5:$D$68=$B87)*$P$5:$P$68),SUMPRODUCT(($E$5:$E$68=$B87)*W$5:W$68,$P$5:$P$68)/SUM(($E$5:$E$68=$B87)*$P$5:$P$68))))</f>
        <v>6.0969759987420424</v>
      </c>
      <c r="X87" s="24" cm="1">
        <f t="array" ref="X87">IFERROR(SUMPRODUCT(($B$5:$B$68=$B87)*X$5:X$68,$P$5:$P$68)/SUM(($B$5:$B$68=$B87)*$P$5:$P$68),IFERROR(SUMPRODUCT(($C$5:$C$68=$B87)*X$5:X$68,$P$5:$P$68)/SUM(($C$5:$C$68=$B87)*$P$5:$P$68),IFERROR(SUMPRODUCT(($D$5:$D$68=$B87)*X$5:X$68,$P$5:$P$68)/SUM(($D$5:$D$68=$B87)*$P$5:$P$68),SUMPRODUCT(($E$5:$E$68=$B87)*X$5:X$68,$P$5:$P$68)/SUM(($E$5:$E$68=$B87)*$P$5:$P$68))))</f>
        <v>0</v>
      </c>
      <c r="AC87" s="37"/>
      <c r="AD87" s="24" cm="1">
        <f t="array" ref="AD87">IFERROR(SUMPRODUCT(($B$5:$B$68=$B87)*AD$5:AD$68,$P$5:$P$68)/SUM(($B$5:$B$68=$B87)*$P$5:$P$68),IFERROR(SUMPRODUCT(($C$5:$C$68=$B87)*AD$5:AD$68,$P$5:$P$68)/SUM(($C$5:$C$68=$B87)*$P$5:$P$68),IFERROR(SUMPRODUCT(($D$5:$D$68=$B87)*AD$5:AD$68,$P$5:$P$68)/SUM(($D$5:$D$68=$B87)*$P$5:$P$68),SUMPRODUCT(($E$5:$E$68=$B87)*AD$5:AD$68,$P$5:$P$68)/SUM(($E$5:$E$68=$B87)*$P$5:$P$68))))</f>
        <v>0.79800000000000015</v>
      </c>
      <c r="AE87" s="24" cm="1">
        <f t="array" ref="AE87">IFERROR(SUMPRODUCT(($B$5:$B$68=$B87)*AE$5:AE$68,$P$5:$P$68)/SUM(($B$5:$B$68=$B87)*$P$5:$P$68),IFERROR(SUMPRODUCT(($C$5:$C$68=$B87)*AE$5:AE$68,$P$5:$P$68)/SUM(($C$5:$C$68=$B87)*$P$5:$P$68),IFERROR(SUMPRODUCT(($D$5:$D$68=$B87)*AE$5:AE$68,$P$5:$P$68)/SUM(($D$5:$D$68=$B87)*$P$5:$P$68),SUMPRODUCT(($E$5:$E$68=$B87)*AE$5:AE$68,$P$5:$P$68)/SUM(($E$5:$E$68=$B87)*$P$5:$P$68))))</f>
        <v>0.92100000000000015</v>
      </c>
      <c r="AF87" s="37"/>
      <c r="AG87" s="24" cm="1">
        <f t="array" ref="AG87">IFERROR(SUMPRODUCT(($B$5:$B$68=$B87)*AG$5:AG$68,$P$5:$P$68)/SUM(($B$5:$B$68=$B87)*$P$5:$P$68),IFERROR(SUMPRODUCT(($C$5:$C$68=$B87)*AG$5:AG$68,$P$5:$P$68)/SUM(($C$5:$C$68=$B87)*$P$5:$P$68),IFERROR(SUMPRODUCT(($D$5:$D$68=$B87)*AG$5:AG$68,$P$5:$P$68)/SUM(($D$5:$D$68=$B87)*$P$5:$P$68),SUMPRODUCT(($E$5:$E$68=$B87)*AG$5:AG$68,$P$5:$P$68)/SUM(($E$5:$E$68=$B87)*$P$5:$P$68))))</f>
        <v>1.2809090316655365</v>
      </c>
      <c r="AH87" s="24" cm="1">
        <f t="array" ref="AH87">IFERROR(SUMPRODUCT(($B$5:$B$68=$B87)*AH$5:AH$68,$P$5:$P$68)/SUM(($B$5:$B$68=$B87)*$P$5:$P$68),IFERROR(SUMPRODUCT(($C$5:$C$68=$B87)*AH$5:AH$68,$P$5:$P$68)/SUM(($C$5:$C$68=$B87)*$P$5:$P$68),IFERROR(SUMPRODUCT(($D$5:$D$68=$B87)*AH$5:AH$68,$P$5:$P$68)/SUM(($D$5:$D$68=$B87)*$P$5:$P$68),SUMPRODUCT(($E$5:$E$68=$B87)*AH$5:AH$68,$P$5:$P$68)/SUM(($E$5:$E$68=$B87)*$P$5:$P$68))))</f>
        <v>4.1862577628706559</v>
      </c>
    </row>
    <row r="88" spans="1:34" x14ac:dyDescent="0.15">
      <c r="A88" s="5" t="s">
        <v>328</v>
      </c>
      <c r="B88" s="6" t="s">
        <v>440</v>
      </c>
      <c r="G88" s="24" cm="1">
        <f t="array" ref="G88">IFERROR(SUMPRODUCT(($B$5:$B$68=$B88)*G$5:G$68,$H$5:$H$68)/SUM(($B$5:$B$68=$B88)*$H$5:$H$68),IFERROR(SUMPRODUCT(($C$5:$C$68=$B88)*G$5:G$68,$H$5:$H$68)/SUM(($C$5:$C$68=$B88)*$H$5:$H$68),IFERROR(SUMPRODUCT(($D$5:$D$68=$B88)*G$5:G$68,$H$5:$H$68)/SUM(($D$5:$D$68=$B88)*$H$5:$H$68),SUMPRODUCT(($E$5:$E$68=$B88)*G$5:G$68,$H$5:$H$68)/SUM(($E$5:$E$68=$B88)*$H$5:$H$68))))</f>
        <v>0.20263440019098061</v>
      </c>
      <c r="J88" s="24" cm="1">
        <f t="array" ref="J88">IFERROR(SUMPRODUCT(($B$5:$B$68=$B88)*J$5:J$68,$K$5:$K$68)/SUM(($B$5:$B$68=$B88)*$K$5:$K$68),IFERROR(SUMPRODUCT(($C$5:$C$68=$B88)*J$5:J$68,$K$5:$K$68)/SUM(($C$5:$C$68=$B88)*$K$5:$K$68),IFERROR(SUMPRODUCT(($D$5:$D$68=$B88)*J$5:J$68,$K$5:$K$68)/SUM(($D$5:$D$68=$B88)*$K$5:$K$68),SUMPRODUCT(($E$5:$E$68=$B88)*J$5:J$68,$K$5:$K$68)/SUM(($E$5:$E$68=$B88)*$K$5:$K$68))))</f>
        <v>0.19255330027571974</v>
      </c>
      <c r="P88" s="27"/>
      <c r="Q88" s="37">
        <f t="shared" si="15"/>
        <v>38.758715836497529</v>
      </c>
      <c r="R88" s="24" cm="1">
        <f t="array" ref="R88">IFERROR(SUMPRODUCT(($B$5:$B$68=$B88)*R$5:R$68,$P$5:$P$68)/SUM(($B$5:$B$68=$B88)*$P$5:$P$68),IFERROR(SUMPRODUCT(($C$5:$C$68=$B88)*R$5:R$68,$P$5:$P$68)/SUM(($C$5:$C$68=$B88)*$P$5:$P$68),IFERROR(SUMPRODUCT(($D$5:$D$68=$B88)*R$5:R$68,$P$5:$P$68)/SUM(($D$5:$D$68=$B88)*$P$5:$P$68),SUMPRODUCT(($E$5:$E$68=$B88)*R$5:R$68,$P$5:$P$68)/SUM(($E$5:$E$68=$B88)*$P$5:$P$68))))</f>
        <v>4.968</v>
      </c>
      <c r="S88" s="24" cm="1">
        <f t="array" ref="S88">IFERROR(SUMPRODUCT(($B$5:$B$68=$B88)*S$5:S$68,$P$5:$P$68)/SUM(($B$5:$B$68=$B88)*$P$5:$P$68),IFERROR(SUMPRODUCT(($C$5:$C$68=$B88)*S$5:S$68,$P$5:$P$68)/SUM(($C$5:$C$68=$B88)*$P$5:$P$68),IFERROR(SUMPRODUCT(($D$5:$D$68=$B88)*S$5:S$68,$P$5:$P$68)/SUM(($D$5:$D$68=$B88)*$P$5:$P$68),SUMPRODUCT(($E$5:$E$68=$B88)*S$5:S$68,$P$5:$P$68)/SUM(($E$5:$E$68=$B88)*$P$5:$P$68))))</f>
        <v>0</v>
      </c>
      <c r="T88" s="24" cm="1">
        <f t="array" ref="T88">IFERROR(SUMPRODUCT(($B$5:$B$68=$B88)*T$5:T$68,$P$5:$P$68)/SUM(($B$5:$B$68=$B88)*$P$5:$P$68),IFERROR(SUMPRODUCT(($C$5:$C$68=$B88)*T$5:T$68,$P$5:$P$68)/SUM(($C$5:$C$68=$B88)*$P$5:$P$68),IFERROR(SUMPRODUCT(($D$5:$D$68=$B88)*T$5:T$68,$P$5:$P$68)/SUM(($D$5:$D$68=$B88)*$P$5:$P$68),SUMPRODUCT(($E$5:$E$68=$B88)*T$5:T$68,$P$5:$P$68)/SUM(($E$5:$E$68=$B88)*$P$5:$P$68))))</f>
        <v>0</v>
      </c>
      <c r="U88" s="24" cm="1">
        <f t="array" ref="U88">IFERROR(SUMPRODUCT(($B$5:$B$68=$B88)*U$5:U$68,$P$5:$P$68)/SUM(($B$5:$B$68=$B88)*$P$5:$P$68),IFERROR(SUMPRODUCT(($C$5:$C$68=$B88)*U$5:U$68,$P$5:$P$68)/SUM(($C$5:$C$68=$B88)*$P$5:$P$68),IFERROR(SUMPRODUCT(($D$5:$D$68=$B88)*U$5:U$68,$P$5:$P$68)/SUM(($D$5:$D$68=$B88)*$P$5:$P$68),SUMPRODUCT(($E$5:$E$68=$B88)*U$5:U$68,$P$5:$P$68)/SUM(($E$5:$E$68=$B88)*$P$5:$P$68))))</f>
        <v>0</v>
      </c>
      <c r="V88" s="24" cm="1">
        <f t="array" ref="V88">IFERROR(SUMPRODUCT(($B$5:$B$68=$B88)*V$5:V$68,$P$5:$P$68)/SUM(($B$5:$B$68=$B88)*$P$5:$P$68),IFERROR(SUMPRODUCT(($C$5:$C$68=$B88)*V$5:V$68,$P$5:$P$68)/SUM(($C$5:$C$68=$B88)*$P$5:$P$68),IFERROR(SUMPRODUCT(($D$5:$D$68=$B88)*V$5:V$68,$P$5:$P$68)/SUM(($D$5:$D$68=$B88)*$P$5:$P$68),SUMPRODUCT(($E$5:$E$68=$B88)*V$5:V$68,$P$5:$P$68)/SUM(($E$5:$E$68=$B88)*$P$5:$P$68))))</f>
        <v>1.9491049957991424</v>
      </c>
      <c r="W88" s="24" cm="1">
        <f t="array" ref="W88">IFERROR(SUMPRODUCT(($B$5:$B$68=$B88)*W$5:W$68,$P$5:$P$68)/SUM(($B$5:$B$68=$B88)*$P$5:$P$68),IFERROR(SUMPRODUCT(($C$5:$C$68=$B88)*W$5:W$68,$P$5:$P$68)/SUM(($C$5:$C$68=$B88)*$P$5:$P$68),IFERROR(SUMPRODUCT(($D$5:$D$68=$B88)*W$5:W$68,$P$5:$P$68)/SUM(($D$5:$D$68=$B88)*$P$5:$P$68),SUMPRODUCT(($E$5:$E$68=$B88)*W$5:W$68,$P$5:$P$68)/SUM(($E$5:$E$68=$B88)*$P$5:$P$68))))</f>
        <v>4.8960000000000008</v>
      </c>
      <c r="X88" s="24" cm="1">
        <f t="array" ref="X88">IFERROR(SUMPRODUCT(($B$5:$B$68=$B88)*X$5:X$68,$P$5:$P$68)/SUM(($B$5:$B$68=$B88)*$P$5:$P$68),IFERROR(SUMPRODUCT(($C$5:$C$68=$B88)*X$5:X$68,$P$5:$P$68)/SUM(($C$5:$C$68=$B88)*$P$5:$P$68),IFERROR(SUMPRODUCT(($D$5:$D$68=$B88)*X$5:X$68,$P$5:$P$68)/SUM(($D$5:$D$68=$B88)*$P$5:$P$68),SUMPRODUCT(($E$5:$E$68=$B88)*X$5:X$68,$P$5:$P$68)/SUM(($E$5:$E$68=$B88)*$P$5:$P$68))))</f>
        <v>0</v>
      </c>
      <c r="AC88" s="37"/>
      <c r="AD88" s="24" cm="1">
        <f t="array" ref="AD88">IFERROR(SUMPRODUCT(($B$5:$B$68=$B88)*AD$5:AD$68,$P$5:$P$68)/SUM(($B$5:$B$68=$B88)*$P$5:$P$68),IFERROR(SUMPRODUCT(($C$5:$C$68=$B88)*AD$5:AD$68,$P$5:$P$68)/SUM(($C$5:$C$68=$B88)*$P$5:$P$68),IFERROR(SUMPRODUCT(($D$5:$D$68=$B88)*AD$5:AD$68,$P$5:$P$68)/SUM(($D$5:$D$68=$B88)*$P$5:$P$68),SUMPRODUCT(($E$5:$E$68=$B88)*AD$5:AD$68,$P$5:$P$68)/SUM(($E$5:$E$68=$B88)*$P$5:$P$68))))</f>
        <v>0.79800000000000004</v>
      </c>
      <c r="AE88" s="24" cm="1">
        <f t="array" ref="AE88">IFERROR(SUMPRODUCT(($B$5:$B$68=$B88)*AE$5:AE$68,$P$5:$P$68)/SUM(($B$5:$B$68=$B88)*$P$5:$P$68),IFERROR(SUMPRODUCT(($C$5:$C$68=$B88)*AE$5:AE$68,$P$5:$P$68)/SUM(($C$5:$C$68=$B88)*$P$5:$P$68),IFERROR(SUMPRODUCT(($D$5:$D$68=$B88)*AE$5:AE$68,$P$5:$P$68)/SUM(($D$5:$D$68=$B88)*$P$5:$P$68),SUMPRODUCT(($E$5:$E$68=$B88)*AE$5:AE$68,$P$5:$P$68)/SUM(($E$5:$E$68=$B88)*$P$5:$P$68))))</f>
        <v>0.92099999999999993</v>
      </c>
      <c r="AF88" s="37"/>
      <c r="AG88" s="24" cm="1">
        <f t="array" ref="AG88">IFERROR(SUMPRODUCT(($B$5:$B$68=$B88)*AG$5:AG$68,$P$5:$P$68)/SUM(($B$5:$B$68=$B88)*$P$5:$P$68),IFERROR(SUMPRODUCT(($C$5:$C$68=$B88)*AG$5:AG$68,$P$5:$P$68)/SUM(($C$5:$C$68=$B88)*$P$5:$P$68),IFERROR(SUMPRODUCT(($D$5:$D$68=$B88)*AG$5:AG$68,$P$5:$P$68)/SUM(($D$5:$D$68=$B88)*$P$5:$P$68),SUMPRODUCT(($E$5:$E$68=$B88)*AG$5:AG$68,$P$5:$P$68)/SUM(($E$5:$E$68=$B88)*$P$5:$P$68))))</f>
        <v>1.2809090316655365</v>
      </c>
      <c r="AH88" s="24" cm="1">
        <f t="array" ref="AH88">IFERROR(SUMPRODUCT(($B$5:$B$68=$B88)*AH$5:AH$68,$P$5:$P$68)/SUM(($B$5:$B$68=$B88)*$P$5:$P$68),IFERROR(SUMPRODUCT(($C$5:$C$68=$B88)*AH$5:AH$68,$P$5:$P$68)/SUM(($C$5:$C$68=$B88)*$P$5:$P$68),IFERROR(SUMPRODUCT(($D$5:$D$68=$B88)*AH$5:AH$68,$P$5:$P$68)/SUM(($D$5:$D$68=$B88)*$P$5:$P$68),SUMPRODUCT(($E$5:$E$68=$B88)*AH$5:AH$68,$P$5:$P$68)/SUM(($E$5:$E$68=$B88)*$P$5:$P$68))))</f>
        <v>4.1862577628706559</v>
      </c>
    </row>
    <row r="89" spans="1:34" x14ac:dyDescent="0.15">
      <c r="A89" s="5" t="s">
        <v>405</v>
      </c>
      <c r="B89" s="6" t="s">
        <v>475</v>
      </c>
      <c r="G89" s="24" cm="1">
        <f t="array" ref="G89">IFERROR(SUMPRODUCT(($B$5:$B$68=$B89)*G$5:G$68,$H$5:$H$68)/SUM(($B$5:$B$68=$B89)*$H$5:$H$68),IFERROR(SUMPRODUCT(($C$5:$C$68=$B89)*G$5:G$68,$H$5:$H$68)/SUM(($C$5:$C$68=$B89)*$H$5:$H$68),IFERROR(SUMPRODUCT(($D$5:$D$68=$B89)*G$5:G$68,$H$5:$H$68)/SUM(($D$5:$D$68=$B89)*$H$5:$H$68),SUMPRODUCT(($E$5:$E$68=$B89)*G$5:G$68,$H$5:$H$68)/SUM(($E$5:$E$68=$B89)*$H$5:$H$68))))</f>
        <v>0.19771476467585747</v>
      </c>
      <c r="J89" s="24" cm="1">
        <f t="array" ref="J89">IFERROR(SUMPRODUCT(($B$5:$B$68=$B89)*J$5:J$68,$K$5:$K$68)/SUM(($B$5:$B$68=$B89)*$K$5:$K$68),IFERROR(SUMPRODUCT(($C$5:$C$68=$B89)*J$5:J$68,$K$5:$K$68)/SUM(($C$5:$C$68=$B89)*$K$5:$K$68),IFERROR(SUMPRODUCT(($D$5:$D$68=$B89)*J$5:J$68,$K$5:$K$68)/SUM(($D$5:$D$68=$B89)*$K$5:$K$68),SUMPRODUCT(($E$5:$E$68=$B89)*J$5:J$68,$K$5:$K$68)/SUM(($E$5:$E$68=$B89)*$K$5:$K$68))))</f>
        <v>0.20319123541476034</v>
      </c>
      <c r="P89" s="27"/>
      <c r="Q89" s="37">
        <f t="shared" si="15"/>
        <v>40.955553083970223</v>
      </c>
      <c r="R89" s="24" cm="1">
        <f t="array" ref="R89">IFERROR(SUMPRODUCT(($B$5:$B$68=$B89)*R$5:R$68,$P$5:$P$68)/SUM(($B$5:$B$68=$B89)*$P$5:$P$68),IFERROR(SUMPRODUCT(($C$5:$C$68=$B89)*R$5:R$68,$P$5:$P$68)/SUM(($C$5:$C$68=$B89)*$P$5:$P$68),IFERROR(SUMPRODUCT(($D$5:$D$68=$B89)*R$5:R$68,$P$5:$P$68)/SUM(($D$5:$D$68=$B89)*$P$5:$P$68),SUMPRODUCT(($E$5:$E$68=$B89)*R$5:R$68,$P$5:$P$68)/SUM(($E$5:$E$68=$B89)*$P$5:$P$68))))</f>
        <v>4.9612621516345303</v>
      </c>
      <c r="S89" s="24" cm="1">
        <f t="array" ref="S89">IFERROR(SUMPRODUCT(($B$5:$B$68=$B89)*S$5:S$68,$P$5:$P$68)/SUM(($B$5:$B$68=$B89)*$P$5:$P$68),IFERROR(SUMPRODUCT(($C$5:$C$68=$B89)*S$5:S$68,$P$5:$P$68)/SUM(($C$5:$C$68=$B89)*$P$5:$P$68),IFERROR(SUMPRODUCT(($D$5:$D$68=$B89)*S$5:S$68,$P$5:$P$68)/SUM(($D$5:$D$68=$B89)*$P$5:$P$68),SUMPRODUCT(($E$5:$E$68=$B89)*S$5:S$68,$P$5:$P$68)/SUM(($E$5:$E$68=$B89)*$P$5:$P$68))))</f>
        <v>0</v>
      </c>
      <c r="T89" s="24" cm="1">
        <f t="array" ref="T89">IFERROR(SUMPRODUCT(($B$5:$B$68=$B89)*T$5:T$68,$P$5:$P$68)/SUM(($B$5:$B$68=$B89)*$P$5:$P$68),IFERROR(SUMPRODUCT(($C$5:$C$68=$B89)*T$5:T$68,$P$5:$P$68)/SUM(($C$5:$C$68=$B89)*$P$5:$P$68),IFERROR(SUMPRODUCT(($D$5:$D$68=$B89)*T$5:T$68,$P$5:$P$68)/SUM(($D$5:$D$68=$B89)*$P$5:$P$68),SUMPRODUCT(($E$5:$E$68=$B89)*T$5:T$68,$P$5:$P$68)/SUM(($E$5:$E$68=$B89)*$P$5:$P$68))))</f>
        <v>0</v>
      </c>
      <c r="U89" s="24" cm="1">
        <f t="array" ref="U89">IFERROR(SUMPRODUCT(($B$5:$B$68=$B89)*U$5:U$68,$P$5:$P$68)/SUM(($B$5:$B$68=$B89)*$P$5:$P$68),IFERROR(SUMPRODUCT(($C$5:$C$68=$B89)*U$5:U$68,$P$5:$P$68)/SUM(($C$5:$C$68=$B89)*$P$5:$P$68),IFERROR(SUMPRODUCT(($D$5:$D$68=$B89)*U$5:U$68,$P$5:$P$68)/SUM(($D$5:$D$68=$B89)*$P$5:$P$68),SUMPRODUCT(($E$5:$E$68=$B89)*U$5:U$68,$P$5:$P$68)/SUM(($E$5:$E$68=$B89)*$P$5:$P$68))))</f>
        <v>0</v>
      </c>
      <c r="V89" s="24" cm="1">
        <f t="array" ref="V89">IFERROR(SUMPRODUCT(($B$5:$B$68=$B89)*V$5:V$68,$P$5:$P$68)/SUM(($B$5:$B$68=$B89)*$P$5:$P$68),IFERROR(SUMPRODUCT(($C$5:$C$68=$B89)*V$5:V$68,$P$5:$P$68)/SUM(($C$5:$C$68=$B89)*$P$5:$P$68),IFERROR(SUMPRODUCT(($D$5:$D$68=$B89)*V$5:V$68,$P$5:$P$68)/SUM(($D$5:$D$68=$B89)*$P$5:$P$68),SUMPRODUCT(($E$5:$E$68=$B89)*V$5:V$68,$P$5:$P$68)/SUM(($E$5:$E$68=$B89)*$P$5:$P$68))))</f>
        <v>3.9729770165697484</v>
      </c>
      <c r="W89" s="24" cm="1">
        <f t="array" ref="W89">IFERROR(SUMPRODUCT(($B$5:$B$68=$B89)*W$5:W$68,$P$5:$P$68)/SUM(($B$5:$B$68=$B89)*$P$5:$P$68),IFERROR(SUMPRODUCT(($C$5:$C$68=$B89)*W$5:W$68,$P$5:$P$68)/SUM(($C$5:$C$68=$B89)*$P$5:$P$68),IFERROR(SUMPRODUCT(($D$5:$D$68=$B89)*W$5:W$68,$P$5:$P$68)/SUM(($D$5:$D$68=$B89)*$P$5:$P$68),SUMPRODUCT(($E$5:$E$68=$B89)*W$5:W$68,$P$5:$P$68)/SUM(($E$5:$E$68=$B89)*$P$5:$P$68))))</f>
        <v>4.9551548315330782</v>
      </c>
      <c r="X89" s="24" cm="1">
        <f t="array" ref="X89">IFERROR(SUMPRODUCT(($B$5:$B$68=$B89)*X$5:X$68,$P$5:$P$68)/SUM(($B$5:$B$68=$B89)*$P$5:$P$68),IFERROR(SUMPRODUCT(($C$5:$C$68=$B89)*X$5:X$68,$P$5:$P$68)/SUM(($C$5:$C$68=$B89)*$P$5:$P$68),IFERROR(SUMPRODUCT(($D$5:$D$68=$B89)*X$5:X$68,$P$5:$P$68)/SUM(($D$5:$D$68=$B89)*$P$5:$P$68),SUMPRODUCT(($E$5:$E$68=$B89)*X$5:X$68,$P$5:$P$68)/SUM(($E$5:$E$68=$B89)*$P$5:$P$68))))</f>
        <v>0</v>
      </c>
      <c r="AC89" s="37"/>
      <c r="AD89" s="24" cm="1">
        <f t="array" ref="AD89">IFERROR(SUMPRODUCT(($B$5:$B$68=$B89)*AD$5:AD$68,$P$5:$P$68)/SUM(($B$5:$B$68=$B89)*$P$5:$P$68),IFERROR(SUMPRODUCT(($C$5:$C$68=$B89)*AD$5:AD$68,$P$5:$P$68)/SUM(($C$5:$C$68=$B89)*$P$5:$P$68),IFERROR(SUMPRODUCT(($D$5:$D$68=$B89)*AD$5:AD$68,$P$5:$P$68)/SUM(($D$5:$D$68=$B89)*$P$5:$P$68),SUMPRODUCT(($E$5:$E$68=$B89)*AD$5:AD$68,$P$5:$P$68)/SUM(($E$5:$E$68=$B89)*$P$5:$P$68))))</f>
        <v>0.79800000000000004</v>
      </c>
      <c r="AE89" s="24" cm="1">
        <f t="array" ref="AE89">IFERROR(SUMPRODUCT(($B$5:$B$68=$B89)*AE$5:AE$68,$P$5:$P$68)/SUM(($B$5:$B$68=$B89)*$P$5:$P$68),IFERROR(SUMPRODUCT(($C$5:$C$68=$B89)*AE$5:AE$68,$P$5:$P$68)/SUM(($C$5:$C$68=$B89)*$P$5:$P$68),IFERROR(SUMPRODUCT(($D$5:$D$68=$B89)*AE$5:AE$68,$P$5:$P$68)/SUM(($D$5:$D$68=$B89)*$P$5:$P$68),SUMPRODUCT(($E$5:$E$68=$B89)*AE$5:AE$68,$P$5:$P$68)/SUM(($E$5:$E$68=$B89)*$P$5:$P$68))))</f>
        <v>0.92099999999999993</v>
      </c>
      <c r="AF89" s="37"/>
      <c r="AG89" s="24" cm="1">
        <f t="array" ref="AG89">IFERROR(SUMPRODUCT(($B$5:$B$68=$B89)*AG$5:AG$68,$P$5:$P$68)/SUM(($B$5:$B$68=$B89)*$P$5:$P$68),IFERROR(SUMPRODUCT(($C$5:$C$68=$B89)*AG$5:AG$68,$P$5:$P$68)/SUM(($C$5:$C$68=$B89)*$P$5:$P$68),IFERROR(SUMPRODUCT(($D$5:$D$68=$B89)*AG$5:AG$68,$P$5:$P$68)/SUM(($D$5:$D$68=$B89)*$P$5:$P$68),SUMPRODUCT(($E$5:$E$68=$B89)*AG$5:AG$68,$P$5:$P$68)/SUM(($E$5:$E$68=$B89)*$P$5:$P$68))))</f>
        <v>1.2809090316655369</v>
      </c>
      <c r="AH89" s="24" cm="1">
        <f t="array" ref="AH89">IFERROR(SUMPRODUCT(($B$5:$B$68=$B89)*AH$5:AH$68,$P$5:$P$68)/SUM(($B$5:$B$68=$B89)*$P$5:$P$68),IFERROR(SUMPRODUCT(($C$5:$C$68=$B89)*AH$5:AH$68,$P$5:$P$68)/SUM(($C$5:$C$68=$B89)*$P$5:$P$68),IFERROR(SUMPRODUCT(($D$5:$D$68=$B89)*AH$5:AH$68,$P$5:$P$68)/SUM(($D$5:$D$68=$B89)*$P$5:$P$68),SUMPRODUCT(($E$5:$E$68=$B89)*AH$5:AH$68,$P$5:$P$68)/SUM(($E$5:$E$68=$B89)*$P$5:$P$68))))</f>
        <v>4.1862577628706559</v>
      </c>
    </row>
    <row r="90" spans="1:34" x14ac:dyDescent="0.15">
      <c r="P90" s="27"/>
    </row>
    <row r="91" spans="1:34" x14ac:dyDescent="0.15">
      <c r="P91" s="27"/>
    </row>
    <row r="92" spans="1:34" x14ac:dyDescent="0.15">
      <c r="P92" s="27"/>
    </row>
  </sheetData>
  <conditionalFormatting sqref="M2:M69">
    <cfRule type="cellIs" dxfId="1" priority="1" operator="equal">
      <formula>"Check"</formula>
    </cfRule>
    <cfRule type="cellIs" dxfId="0" priority="2" operator="equal">
      <formula>"Confirmed"</formula>
    </cfRule>
  </conditionalFormatting>
  <hyperlinks>
    <hyperlink ref="Q25" r:id="rId1" xr:uid="{BDA5FADF-839C-4DE7-82CE-86E6A836DDC0}"/>
    <hyperlink ref="Q24" r:id="rId2" xr:uid="{04FFADA7-4EBD-425B-844D-D2078A4361DF}"/>
  </hyperlinks>
  <pageMargins left="0.7" right="0.7" top="0.75" bottom="0.75" header="0.3" footer="0.3"/>
  <pageSetup paperSize="9" orientation="portrait" verticalDpi="0"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 Interface</vt:lpstr>
      <vt:lpstr>Sheet1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Rumpelnik</dc:creator>
  <cp:lastModifiedBy>Christian Rumpelnik</cp:lastModifiedBy>
  <dcterms:created xsi:type="dcterms:W3CDTF">2024-10-17T16:06:59Z</dcterms:created>
  <dcterms:modified xsi:type="dcterms:W3CDTF">2026-03-24T19:44:31Z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303d7c-e5a3-4cc8-90eb-69bfd7570ac4_Enabled">
    <vt:lpwstr>true</vt:lpwstr>
  </property>
  <property fmtid="{D5CDD505-2E9C-101B-9397-08002B2CF9AE}" pid="3" name="MSIP_Label_83303d7c-e5a3-4cc8-90eb-69bfd7570ac4_SetDate">
    <vt:lpwstr>2026-01-23T11:52:13Z</vt:lpwstr>
  </property>
  <property fmtid="{D5CDD505-2E9C-101B-9397-08002B2CF9AE}" pid="4" name="MSIP_Label_83303d7c-e5a3-4cc8-90eb-69bfd7570ac4_Method">
    <vt:lpwstr>Standard</vt:lpwstr>
  </property>
  <property fmtid="{D5CDD505-2E9C-101B-9397-08002B2CF9AE}" pid="5" name="MSIP_Label_83303d7c-e5a3-4cc8-90eb-69bfd7570ac4_Name">
    <vt:lpwstr>Client Confidential Information-SLV1</vt:lpwstr>
  </property>
  <property fmtid="{D5CDD505-2E9C-101B-9397-08002B2CF9AE}" pid="6" name="MSIP_Label_83303d7c-e5a3-4cc8-90eb-69bfd7570ac4_SiteId">
    <vt:lpwstr>cc8936bc-9382-4fff-87cb-6f55999549e7</vt:lpwstr>
  </property>
  <property fmtid="{D5CDD505-2E9C-101B-9397-08002B2CF9AE}" pid="7" name="MSIP_Label_83303d7c-e5a3-4cc8-90eb-69bfd7570ac4_ActionId">
    <vt:lpwstr>62ee8f2d-1fc3-4426-8af9-8f9806c8e6df</vt:lpwstr>
  </property>
  <property fmtid="{D5CDD505-2E9C-101B-9397-08002B2CF9AE}" pid="8" name="MSIP_Label_83303d7c-e5a3-4cc8-90eb-69bfd7570ac4_ContentBits">
    <vt:lpwstr>0</vt:lpwstr>
  </property>
  <property fmtid="{D5CDD505-2E9C-101B-9397-08002B2CF9AE}" pid="9" name="MSIP_Label_83303d7c-e5a3-4cc8-90eb-69bfd7570ac4_Tag">
    <vt:lpwstr>50, 3, 0, 1</vt:lpwstr>
  </property>
</Properties>
</file>