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Christian_Rumpelnik/Downloads/"/>
    </mc:Choice>
  </mc:AlternateContent>
  <xr:revisionPtr revIDLastSave="0" documentId="13_ncr:1_{017A4C5E-A534-6D4E-A150-20C9397D103D}" xr6:coauthVersionLast="47" xr6:coauthVersionMax="47" xr10:uidLastSave="{00000000-0000-0000-0000-000000000000}"/>
  <bookViews>
    <workbookView xWindow="-20" yWindow="780" windowWidth="34200" windowHeight="19620" xr2:uid="{80274444-1358-441C-A51D-5CE23B793438}"/>
  </bookViews>
  <sheets>
    <sheet name="Data sources" sheetId="4" r:id="rId1"/>
    <sheet name="Allocation" sheetId="1" r:id="rId2"/>
  </sheets>
  <definedNames>
    <definedName name="_xlnm._FilterDatabase" localSheetId="1" hidden="1">Allocation!$A$1:$L$492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92" i="1" l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N491" i="1"/>
  <c r="M491" i="1"/>
  <c r="N490" i="1"/>
  <c r="M490" i="1"/>
  <c r="N489" i="1"/>
  <c r="M489" i="1"/>
  <c r="N488" i="1"/>
  <c r="M488" i="1"/>
  <c r="N487" i="1"/>
  <c r="M487" i="1"/>
  <c r="N485" i="1"/>
  <c r="M485" i="1"/>
  <c r="N484" i="1"/>
  <c r="M484" i="1"/>
  <c r="N483" i="1"/>
  <c r="M483" i="1"/>
  <c r="N482" i="1"/>
  <c r="M482" i="1"/>
  <c r="N481" i="1"/>
  <c r="M481" i="1"/>
  <c r="N476" i="1"/>
  <c r="M476" i="1"/>
  <c r="N473" i="1"/>
  <c r="M473" i="1"/>
  <c r="N471" i="1"/>
  <c r="M471" i="1"/>
  <c r="N467" i="1"/>
  <c r="M467" i="1"/>
  <c r="N466" i="1"/>
  <c r="M466" i="1"/>
  <c r="N465" i="1"/>
  <c r="M465" i="1"/>
  <c r="N464" i="1"/>
  <c r="M464" i="1"/>
  <c r="N463" i="1"/>
  <c r="M463" i="1"/>
  <c r="N459" i="1"/>
  <c r="M459" i="1"/>
  <c r="N452" i="1"/>
  <c r="M452" i="1"/>
  <c r="N451" i="1"/>
  <c r="M451" i="1"/>
  <c r="N450" i="1"/>
  <c r="M450" i="1"/>
  <c r="N449" i="1"/>
  <c r="M449" i="1"/>
  <c r="N448" i="1"/>
  <c r="M448" i="1"/>
  <c r="N444" i="1"/>
  <c r="M444" i="1"/>
  <c r="N442" i="1"/>
  <c r="M442" i="1"/>
  <c r="N441" i="1"/>
  <c r="M441" i="1"/>
  <c r="N437" i="1"/>
  <c r="M437" i="1"/>
  <c r="N436" i="1"/>
  <c r="M436" i="1"/>
  <c r="N431" i="1"/>
  <c r="M431" i="1"/>
  <c r="N427" i="1"/>
  <c r="M427" i="1"/>
  <c r="N426" i="1"/>
  <c r="M426" i="1"/>
  <c r="N425" i="1"/>
  <c r="M425" i="1"/>
  <c r="N424" i="1"/>
  <c r="M424" i="1"/>
  <c r="N420" i="1"/>
  <c r="M420" i="1"/>
  <c r="N419" i="1"/>
  <c r="M419" i="1"/>
  <c r="N418" i="1"/>
  <c r="M418" i="1"/>
  <c r="N416" i="1"/>
  <c r="M416" i="1"/>
  <c r="N415" i="1"/>
  <c r="M415" i="1"/>
  <c r="N414" i="1"/>
  <c r="M414" i="1"/>
  <c r="N412" i="1"/>
  <c r="M412" i="1"/>
  <c r="N411" i="1"/>
  <c r="M411" i="1"/>
  <c r="N410" i="1"/>
  <c r="M410" i="1"/>
  <c r="N409" i="1"/>
  <c r="M409" i="1"/>
  <c r="N403" i="1"/>
  <c r="M403" i="1"/>
  <c r="N397" i="1"/>
  <c r="M397" i="1"/>
  <c r="N396" i="1"/>
  <c r="M396" i="1"/>
  <c r="N395" i="1"/>
  <c r="M395" i="1"/>
  <c r="N389" i="1"/>
  <c r="M389" i="1"/>
  <c r="N388" i="1"/>
  <c r="M388" i="1"/>
  <c r="N387" i="1"/>
  <c r="M387" i="1"/>
  <c r="N386" i="1"/>
  <c r="M386" i="1"/>
  <c r="N384" i="1"/>
  <c r="M384" i="1"/>
  <c r="N382" i="1"/>
  <c r="M382" i="1"/>
  <c r="N381" i="1"/>
  <c r="M381" i="1"/>
  <c r="N380" i="1"/>
  <c r="M380" i="1"/>
  <c r="N369" i="1"/>
  <c r="M369" i="1"/>
  <c r="N368" i="1"/>
  <c r="M368" i="1"/>
  <c r="N367" i="1"/>
  <c r="M367" i="1"/>
  <c r="N366" i="1"/>
  <c r="M366" i="1"/>
  <c r="N365" i="1"/>
  <c r="M365" i="1"/>
  <c r="N364" i="1"/>
  <c r="M364" i="1"/>
  <c r="N363" i="1"/>
  <c r="M363" i="1"/>
  <c r="N362" i="1"/>
  <c r="M362" i="1"/>
  <c r="N361" i="1"/>
  <c r="M361" i="1"/>
  <c r="N360" i="1"/>
  <c r="M360" i="1"/>
  <c r="N359" i="1"/>
  <c r="M359" i="1"/>
  <c r="N358" i="1"/>
  <c r="M358" i="1"/>
  <c r="N356" i="1"/>
  <c r="M356" i="1"/>
  <c r="N352" i="1"/>
  <c r="M352" i="1"/>
  <c r="N351" i="1"/>
  <c r="M351" i="1"/>
  <c r="N350" i="1"/>
  <c r="M350" i="1"/>
  <c r="N349" i="1"/>
  <c r="M349" i="1"/>
  <c r="N348" i="1"/>
  <c r="M348" i="1"/>
  <c r="N347" i="1"/>
  <c r="M347" i="1"/>
  <c r="N344" i="1"/>
  <c r="M344" i="1"/>
  <c r="N338" i="1"/>
  <c r="M338" i="1"/>
  <c r="N337" i="1"/>
  <c r="M337" i="1"/>
  <c r="N327" i="1"/>
  <c r="M327" i="1"/>
  <c r="N326" i="1"/>
  <c r="M326" i="1"/>
  <c r="N325" i="1"/>
  <c r="M325" i="1"/>
  <c r="N324" i="1"/>
  <c r="M324" i="1"/>
  <c r="N322" i="1"/>
  <c r="M322" i="1"/>
  <c r="N312" i="1"/>
  <c r="M312" i="1"/>
  <c r="N310" i="1"/>
  <c r="M310" i="1"/>
  <c r="N307" i="1"/>
  <c r="M307" i="1"/>
  <c r="N303" i="1"/>
  <c r="M303" i="1"/>
  <c r="N295" i="1"/>
  <c r="M295" i="1"/>
  <c r="N294" i="1"/>
  <c r="M294" i="1"/>
  <c r="N292" i="1"/>
  <c r="M292" i="1"/>
  <c r="N281" i="1"/>
  <c r="M281" i="1"/>
  <c r="N280" i="1"/>
  <c r="M280" i="1"/>
  <c r="N278" i="1"/>
  <c r="M278" i="1"/>
  <c r="N272" i="1"/>
  <c r="M272" i="1"/>
  <c r="N271" i="1"/>
  <c r="M271" i="1"/>
  <c r="N270" i="1"/>
  <c r="M270" i="1"/>
  <c r="N269" i="1"/>
  <c r="M269" i="1"/>
  <c r="N268" i="1"/>
  <c r="M268" i="1"/>
  <c r="N267" i="1"/>
  <c r="M267" i="1"/>
  <c r="N266" i="1"/>
  <c r="M266" i="1"/>
  <c r="N265" i="1"/>
  <c r="M265" i="1"/>
  <c r="N264" i="1"/>
  <c r="M264" i="1"/>
  <c r="N263" i="1"/>
  <c r="M263" i="1"/>
  <c r="N262" i="1"/>
  <c r="M262" i="1"/>
  <c r="N261" i="1"/>
  <c r="M261" i="1"/>
  <c r="N257" i="1"/>
  <c r="M257" i="1"/>
  <c r="N256" i="1"/>
  <c r="M256" i="1"/>
  <c r="N255" i="1"/>
  <c r="M255" i="1"/>
  <c r="N254" i="1"/>
  <c r="M254" i="1"/>
  <c r="N253" i="1"/>
  <c r="M253" i="1"/>
  <c r="N252" i="1"/>
  <c r="M252" i="1"/>
  <c r="N251" i="1"/>
  <c r="M251" i="1"/>
  <c r="N250" i="1"/>
  <c r="M250" i="1"/>
  <c r="N249" i="1"/>
  <c r="M249" i="1"/>
  <c r="N248" i="1"/>
  <c r="M248" i="1"/>
  <c r="N247" i="1"/>
  <c r="M247" i="1"/>
  <c r="N246" i="1"/>
  <c r="M246" i="1"/>
  <c r="N245" i="1"/>
  <c r="M245" i="1"/>
  <c r="N244" i="1"/>
  <c r="M244" i="1"/>
  <c r="N243" i="1"/>
  <c r="M243" i="1"/>
  <c r="N242" i="1"/>
  <c r="M242" i="1"/>
  <c r="N241" i="1"/>
  <c r="M241" i="1"/>
  <c r="N240" i="1"/>
  <c r="M240" i="1"/>
  <c r="N239" i="1"/>
  <c r="M239" i="1"/>
  <c r="N238" i="1"/>
  <c r="M238" i="1"/>
  <c r="N237" i="1"/>
  <c r="M237" i="1"/>
  <c r="N236" i="1"/>
  <c r="M236" i="1"/>
  <c r="N235" i="1"/>
  <c r="M235" i="1"/>
  <c r="N234" i="1"/>
  <c r="M234" i="1"/>
  <c r="N233" i="1"/>
  <c r="M233" i="1"/>
  <c r="N232" i="1"/>
  <c r="M232" i="1"/>
  <c r="N231" i="1"/>
  <c r="M231" i="1"/>
  <c r="N230" i="1"/>
  <c r="M230" i="1"/>
  <c r="N229" i="1"/>
  <c r="M229" i="1"/>
  <c r="N228" i="1"/>
  <c r="M228" i="1"/>
  <c r="N227" i="1"/>
  <c r="M227" i="1"/>
  <c r="N226" i="1"/>
  <c r="M226" i="1"/>
  <c r="N225" i="1"/>
  <c r="M225" i="1"/>
  <c r="N224" i="1"/>
  <c r="M224" i="1"/>
  <c r="N223" i="1"/>
  <c r="M223" i="1"/>
  <c r="N222" i="1"/>
  <c r="M222" i="1"/>
  <c r="N221" i="1"/>
  <c r="M221" i="1"/>
  <c r="N220" i="1"/>
  <c r="M220" i="1"/>
  <c r="N219" i="1"/>
  <c r="M219" i="1"/>
  <c r="N218" i="1"/>
  <c r="M218" i="1"/>
  <c r="N217" i="1"/>
  <c r="M217" i="1"/>
  <c r="N216" i="1"/>
  <c r="M216" i="1"/>
  <c r="N215" i="1"/>
  <c r="M215" i="1"/>
  <c r="N214" i="1"/>
  <c r="M214" i="1"/>
  <c r="N213" i="1"/>
  <c r="M213" i="1"/>
  <c r="N212" i="1"/>
  <c r="M212" i="1"/>
  <c r="N211" i="1"/>
  <c r="M211" i="1"/>
  <c r="N210" i="1"/>
  <c r="M210" i="1"/>
  <c r="N209" i="1"/>
  <c r="M209" i="1"/>
  <c r="N208" i="1"/>
  <c r="M208" i="1"/>
  <c r="N207" i="1"/>
  <c r="M207" i="1"/>
  <c r="N206" i="1"/>
  <c r="M206" i="1"/>
  <c r="N205" i="1"/>
  <c r="M205" i="1"/>
  <c r="N204" i="1"/>
  <c r="M204" i="1"/>
  <c r="N203" i="1"/>
  <c r="M203" i="1"/>
  <c r="N202" i="1"/>
  <c r="M202" i="1"/>
  <c r="N201" i="1"/>
  <c r="M201" i="1"/>
  <c r="N200" i="1"/>
  <c r="M200" i="1"/>
  <c r="N199" i="1"/>
  <c r="M199" i="1"/>
  <c r="N198" i="1"/>
  <c r="M198" i="1"/>
  <c r="N197" i="1"/>
  <c r="M197" i="1"/>
  <c r="N196" i="1"/>
  <c r="M196" i="1"/>
  <c r="N195" i="1"/>
  <c r="M195" i="1"/>
  <c r="N194" i="1"/>
  <c r="M194" i="1"/>
  <c r="N193" i="1"/>
  <c r="M193" i="1"/>
  <c r="N192" i="1"/>
  <c r="M192" i="1"/>
  <c r="N191" i="1"/>
  <c r="M191" i="1"/>
  <c r="N190" i="1"/>
  <c r="M190" i="1"/>
  <c r="N189" i="1"/>
  <c r="M189" i="1"/>
  <c r="N188" i="1"/>
  <c r="M188" i="1"/>
  <c r="N187" i="1"/>
  <c r="M187" i="1"/>
  <c r="N186" i="1"/>
  <c r="M186" i="1"/>
  <c r="N185" i="1"/>
  <c r="M185" i="1"/>
  <c r="N184" i="1"/>
  <c r="M184" i="1"/>
  <c r="N183" i="1"/>
  <c r="M183" i="1"/>
  <c r="N182" i="1"/>
  <c r="M182" i="1"/>
  <c r="N181" i="1"/>
  <c r="M181" i="1"/>
  <c r="N180" i="1"/>
  <c r="M180" i="1"/>
  <c r="N179" i="1"/>
  <c r="M179" i="1"/>
  <c r="N178" i="1"/>
  <c r="M178" i="1"/>
  <c r="N177" i="1"/>
  <c r="M177" i="1"/>
  <c r="N176" i="1"/>
  <c r="M176" i="1"/>
  <c r="N175" i="1"/>
  <c r="M175" i="1"/>
  <c r="N174" i="1"/>
  <c r="M174" i="1"/>
  <c r="N173" i="1"/>
  <c r="M173" i="1"/>
  <c r="N172" i="1"/>
  <c r="M172" i="1"/>
  <c r="N171" i="1"/>
  <c r="M171" i="1"/>
  <c r="N170" i="1"/>
  <c r="M170" i="1"/>
  <c r="N169" i="1"/>
  <c r="M169" i="1"/>
  <c r="N168" i="1"/>
  <c r="M168" i="1"/>
  <c r="N167" i="1"/>
  <c r="M167" i="1"/>
  <c r="N166" i="1"/>
  <c r="M166" i="1"/>
  <c r="N165" i="1"/>
  <c r="M165" i="1"/>
  <c r="N164" i="1"/>
  <c r="M164" i="1"/>
  <c r="N163" i="1"/>
  <c r="M163" i="1"/>
  <c r="N162" i="1"/>
  <c r="M162" i="1"/>
  <c r="N161" i="1"/>
  <c r="M161" i="1"/>
  <c r="N160" i="1"/>
  <c r="M160" i="1"/>
  <c r="N159" i="1"/>
  <c r="M159" i="1"/>
  <c r="N158" i="1"/>
  <c r="M158" i="1"/>
  <c r="N157" i="1"/>
  <c r="M157" i="1"/>
  <c r="N156" i="1"/>
  <c r="M156" i="1"/>
  <c r="N155" i="1"/>
  <c r="M155" i="1"/>
  <c r="N154" i="1"/>
  <c r="M154" i="1"/>
  <c r="N152" i="1"/>
  <c r="M152" i="1"/>
  <c r="N151" i="1"/>
  <c r="M151" i="1"/>
  <c r="N150" i="1"/>
  <c r="M150" i="1"/>
  <c r="N149" i="1"/>
  <c r="M149" i="1"/>
  <c r="N148" i="1"/>
  <c r="M148" i="1"/>
  <c r="N147" i="1"/>
  <c r="M147" i="1"/>
  <c r="N145" i="1"/>
  <c r="M145" i="1"/>
  <c r="N135" i="1"/>
  <c r="M135" i="1"/>
  <c r="N134" i="1"/>
  <c r="M134" i="1"/>
  <c r="N133" i="1"/>
  <c r="M133" i="1"/>
  <c r="N132" i="1"/>
  <c r="M132" i="1"/>
  <c r="N131" i="1"/>
  <c r="M131" i="1"/>
  <c r="N108" i="1"/>
  <c r="M108" i="1"/>
  <c r="N107" i="1"/>
  <c r="M107" i="1"/>
  <c r="N102" i="1"/>
  <c r="M102" i="1"/>
  <c r="N101" i="1"/>
  <c r="M101" i="1"/>
  <c r="N100" i="1"/>
  <c r="M100" i="1"/>
  <c r="N99" i="1"/>
  <c r="M99" i="1"/>
  <c r="N98" i="1"/>
  <c r="M98" i="1"/>
  <c r="N97" i="1"/>
  <c r="M97" i="1"/>
  <c r="N94" i="1"/>
  <c r="M94" i="1"/>
  <c r="N93" i="1"/>
  <c r="M93" i="1"/>
  <c r="N92" i="1"/>
  <c r="M92" i="1"/>
  <c r="N91" i="1"/>
  <c r="M91" i="1"/>
  <c r="N90" i="1"/>
  <c r="M90" i="1"/>
  <c r="N89" i="1"/>
  <c r="M89" i="1"/>
  <c r="N88" i="1"/>
  <c r="M88" i="1"/>
  <c r="N87" i="1"/>
  <c r="M87" i="1"/>
  <c r="N86" i="1"/>
  <c r="M86" i="1"/>
  <c r="N85" i="1"/>
  <c r="M85" i="1"/>
  <c r="N84" i="1"/>
  <c r="M84" i="1"/>
  <c r="N83" i="1"/>
  <c r="M83" i="1"/>
  <c r="N82" i="1"/>
  <c r="M82" i="1"/>
  <c r="N81" i="1"/>
  <c r="M81" i="1"/>
  <c r="N80" i="1"/>
  <c r="M80" i="1"/>
  <c r="N79" i="1"/>
  <c r="M79" i="1"/>
  <c r="N78" i="1"/>
  <c r="M78" i="1"/>
  <c r="N77" i="1"/>
  <c r="M77" i="1"/>
  <c r="N76" i="1"/>
  <c r="M76" i="1"/>
  <c r="N75" i="1"/>
  <c r="M75" i="1"/>
  <c r="N74" i="1"/>
  <c r="M74" i="1"/>
  <c r="N73" i="1"/>
  <c r="M73" i="1"/>
  <c r="N72" i="1"/>
  <c r="M72" i="1"/>
  <c r="N71" i="1"/>
  <c r="M71" i="1"/>
  <c r="N70" i="1"/>
  <c r="M70" i="1"/>
  <c r="N69" i="1"/>
  <c r="M69" i="1"/>
  <c r="N68" i="1"/>
  <c r="M68" i="1"/>
  <c r="N67" i="1"/>
  <c r="M67" i="1"/>
  <c r="N66" i="1"/>
  <c r="M66" i="1"/>
  <c r="N65" i="1"/>
  <c r="M65" i="1"/>
  <c r="N64" i="1"/>
  <c r="M64" i="1"/>
  <c r="N63" i="1"/>
  <c r="M63" i="1"/>
  <c r="N62" i="1"/>
  <c r="M62" i="1"/>
  <c r="N61" i="1"/>
  <c r="M61" i="1"/>
  <c r="N60" i="1"/>
  <c r="M60" i="1"/>
  <c r="N59" i="1"/>
  <c r="M59" i="1"/>
  <c r="N58" i="1"/>
  <c r="M58" i="1"/>
  <c r="N57" i="1"/>
  <c r="M57" i="1"/>
  <c r="N56" i="1"/>
  <c r="M56" i="1"/>
  <c r="N55" i="1"/>
  <c r="M55" i="1"/>
  <c r="N54" i="1"/>
  <c r="M54" i="1"/>
  <c r="N53" i="1"/>
  <c r="M53" i="1"/>
  <c r="N52" i="1"/>
  <c r="M52" i="1"/>
  <c r="N51" i="1"/>
  <c r="M51" i="1"/>
  <c r="N50" i="1"/>
  <c r="M50" i="1"/>
  <c r="N49" i="1"/>
  <c r="M49" i="1"/>
  <c r="N48" i="1"/>
  <c r="M48" i="1"/>
  <c r="N47" i="1"/>
  <c r="M47" i="1"/>
  <c r="N46" i="1"/>
  <c r="M46" i="1"/>
  <c r="N45" i="1"/>
  <c r="M45" i="1"/>
  <c r="N44" i="1"/>
  <c r="M44" i="1"/>
  <c r="N43" i="1"/>
  <c r="M43" i="1"/>
  <c r="N42" i="1"/>
  <c r="M42" i="1"/>
  <c r="N41" i="1"/>
  <c r="M41" i="1"/>
  <c r="N40" i="1"/>
  <c r="M40" i="1"/>
  <c r="N39" i="1"/>
  <c r="M39" i="1"/>
  <c r="N38" i="1"/>
  <c r="M38" i="1"/>
  <c r="N37" i="1"/>
  <c r="M37" i="1"/>
  <c r="N36" i="1"/>
  <c r="M36" i="1"/>
  <c r="N34" i="1"/>
  <c r="M34" i="1"/>
  <c r="N33" i="1"/>
  <c r="M33" i="1"/>
  <c r="N32" i="1"/>
  <c r="M32" i="1"/>
  <c r="N31" i="1"/>
  <c r="M31" i="1"/>
  <c r="N30" i="1"/>
  <c r="M30" i="1"/>
  <c r="N25" i="1"/>
  <c r="M25" i="1"/>
  <c r="N24" i="1"/>
  <c r="M24" i="1"/>
  <c r="N22" i="1"/>
  <c r="M22" i="1"/>
  <c r="N2" i="1"/>
  <c r="M2" i="1"/>
  <c r="N492" i="1"/>
  <c r="M492" i="1"/>
  <c r="K492" i="1"/>
  <c r="J492" i="1"/>
  <c r="K491" i="1"/>
  <c r="J491" i="1"/>
  <c r="K490" i="1"/>
  <c r="J490" i="1"/>
  <c r="K489" i="1"/>
  <c r="J489" i="1"/>
  <c r="K488" i="1"/>
  <c r="J488" i="1"/>
  <c r="K487" i="1"/>
  <c r="J487" i="1"/>
  <c r="K485" i="1"/>
  <c r="J485" i="1"/>
  <c r="K484" i="1"/>
  <c r="J484" i="1"/>
  <c r="K483" i="1"/>
  <c r="J483" i="1"/>
  <c r="K482" i="1"/>
  <c r="J482" i="1"/>
  <c r="K481" i="1"/>
  <c r="J481" i="1"/>
  <c r="K476" i="1"/>
  <c r="J476" i="1"/>
  <c r="K473" i="1"/>
  <c r="J473" i="1"/>
  <c r="K471" i="1"/>
  <c r="J471" i="1"/>
  <c r="K467" i="1"/>
  <c r="J467" i="1"/>
  <c r="K466" i="1"/>
  <c r="J466" i="1"/>
  <c r="K465" i="1"/>
  <c r="J465" i="1"/>
  <c r="K464" i="1"/>
  <c r="J464" i="1"/>
  <c r="K463" i="1"/>
  <c r="J463" i="1"/>
  <c r="K459" i="1"/>
  <c r="J459" i="1"/>
  <c r="K452" i="1"/>
  <c r="J452" i="1"/>
  <c r="K451" i="1"/>
  <c r="J451" i="1"/>
  <c r="K450" i="1"/>
  <c r="J450" i="1"/>
  <c r="K449" i="1"/>
  <c r="J449" i="1"/>
  <c r="K448" i="1"/>
  <c r="J448" i="1"/>
  <c r="K444" i="1"/>
  <c r="J444" i="1"/>
  <c r="K442" i="1"/>
  <c r="J442" i="1"/>
  <c r="K441" i="1"/>
  <c r="J441" i="1"/>
  <c r="K437" i="1"/>
  <c r="J437" i="1"/>
  <c r="K436" i="1"/>
  <c r="J436" i="1"/>
  <c r="K431" i="1"/>
  <c r="J431" i="1"/>
  <c r="K427" i="1"/>
  <c r="J427" i="1"/>
  <c r="K426" i="1"/>
  <c r="J426" i="1"/>
  <c r="K425" i="1"/>
  <c r="J425" i="1"/>
  <c r="K424" i="1"/>
  <c r="J424" i="1"/>
  <c r="K420" i="1"/>
  <c r="J420" i="1"/>
  <c r="K419" i="1"/>
  <c r="J419" i="1"/>
  <c r="K418" i="1"/>
  <c r="J418" i="1"/>
  <c r="K416" i="1"/>
  <c r="J416" i="1"/>
  <c r="K415" i="1"/>
  <c r="J415" i="1"/>
  <c r="K414" i="1"/>
  <c r="J414" i="1"/>
  <c r="K412" i="1"/>
  <c r="J412" i="1"/>
  <c r="K411" i="1"/>
  <c r="J411" i="1"/>
  <c r="K410" i="1"/>
  <c r="J410" i="1"/>
  <c r="K409" i="1"/>
  <c r="J409" i="1"/>
  <c r="K403" i="1"/>
  <c r="J403" i="1"/>
  <c r="K397" i="1"/>
  <c r="J397" i="1"/>
  <c r="K396" i="1"/>
  <c r="J396" i="1"/>
  <c r="K395" i="1"/>
  <c r="J395" i="1"/>
  <c r="K389" i="1"/>
  <c r="J389" i="1"/>
  <c r="K388" i="1"/>
  <c r="J388" i="1"/>
  <c r="K387" i="1"/>
  <c r="J387" i="1"/>
  <c r="K386" i="1"/>
  <c r="J386" i="1"/>
  <c r="K384" i="1"/>
  <c r="J384" i="1"/>
  <c r="K382" i="1"/>
  <c r="J382" i="1"/>
  <c r="K381" i="1"/>
  <c r="J381" i="1"/>
  <c r="K380" i="1"/>
  <c r="J380" i="1"/>
  <c r="K369" i="1"/>
  <c r="J369" i="1"/>
  <c r="K368" i="1"/>
  <c r="J368" i="1"/>
  <c r="K367" i="1"/>
  <c r="J367" i="1"/>
  <c r="K366" i="1"/>
  <c r="J366" i="1"/>
  <c r="K365" i="1"/>
  <c r="J365" i="1"/>
  <c r="K364" i="1"/>
  <c r="J364" i="1"/>
  <c r="K363" i="1"/>
  <c r="J363" i="1"/>
  <c r="K362" i="1"/>
  <c r="J362" i="1"/>
  <c r="K361" i="1"/>
  <c r="J361" i="1"/>
  <c r="K360" i="1"/>
  <c r="J360" i="1"/>
  <c r="K359" i="1"/>
  <c r="J359" i="1"/>
  <c r="K358" i="1"/>
  <c r="J358" i="1"/>
  <c r="K356" i="1"/>
  <c r="J356" i="1"/>
  <c r="K352" i="1"/>
  <c r="J352" i="1"/>
  <c r="K351" i="1"/>
  <c r="J351" i="1"/>
  <c r="K350" i="1"/>
  <c r="J350" i="1"/>
  <c r="K349" i="1"/>
  <c r="J349" i="1"/>
  <c r="K348" i="1"/>
  <c r="J348" i="1"/>
  <c r="K347" i="1"/>
  <c r="J347" i="1"/>
  <c r="K344" i="1"/>
  <c r="J344" i="1"/>
  <c r="K338" i="1"/>
  <c r="J338" i="1"/>
  <c r="K337" i="1"/>
  <c r="J337" i="1"/>
  <c r="K327" i="1"/>
  <c r="J327" i="1"/>
  <c r="K326" i="1"/>
  <c r="J326" i="1"/>
  <c r="K325" i="1"/>
  <c r="J325" i="1"/>
  <c r="K324" i="1"/>
  <c r="J324" i="1"/>
  <c r="K322" i="1"/>
  <c r="J322" i="1"/>
  <c r="K312" i="1"/>
  <c r="J312" i="1"/>
  <c r="K310" i="1"/>
  <c r="J310" i="1"/>
  <c r="K307" i="1"/>
  <c r="J307" i="1"/>
  <c r="K303" i="1"/>
  <c r="J303" i="1"/>
  <c r="K295" i="1"/>
  <c r="J295" i="1"/>
  <c r="K294" i="1"/>
  <c r="J294" i="1"/>
  <c r="K292" i="1"/>
  <c r="J292" i="1"/>
  <c r="K281" i="1"/>
  <c r="J281" i="1"/>
  <c r="K280" i="1"/>
  <c r="J280" i="1"/>
  <c r="K278" i="1"/>
  <c r="J278" i="1"/>
  <c r="K272" i="1"/>
  <c r="J272" i="1"/>
  <c r="K271" i="1"/>
  <c r="J271" i="1"/>
  <c r="K270" i="1"/>
  <c r="J270" i="1"/>
  <c r="K269" i="1"/>
  <c r="J269" i="1"/>
  <c r="K268" i="1"/>
  <c r="J268" i="1"/>
  <c r="K267" i="1"/>
  <c r="J267" i="1"/>
  <c r="K266" i="1"/>
  <c r="J266" i="1"/>
  <c r="K265" i="1"/>
  <c r="J265" i="1"/>
  <c r="K264" i="1"/>
  <c r="J264" i="1"/>
  <c r="K263" i="1"/>
  <c r="J263" i="1"/>
  <c r="K262" i="1"/>
  <c r="J262" i="1"/>
  <c r="K261" i="1"/>
  <c r="J261" i="1"/>
  <c r="K257" i="1"/>
  <c r="J257" i="1"/>
  <c r="K256" i="1"/>
  <c r="J256" i="1"/>
  <c r="K255" i="1"/>
  <c r="J255" i="1"/>
  <c r="K254" i="1"/>
  <c r="J254" i="1"/>
  <c r="K253" i="1"/>
  <c r="J253" i="1"/>
  <c r="K252" i="1"/>
  <c r="J252" i="1"/>
  <c r="K251" i="1"/>
  <c r="J251" i="1"/>
  <c r="K250" i="1"/>
  <c r="J250" i="1"/>
  <c r="K249" i="1"/>
  <c r="J249" i="1"/>
  <c r="K248" i="1"/>
  <c r="J248" i="1"/>
  <c r="K247" i="1"/>
  <c r="J247" i="1"/>
  <c r="K246" i="1"/>
  <c r="J246" i="1"/>
  <c r="K245" i="1"/>
  <c r="J245" i="1"/>
  <c r="K244" i="1"/>
  <c r="J244" i="1"/>
  <c r="K243" i="1"/>
  <c r="J243" i="1"/>
  <c r="K242" i="1"/>
  <c r="J242" i="1"/>
  <c r="K241" i="1"/>
  <c r="J241" i="1"/>
  <c r="K240" i="1"/>
  <c r="J240" i="1"/>
  <c r="K239" i="1"/>
  <c r="J239" i="1"/>
  <c r="K238" i="1"/>
  <c r="J238" i="1"/>
  <c r="K237" i="1"/>
  <c r="J237" i="1"/>
  <c r="K236" i="1"/>
  <c r="J236" i="1"/>
  <c r="K235" i="1"/>
  <c r="J235" i="1"/>
  <c r="K234" i="1"/>
  <c r="J234" i="1"/>
  <c r="K233" i="1"/>
  <c r="J233" i="1"/>
  <c r="K232" i="1"/>
  <c r="J232" i="1"/>
  <c r="K231" i="1"/>
  <c r="J231" i="1"/>
  <c r="K230" i="1"/>
  <c r="J230" i="1"/>
  <c r="K229" i="1"/>
  <c r="J229" i="1"/>
  <c r="K228" i="1"/>
  <c r="J228" i="1"/>
  <c r="K227" i="1"/>
  <c r="J227" i="1"/>
  <c r="K226" i="1"/>
  <c r="J226" i="1"/>
  <c r="K225" i="1"/>
  <c r="J225" i="1"/>
  <c r="K224" i="1"/>
  <c r="J224" i="1"/>
  <c r="K223" i="1"/>
  <c r="J223" i="1"/>
  <c r="K222" i="1"/>
  <c r="J222" i="1"/>
  <c r="K221" i="1"/>
  <c r="J221" i="1"/>
  <c r="K220" i="1"/>
  <c r="J220" i="1"/>
  <c r="K219" i="1"/>
  <c r="J219" i="1"/>
  <c r="K218" i="1"/>
  <c r="J218" i="1"/>
  <c r="K217" i="1"/>
  <c r="J217" i="1"/>
  <c r="K216" i="1"/>
  <c r="J216" i="1"/>
  <c r="K215" i="1"/>
  <c r="J215" i="1"/>
  <c r="K214" i="1"/>
  <c r="J214" i="1"/>
  <c r="K213" i="1"/>
  <c r="J213" i="1"/>
  <c r="K212" i="1"/>
  <c r="J212" i="1"/>
  <c r="K211" i="1"/>
  <c r="J211" i="1"/>
  <c r="K210" i="1"/>
  <c r="J210" i="1"/>
  <c r="K209" i="1"/>
  <c r="J209" i="1"/>
  <c r="K208" i="1"/>
  <c r="J208" i="1"/>
  <c r="K207" i="1"/>
  <c r="J207" i="1"/>
  <c r="K206" i="1"/>
  <c r="J206" i="1"/>
  <c r="K205" i="1"/>
  <c r="J205" i="1"/>
  <c r="K204" i="1"/>
  <c r="J204" i="1"/>
  <c r="K203" i="1"/>
  <c r="J203" i="1"/>
  <c r="K202" i="1"/>
  <c r="J202" i="1"/>
  <c r="K201" i="1"/>
  <c r="J201" i="1"/>
  <c r="K200" i="1"/>
  <c r="J200" i="1"/>
  <c r="K199" i="1"/>
  <c r="J199" i="1"/>
  <c r="K198" i="1"/>
  <c r="J198" i="1"/>
  <c r="K197" i="1"/>
  <c r="J197" i="1"/>
  <c r="K196" i="1"/>
  <c r="J196" i="1"/>
  <c r="K195" i="1"/>
  <c r="J195" i="1"/>
  <c r="K194" i="1"/>
  <c r="J194" i="1"/>
  <c r="K193" i="1"/>
  <c r="J193" i="1"/>
  <c r="K192" i="1"/>
  <c r="J192" i="1"/>
  <c r="K191" i="1"/>
  <c r="J191" i="1"/>
  <c r="K190" i="1"/>
  <c r="J190" i="1"/>
  <c r="K189" i="1"/>
  <c r="J189" i="1"/>
  <c r="K188" i="1"/>
  <c r="J188" i="1"/>
  <c r="K187" i="1"/>
  <c r="J187" i="1"/>
  <c r="K186" i="1"/>
  <c r="J186" i="1"/>
  <c r="K185" i="1"/>
  <c r="J185" i="1"/>
  <c r="K184" i="1"/>
  <c r="J184" i="1"/>
  <c r="K183" i="1"/>
  <c r="J183" i="1"/>
  <c r="K182" i="1"/>
  <c r="J182" i="1"/>
  <c r="K181" i="1"/>
  <c r="J181" i="1"/>
  <c r="K180" i="1"/>
  <c r="J180" i="1"/>
  <c r="K179" i="1"/>
  <c r="J179" i="1"/>
  <c r="K178" i="1"/>
  <c r="J178" i="1"/>
  <c r="K177" i="1"/>
  <c r="J177" i="1"/>
  <c r="K176" i="1"/>
  <c r="J176" i="1"/>
  <c r="K175" i="1"/>
  <c r="J175" i="1"/>
  <c r="K174" i="1"/>
  <c r="J174" i="1"/>
  <c r="K173" i="1"/>
  <c r="J173" i="1"/>
  <c r="K172" i="1"/>
  <c r="J172" i="1"/>
  <c r="K171" i="1"/>
  <c r="J171" i="1"/>
  <c r="K170" i="1"/>
  <c r="J170" i="1"/>
  <c r="K169" i="1"/>
  <c r="J169" i="1"/>
  <c r="K168" i="1"/>
  <c r="J168" i="1"/>
  <c r="K167" i="1"/>
  <c r="J167" i="1"/>
  <c r="K166" i="1"/>
  <c r="J166" i="1"/>
  <c r="K165" i="1"/>
  <c r="J165" i="1"/>
  <c r="K164" i="1"/>
  <c r="J164" i="1"/>
  <c r="K163" i="1"/>
  <c r="J163" i="1"/>
  <c r="K162" i="1"/>
  <c r="J162" i="1"/>
  <c r="K161" i="1"/>
  <c r="J161" i="1"/>
  <c r="K160" i="1"/>
  <c r="J160" i="1"/>
  <c r="K159" i="1"/>
  <c r="J159" i="1"/>
  <c r="K158" i="1"/>
  <c r="J158" i="1"/>
  <c r="K157" i="1"/>
  <c r="J157" i="1"/>
  <c r="K156" i="1"/>
  <c r="J156" i="1"/>
  <c r="K155" i="1"/>
  <c r="J155" i="1"/>
  <c r="K154" i="1"/>
  <c r="J154" i="1"/>
  <c r="K152" i="1"/>
  <c r="J152" i="1"/>
  <c r="K151" i="1"/>
  <c r="J151" i="1"/>
  <c r="K150" i="1"/>
  <c r="J150" i="1"/>
  <c r="K149" i="1"/>
  <c r="J149" i="1"/>
  <c r="K148" i="1"/>
  <c r="J148" i="1"/>
  <c r="K147" i="1"/>
  <c r="J147" i="1"/>
  <c r="K145" i="1"/>
  <c r="J145" i="1"/>
  <c r="K135" i="1"/>
  <c r="J135" i="1"/>
  <c r="K134" i="1"/>
  <c r="J134" i="1"/>
  <c r="K133" i="1"/>
  <c r="J133" i="1"/>
  <c r="K132" i="1"/>
  <c r="J132" i="1"/>
  <c r="K131" i="1"/>
  <c r="J131" i="1"/>
  <c r="K108" i="1"/>
  <c r="J108" i="1"/>
  <c r="K107" i="1"/>
  <c r="J107" i="1"/>
  <c r="K102" i="1"/>
  <c r="J102" i="1"/>
  <c r="K101" i="1"/>
  <c r="J101" i="1"/>
  <c r="K100" i="1"/>
  <c r="J100" i="1"/>
  <c r="K99" i="1"/>
  <c r="J99" i="1"/>
  <c r="K98" i="1"/>
  <c r="J98" i="1"/>
  <c r="K97" i="1"/>
  <c r="J97" i="1"/>
  <c r="K94" i="1"/>
  <c r="J94" i="1"/>
  <c r="K93" i="1"/>
  <c r="J93" i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K68" i="1"/>
  <c r="J68" i="1"/>
  <c r="K67" i="1"/>
  <c r="J67" i="1"/>
  <c r="K66" i="1"/>
  <c r="J66" i="1"/>
  <c r="K65" i="1"/>
  <c r="J65" i="1"/>
  <c r="K64" i="1"/>
  <c r="J64" i="1"/>
  <c r="K63" i="1"/>
  <c r="J63" i="1"/>
  <c r="K62" i="1"/>
  <c r="J62" i="1"/>
  <c r="K61" i="1"/>
  <c r="J61" i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K36" i="1"/>
  <c r="J36" i="1"/>
  <c r="K34" i="1"/>
  <c r="J34" i="1"/>
  <c r="K33" i="1"/>
  <c r="J33" i="1"/>
  <c r="K32" i="1"/>
  <c r="J32" i="1"/>
  <c r="K31" i="1"/>
  <c r="J31" i="1"/>
  <c r="K30" i="1"/>
  <c r="J30" i="1"/>
  <c r="K25" i="1"/>
  <c r="J25" i="1"/>
  <c r="K24" i="1"/>
  <c r="J24" i="1"/>
  <c r="K22" i="1"/>
  <c r="J22" i="1"/>
  <c r="K2" i="1"/>
  <c r="J2" i="1"/>
  <c r="J16" i="4" l="1"/>
  <c r="G16" i="4"/>
  <c r="P68" i="4"/>
  <c r="P67" i="4"/>
  <c r="P65" i="4"/>
  <c r="P64" i="4"/>
  <c r="P63" i="4"/>
  <c r="P62" i="4"/>
  <c r="P61" i="4"/>
  <c r="P60" i="4"/>
  <c r="P59" i="4"/>
  <c r="P58" i="4"/>
  <c r="P57" i="4"/>
  <c r="P56" i="4"/>
  <c r="P55" i="4"/>
  <c r="P53" i="4"/>
  <c r="P52" i="4"/>
  <c r="P51" i="4"/>
  <c r="P50" i="4"/>
  <c r="P49" i="4"/>
  <c r="P48" i="4"/>
  <c r="P47" i="4"/>
  <c r="P46" i="4"/>
  <c r="P45" i="4"/>
  <c r="P44" i="4"/>
  <c r="P43" i="4"/>
  <c r="P42" i="4"/>
  <c r="P41" i="4"/>
  <c r="P40" i="4"/>
  <c r="P39" i="4"/>
  <c r="P38" i="4"/>
  <c r="P37" i="4"/>
  <c r="P36" i="4"/>
  <c r="P34" i="4"/>
  <c r="P31" i="4"/>
  <c r="P30" i="4"/>
  <c r="P29" i="4"/>
  <c r="P28" i="4"/>
  <c r="P27" i="4"/>
  <c r="P25" i="4"/>
  <c r="P24" i="4"/>
  <c r="P22" i="4"/>
  <c r="P21" i="4"/>
  <c r="P20" i="4"/>
  <c r="P19" i="4"/>
  <c r="P18" i="4"/>
  <c r="P17" i="4"/>
  <c r="P15" i="4"/>
  <c r="P14" i="4"/>
  <c r="P13" i="4"/>
  <c r="P12" i="4"/>
  <c r="P11" i="4"/>
  <c r="P10" i="4"/>
  <c r="P7" i="4"/>
  <c r="P6" i="4"/>
  <c r="P5" i="4"/>
  <c r="P16" i="4" l="1"/>
  <c r="I452" i="1" l="1"/>
  <c r="I450" i="1"/>
  <c r="I437" i="1"/>
  <c r="I416" i="1"/>
  <c r="I397" i="1"/>
  <c r="I389" i="1"/>
  <c r="I369" i="1"/>
  <c r="I366" i="1"/>
  <c r="I364" i="1"/>
  <c r="I349" i="1"/>
  <c r="I344" i="1"/>
  <c r="I278" i="1"/>
  <c r="I107" i="1"/>
  <c r="I102" i="1"/>
  <c r="I412" i="1"/>
  <c r="I272" i="1"/>
  <c r="I295" i="1"/>
  <c r="I327" i="1"/>
  <c r="I101" i="1"/>
  <c r="I270" i="1"/>
  <c r="I269" i="1"/>
  <c r="I268" i="1"/>
  <c r="I427" i="1"/>
  <c r="I363" i="1"/>
  <c r="I100" i="1"/>
  <c r="I267" i="1"/>
  <c r="I490" i="1"/>
  <c r="I444" i="1"/>
  <c r="I426" i="1"/>
  <c r="I338" i="1"/>
  <c r="I362" i="1"/>
  <c r="I99" i="1"/>
  <c r="I266" i="1"/>
  <c r="I489" i="1"/>
  <c r="I265" i="1"/>
  <c r="I425" i="1"/>
  <c r="I281" i="1"/>
  <c r="I326" i="1"/>
  <c r="I361" i="1"/>
  <c r="I98" i="1"/>
  <c r="I264" i="1"/>
  <c r="I488" i="1"/>
  <c r="I484" i="1"/>
  <c r="I396" i="1"/>
  <c r="I325" i="1"/>
  <c r="I280" i="1"/>
  <c r="I411" i="1"/>
  <c r="I360" i="1"/>
  <c r="I424" i="1"/>
  <c r="I350" i="1"/>
  <c r="I97" i="1"/>
  <c r="I263" i="1"/>
  <c r="I262" i="1"/>
  <c r="I261" i="1"/>
  <c r="I257" i="1"/>
  <c r="I256" i="1"/>
  <c r="I255" i="1"/>
  <c r="I254" i="1"/>
  <c r="I94" i="1"/>
  <c r="I253" i="1"/>
  <c r="I252" i="1"/>
  <c r="I251" i="1"/>
  <c r="I250" i="1"/>
  <c r="I93" i="1"/>
  <c r="I249" i="1"/>
  <c r="I248" i="1"/>
  <c r="I247" i="1"/>
  <c r="I246" i="1"/>
  <c r="I245" i="1"/>
  <c r="I244" i="1"/>
  <c r="I92" i="1"/>
  <c r="I243" i="1"/>
  <c r="I242" i="1"/>
  <c r="I241" i="1"/>
  <c r="I240" i="1"/>
  <c r="I239" i="1"/>
  <c r="I238" i="1"/>
  <c r="I237" i="1"/>
  <c r="I236" i="1"/>
  <c r="I235" i="1"/>
  <c r="I234" i="1"/>
  <c r="I233" i="1"/>
  <c r="I91" i="1"/>
  <c r="I232" i="1"/>
  <c r="I231" i="1"/>
  <c r="I230" i="1"/>
  <c r="I90" i="1"/>
  <c r="I229" i="1"/>
  <c r="I89" i="1"/>
  <c r="I228" i="1"/>
  <c r="I227" i="1"/>
  <c r="I88" i="1"/>
  <c r="I226" i="1"/>
  <c r="I225" i="1"/>
  <c r="I87" i="1"/>
  <c r="I224" i="1"/>
  <c r="I86" i="1"/>
  <c r="I223" i="1"/>
  <c r="I85" i="1"/>
  <c r="I222" i="1"/>
  <c r="I84" i="1"/>
  <c r="I221" i="1"/>
  <c r="I220" i="1"/>
  <c r="I219" i="1"/>
  <c r="I218" i="1"/>
  <c r="I83" i="1"/>
  <c r="I217" i="1"/>
  <c r="I216" i="1"/>
  <c r="I82" i="1"/>
  <c r="I215" i="1"/>
  <c r="I81" i="1"/>
  <c r="I214" i="1"/>
  <c r="I213" i="1"/>
  <c r="I212" i="1"/>
  <c r="I442" i="1"/>
  <c r="I420" i="1"/>
  <c r="I303" i="1"/>
  <c r="I359" i="1"/>
  <c r="I80" i="1"/>
  <c r="I211" i="1"/>
  <c r="I79" i="1"/>
  <c r="I210" i="1"/>
  <c r="I209" i="1"/>
  <c r="I307" i="1"/>
  <c r="I410" i="1"/>
  <c r="I78" i="1"/>
  <c r="I208" i="1"/>
  <c r="I77" i="1"/>
  <c r="I207" i="1"/>
  <c r="I206" i="1"/>
  <c r="I467" i="1"/>
  <c r="I205" i="1"/>
  <c r="I76" i="1"/>
  <c r="I75" i="1"/>
  <c r="I204" i="1"/>
  <c r="I74" i="1"/>
  <c r="I203" i="1"/>
  <c r="I73" i="1"/>
  <c r="I202" i="1"/>
  <c r="I201" i="1"/>
  <c r="I200" i="1"/>
  <c r="I72" i="1"/>
  <c r="I199" i="1"/>
  <c r="I71" i="1"/>
  <c r="I294" i="1"/>
  <c r="I198" i="1"/>
  <c r="I310" i="1"/>
  <c r="I70" i="1"/>
  <c r="I197" i="1"/>
  <c r="I69" i="1"/>
  <c r="I196" i="1"/>
  <c r="I68" i="1"/>
  <c r="I67" i="1"/>
  <c r="I195" i="1"/>
  <c r="I194" i="1"/>
  <c r="I66" i="1"/>
  <c r="I193" i="1"/>
  <c r="I65" i="1"/>
  <c r="I192" i="1"/>
  <c r="I324" i="1"/>
  <c r="I191" i="1"/>
  <c r="I64" i="1"/>
  <c r="I190" i="1"/>
  <c r="I441" i="1"/>
  <c r="I419" i="1"/>
  <c r="I189" i="1"/>
  <c r="I63" i="1"/>
  <c r="I188" i="1"/>
  <c r="I62" i="1"/>
  <c r="I187" i="1"/>
  <c r="I61" i="1"/>
  <c r="I186" i="1"/>
  <c r="I185" i="1"/>
  <c r="I60" i="1"/>
  <c r="I466" i="1"/>
  <c r="I59" i="1"/>
  <c r="I58" i="1"/>
  <c r="I465" i="1"/>
  <c r="I184" i="1"/>
  <c r="I57" i="1"/>
  <c r="I183" i="1"/>
  <c r="I182" i="1"/>
  <c r="I56" i="1"/>
  <c r="I181" i="1"/>
  <c r="I180" i="1"/>
  <c r="I55" i="1"/>
  <c r="I179" i="1"/>
  <c r="I178" i="1"/>
  <c r="I54" i="1"/>
  <c r="I177" i="1"/>
  <c r="I176" i="1"/>
  <c r="I483" i="1"/>
  <c r="I337" i="1"/>
  <c r="I175" i="1"/>
  <c r="I464" i="1"/>
  <c r="I174" i="1"/>
  <c r="I173" i="1"/>
  <c r="I53" i="1"/>
  <c r="I172" i="1"/>
  <c r="I52" i="1"/>
  <c r="I51" i="1"/>
  <c r="I171" i="1"/>
  <c r="I170" i="1"/>
  <c r="I50" i="1"/>
  <c r="I49" i="1"/>
  <c r="I169" i="1"/>
  <c r="I48" i="1"/>
  <c r="I168" i="1"/>
  <c r="I47" i="1"/>
  <c r="I46" i="1"/>
  <c r="I167" i="1"/>
  <c r="I45" i="1"/>
  <c r="I166" i="1"/>
  <c r="I44" i="1"/>
  <c r="I43" i="1"/>
  <c r="I165" i="1"/>
  <c r="I164" i="1"/>
  <c r="I163" i="1"/>
  <c r="I42" i="1"/>
  <c r="I162" i="1"/>
  <c r="I161" i="1"/>
  <c r="I41" i="1"/>
  <c r="I40" i="1"/>
  <c r="I160" i="1"/>
  <c r="I39" i="1"/>
  <c r="I38" i="1"/>
  <c r="I159" i="1"/>
  <c r="I158" i="1"/>
  <c r="I157" i="1"/>
  <c r="I37" i="1"/>
  <c r="I471" i="1"/>
  <c r="I463" i="1"/>
  <c r="I418" i="1"/>
  <c r="I382" i="1"/>
  <c r="I358" i="1"/>
  <c r="I156" i="1"/>
  <c r="I155" i="1"/>
  <c r="I36" i="1"/>
  <c r="I154" i="1"/>
  <c r="I33" i="1"/>
  <c r="I322" i="1"/>
  <c r="I151" i="1"/>
  <c r="I409" i="1"/>
  <c r="I292" i="1"/>
  <c r="I150" i="1"/>
  <c r="I32" i="1"/>
  <c r="I348" i="1"/>
  <c r="I149" i="1"/>
  <c r="I148" i="1"/>
  <c r="I381" i="1"/>
  <c r="I31" i="1"/>
  <c r="I147" i="1"/>
  <c r="I347" i="1"/>
  <c r="I30" i="1"/>
  <c r="I145" i="1"/>
  <c r="I481" i="1"/>
  <c r="I431" i="1"/>
  <c r="I459" i="1"/>
  <c r="I380" i="1"/>
  <c r="I135" i="1"/>
  <c r="I356" i="1"/>
  <c r="I25" i="1"/>
  <c r="I134" i="1"/>
  <c r="I487" i="1"/>
  <c r="I24" i="1"/>
  <c r="I133" i="1"/>
  <c r="I22" i="1"/>
  <c r="I132" i="1"/>
  <c r="I476" i="1"/>
  <c r="I131" i="1"/>
  <c r="I395" i="1"/>
  <c r="I415" i="1"/>
  <c r="I387" i="1"/>
  <c r="I368" i="1"/>
  <c r="I365" i="1"/>
  <c r="I451" i="1"/>
  <c r="I386" i="1"/>
  <c r="I414" i="1"/>
  <c r="I367" i="1"/>
  <c r="I312" i="1"/>
  <c r="I2" i="1"/>
  <c r="I108" i="1"/>
  <c r="I473" i="1"/>
  <c r="I448" i="1"/>
  <c r="I436" i="1"/>
  <c r="H436" i="1"/>
  <c r="J33" i="4"/>
  <c r="J8" i="4"/>
  <c r="L2" i="1"/>
  <c r="J77" i="4" l="1" a="1"/>
  <c r="J77" i="4" s="1"/>
  <c r="J76" i="4" a="1"/>
  <c r="J76" i="4" s="1"/>
  <c r="P8" i="4"/>
  <c r="J85" i="4" a="1"/>
  <c r="J85" i="4" s="1"/>
  <c r="J81" i="4" a="1"/>
  <c r="J81" i="4" s="1"/>
  <c r="J88" i="4" a="1"/>
  <c r="J88" i="4" s="1"/>
  <c r="J84" i="4" a="1"/>
  <c r="J84" i="4" s="1"/>
  <c r="J89" i="4" a="1"/>
  <c r="J89" i="4" s="1"/>
  <c r="J80" i="4" a="1"/>
  <c r="J80" i="4" s="1"/>
  <c r="J83" i="4" a="1"/>
  <c r="J83" i="4" s="1"/>
  <c r="J75" i="4" a="1"/>
  <c r="J75" i="4" s="1"/>
  <c r="J82" i="4" a="1"/>
  <c r="J82" i="4" s="1"/>
  <c r="J74" i="4" a="1"/>
  <c r="J74" i="4" s="1"/>
  <c r="I14" i="1" s="1"/>
  <c r="J73" i="4" a="1"/>
  <c r="J73" i="4" s="1"/>
  <c r="J72" i="4" a="1"/>
  <c r="J72" i="4" s="1"/>
  <c r="J87" i="4" a="1"/>
  <c r="J87" i="4" s="1"/>
  <c r="J79" i="4" a="1"/>
  <c r="J79" i="4" s="1"/>
  <c r="J71" i="4" a="1"/>
  <c r="J71" i="4" s="1"/>
  <c r="J86" i="4" a="1"/>
  <c r="J86" i="4" s="1"/>
  <c r="J78" i="4" a="1"/>
  <c r="J78" i="4" s="1"/>
  <c r="J70" i="4" a="1"/>
  <c r="J70" i="4" s="1"/>
  <c r="I491" i="1"/>
  <c r="P33" i="4"/>
  <c r="I485" i="1"/>
  <c r="I385" i="1"/>
  <c r="I13" i="1"/>
  <c r="I116" i="1"/>
  <c r="I460" i="1"/>
  <c r="I403" i="1"/>
  <c r="I21" i="1"/>
  <c r="I351" i="1"/>
  <c r="I129" i="1"/>
  <c r="I353" i="1"/>
  <c r="I449" i="1"/>
  <c r="I469" i="1"/>
  <c r="I123" i="1"/>
  <c r="I35" i="1"/>
  <c r="I118" i="1"/>
  <c r="I121" i="1"/>
  <c r="I15" i="1"/>
  <c r="I402" i="1"/>
  <c r="I143" i="1"/>
  <c r="I435" i="1"/>
  <c r="I492" i="1"/>
  <c r="I12" i="1"/>
  <c r="I486" i="1"/>
  <c r="I407" i="1"/>
  <c r="I28" i="1"/>
  <c r="I152" i="1"/>
  <c r="I271" i="1"/>
  <c r="I352" i="1"/>
  <c r="I117" i="1"/>
  <c r="I343" i="1"/>
  <c r="I34" i="1"/>
  <c r="I357" i="1"/>
  <c r="I384" i="1"/>
  <c r="I404" i="1"/>
  <c r="I479" i="1"/>
  <c r="I345" i="1"/>
  <c r="I401" i="1"/>
  <c r="I477" i="1"/>
  <c r="I433" i="1"/>
  <c r="I482" i="1"/>
  <c r="I311" i="1"/>
  <c r="I468" i="1"/>
  <c r="I400" i="1"/>
  <c r="I370" i="1"/>
  <c r="I432" i="1"/>
  <c r="I461" i="1"/>
  <c r="I373" i="1"/>
  <c r="I474" i="1"/>
  <c r="I374" i="1"/>
  <c r="I388" i="1"/>
  <c r="H452" i="1"/>
  <c r="H450" i="1"/>
  <c r="H437" i="1"/>
  <c r="H416" i="1"/>
  <c r="H397" i="1"/>
  <c r="H389" i="1"/>
  <c r="H369" i="1"/>
  <c r="H366" i="1"/>
  <c r="H364" i="1"/>
  <c r="H349" i="1"/>
  <c r="H344" i="1"/>
  <c r="H278" i="1"/>
  <c r="H107" i="1"/>
  <c r="H102" i="1"/>
  <c r="H412" i="1"/>
  <c r="H272" i="1"/>
  <c r="H295" i="1"/>
  <c r="H327" i="1"/>
  <c r="H101" i="1"/>
  <c r="H270" i="1"/>
  <c r="H269" i="1"/>
  <c r="H268" i="1"/>
  <c r="H427" i="1"/>
  <c r="H363" i="1"/>
  <c r="H100" i="1"/>
  <c r="H267" i="1"/>
  <c r="H490" i="1"/>
  <c r="H444" i="1"/>
  <c r="H426" i="1"/>
  <c r="H338" i="1"/>
  <c r="H362" i="1"/>
  <c r="H99" i="1"/>
  <c r="H266" i="1"/>
  <c r="H489" i="1"/>
  <c r="H265" i="1"/>
  <c r="H425" i="1"/>
  <c r="H281" i="1"/>
  <c r="H326" i="1"/>
  <c r="H361" i="1"/>
  <c r="H98" i="1"/>
  <c r="H264" i="1"/>
  <c r="H488" i="1"/>
  <c r="H484" i="1"/>
  <c r="H396" i="1"/>
  <c r="H325" i="1"/>
  <c r="H280" i="1"/>
  <c r="H411" i="1"/>
  <c r="H360" i="1"/>
  <c r="H424" i="1"/>
  <c r="H350" i="1"/>
  <c r="H97" i="1"/>
  <c r="H263" i="1"/>
  <c r="H262" i="1"/>
  <c r="H261" i="1"/>
  <c r="H257" i="1"/>
  <c r="H256" i="1"/>
  <c r="H255" i="1"/>
  <c r="H254" i="1"/>
  <c r="H94" i="1"/>
  <c r="H253" i="1"/>
  <c r="H252" i="1"/>
  <c r="H251" i="1"/>
  <c r="H250" i="1"/>
  <c r="H93" i="1"/>
  <c r="H249" i="1"/>
  <c r="H248" i="1"/>
  <c r="H247" i="1"/>
  <c r="H246" i="1"/>
  <c r="H245" i="1"/>
  <c r="H244" i="1"/>
  <c r="H92" i="1"/>
  <c r="H243" i="1"/>
  <c r="H242" i="1"/>
  <c r="H241" i="1"/>
  <c r="H240" i="1"/>
  <c r="H239" i="1"/>
  <c r="H238" i="1"/>
  <c r="H237" i="1"/>
  <c r="H236" i="1"/>
  <c r="H235" i="1"/>
  <c r="H234" i="1"/>
  <c r="H233" i="1"/>
  <c r="H91" i="1"/>
  <c r="H232" i="1"/>
  <c r="H231" i="1"/>
  <c r="H230" i="1"/>
  <c r="H90" i="1"/>
  <c r="H229" i="1"/>
  <c r="H89" i="1"/>
  <c r="H228" i="1"/>
  <c r="H227" i="1"/>
  <c r="H88" i="1"/>
  <c r="H226" i="1"/>
  <c r="H225" i="1"/>
  <c r="H87" i="1"/>
  <c r="H224" i="1"/>
  <c r="H86" i="1"/>
  <c r="H223" i="1"/>
  <c r="H85" i="1"/>
  <c r="H222" i="1"/>
  <c r="H84" i="1"/>
  <c r="H221" i="1"/>
  <c r="H220" i="1"/>
  <c r="H219" i="1"/>
  <c r="H218" i="1"/>
  <c r="H83" i="1"/>
  <c r="H217" i="1"/>
  <c r="H216" i="1"/>
  <c r="H82" i="1"/>
  <c r="H215" i="1"/>
  <c r="H81" i="1"/>
  <c r="H214" i="1"/>
  <c r="H213" i="1"/>
  <c r="H212" i="1"/>
  <c r="H442" i="1"/>
  <c r="H420" i="1"/>
  <c r="H303" i="1"/>
  <c r="H359" i="1"/>
  <c r="H80" i="1"/>
  <c r="H211" i="1"/>
  <c r="H79" i="1"/>
  <c r="H210" i="1"/>
  <c r="H209" i="1"/>
  <c r="H307" i="1"/>
  <c r="H410" i="1"/>
  <c r="H78" i="1"/>
  <c r="H208" i="1"/>
  <c r="H77" i="1"/>
  <c r="H207" i="1"/>
  <c r="H206" i="1"/>
  <c r="H467" i="1"/>
  <c r="H205" i="1"/>
  <c r="H76" i="1"/>
  <c r="H75" i="1"/>
  <c r="H204" i="1"/>
  <c r="H74" i="1"/>
  <c r="H203" i="1"/>
  <c r="H73" i="1"/>
  <c r="H202" i="1"/>
  <c r="H201" i="1"/>
  <c r="H200" i="1"/>
  <c r="H72" i="1"/>
  <c r="H199" i="1"/>
  <c r="H71" i="1"/>
  <c r="H294" i="1"/>
  <c r="H198" i="1"/>
  <c r="H310" i="1"/>
  <c r="H70" i="1"/>
  <c r="H197" i="1"/>
  <c r="H69" i="1"/>
  <c r="H196" i="1"/>
  <c r="H68" i="1"/>
  <c r="H67" i="1"/>
  <c r="H195" i="1"/>
  <c r="H194" i="1"/>
  <c r="H66" i="1"/>
  <c r="H193" i="1"/>
  <c r="H65" i="1"/>
  <c r="H192" i="1"/>
  <c r="H324" i="1"/>
  <c r="H191" i="1"/>
  <c r="H64" i="1"/>
  <c r="H190" i="1"/>
  <c r="H441" i="1"/>
  <c r="H419" i="1"/>
  <c r="H189" i="1"/>
  <c r="H63" i="1"/>
  <c r="H188" i="1"/>
  <c r="H62" i="1"/>
  <c r="H187" i="1"/>
  <c r="H61" i="1"/>
  <c r="H186" i="1"/>
  <c r="H185" i="1"/>
  <c r="H60" i="1"/>
  <c r="H466" i="1"/>
  <c r="H59" i="1"/>
  <c r="H58" i="1"/>
  <c r="H465" i="1"/>
  <c r="H184" i="1"/>
  <c r="H57" i="1"/>
  <c r="H183" i="1"/>
  <c r="H182" i="1"/>
  <c r="H56" i="1"/>
  <c r="H181" i="1"/>
  <c r="H180" i="1"/>
  <c r="H55" i="1"/>
  <c r="H179" i="1"/>
  <c r="H178" i="1"/>
  <c r="H54" i="1"/>
  <c r="H177" i="1"/>
  <c r="H176" i="1"/>
  <c r="H483" i="1"/>
  <c r="H337" i="1"/>
  <c r="H175" i="1"/>
  <c r="H464" i="1"/>
  <c r="H174" i="1"/>
  <c r="H173" i="1"/>
  <c r="H53" i="1"/>
  <c r="H172" i="1"/>
  <c r="H52" i="1"/>
  <c r="H51" i="1"/>
  <c r="H171" i="1"/>
  <c r="H170" i="1"/>
  <c r="H50" i="1"/>
  <c r="H49" i="1"/>
  <c r="H169" i="1"/>
  <c r="H48" i="1"/>
  <c r="H168" i="1"/>
  <c r="H47" i="1"/>
  <c r="H46" i="1"/>
  <c r="H167" i="1"/>
  <c r="H45" i="1"/>
  <c r="H166" i="1"/>
  <c r="H44" i="1"/>
  <c r="H43" i="1"/>
  <c r="H165" i="1"/>
  <c r="H164" i="1"/>
  <c r="H163" i="1"/>
  <c r="H42" i="1"/>
  <c r="H162" i="1"/>
  <c r="H161" i="1"/>
  <c r="H41" i="1"/>
  <c r="H40" i="1"/>
  <c r="H160" i="1"/>
  <c r="H39" i="1"/>
  <c r="H38" i="1"/>
  <c r="H159" i="1"/>
  <c r="H158" i="1"/>
  <c r="H157" i="1"/>
  <c r="H37" i="1"/>
  <c r="H471" i="1"/>
  <c r="H463" i="1"/>
  <c r="H418" i="1"/>
  <c r="H382" i="1"/>
  <c r="H358" i="1"/>
  <c r="H156" i="1"/>
  <c r="H155" i="1"/>
  <c r="H36" i="1"/>
  <c r="H154" i="1"/>
  <c r="H33" i="1"/>
  <c r="H322" i="1"/>
  <c r="H151" i="1"/>
  <c r="H409" i="1"/>
  <c r="H292" i="1"/>
  <c r="H150" i="1"/>
  <c r="H32" i="1"/>
  <c r="H348" i="1"/>
  <c r="H149" i="1"/>
  <c r="H148" i="1"/>
  <c r="H381" i="1"/>
  <c r="H31" i="1"/>
  <c r="H147" i="1"/>
  <c r="H347" i="1"/>
  <c r="H30" i="1"/>
  <c r="H145" i="1"/>
  <c r="H481" i="1"/>
  <c r="H431" i="1"/>
  <c r="H459" i="1"/>
  <c r="H380" i="1"/>
  <c r="H135" i="1"/>
  <c r="H356" i="1"/>
  <c r="H25" i="1"/>
  <c r="H134" i="1"/>
  <c r="H487" i="1"/>
  <c r="H24" i="1"/>
  <c r="H133" i="1"/>
  <c r="H22" i="1"/>
  <c r="H132" i="1"/>
  <c r="H476" i="1"/>
  <c r="H131" i="1"/>
  <c r="H395" i="1"/>
  <c r="H415" i="1"/>
  <c r="H387" i="1"/>
  <c r="H368" i="1"/>
  <c r="H365" i="1"/>
  <c r="H451" i="1"/>
  <c r="H386" i="1"/>
  <c r="H414" i="1"/>
  <c r="H367" i="1"/>
  <c r="H312" i="1"/>
  <c r="H2" i="1"/>
  <c r="H108" i="1"/>
  <c r="H473" i="1"/>
  <c r="H448" i="1"/>
  <c r="G33" i="4"/>
  <c r="H403" i="1" s="1"/>
  <c r="G8" i="4"/>
  <c r="I428" i="1" l="1"/>
  <c r="I128" i="1"/>
  <c r="I259" i="1"/>
  <c r="I376" i="1"/>
  <c r="I342" i="1"/>
  <c r="I284" i="1"/>
  <c r="I439" i="1"/>
  <c r="I440" i="1"/>
  <c r="I275" i="1"/>
  <c r="I142" i="1"/>
  <c r="I260" i="1"/>
  <c r="I456" i="1"/>
  <c r="I153" i="1"/>
  <c r="I282" i="1"/>
  <c r="I375" i="1"/>
  <c r="I19" i="1"/>
  <c r="I110" i="1"/>
  <c r="I8" i="1"/>
  <c r="I309" i="1"/>
  <c r="S87" i="4" a="1"/>
  <c r="S87" i="4" s="1"/>
  <c r="S72" i="4" a="1"/>
  <c r="S72" i="4" s="1"/>
  <c r="S76" i="4" a="1"/>
  <c r="S76" i="4" s="1"/>
  <c r="R70" i="4" a="1"/>
  <c r="R70" i="4" s="1"/>
  <c r="S71" i="4" a="1"/>
  <c r="S71" i="4" s="1"/>
  <c r="R71" i="4" a="1"/>
  <c r="R71" i="4" s="1"/>
  <c r="S74" i="4" a="1"/>
  <c r="S74" i="4" s="1"/>
  <c r="R82" i="4" a="1"/>
  <c r="R82" i="4" s="1"/>
  <c r="R85" i="4" a="1"/>
  <c r="R85" i="4" s="1"/>
  <c r="R89" i="4" a="1"/>
  <c r="R89" i="4" s="1"/>
  <c r="J284" i="1" s="1"/>
  <c r="S73" i="4" a="1"/>
  <c r="S73" i="4" s="1"/>
  <c r="S84" i="4" a="1"/>
  <c r="S84" i="4" s="1"/>
  <c r="R75" i="4" a="1"/>
  <c r="R75" i="4" s="1"/>
  <c r="R73" i="4" a="1"/>
  <c r="R73" i="4" s="1"/>
  <c r="S88" i="4" a="1"/>
  <c r="S88" i="4" s="1"/>
  <c r="S79" i="4" a="1"/>
  <c r="S79" i="4" s="1"/>
  <c r="S83" i="4" a="1"/>
  <c r="S83" i="4" s="1"/>
  <c r="S77" i="4" a="1"/>
  <c r="S77" i="4" s="1"/>
  <c r="R81" i="4" a="1"/>
  <c r="R81" i="4" s="1"/>
  <c r="R88" i="4" a="1"/>
  <c r="R88" i="4" s="1"/>
  <c r="R79" i="4" a="1"/>
  <c r="R79" i="4" s="1"/>
  <c r="S89" i="4" a="1"/>
  <c r="S89" i="4" s="1"/>
  <c r="K284" i="1" s="1"/>
  <c r="R77" i="4" a="1"/>
  <c r="R77" i="4" s="1"/>
  <c r="R78" i="4" a="1"/>
  <c r="R78" i="4" s="1"/>
  <c r="R76" i="4" a="1"/>
  <c r="R76" i="4" s="1"/>
  <c r="S86" i="4" a="1"/>
  <c r="S86" i="4" s="1"/>
  <c r="R86" i="4" a="1"/>
  <c r="R86" i="4" s="1"/>
  <c r="S75" i="4" a="1"/>
  <c r="S75" i="4" s="1"/>
  <c r="S70" i="4" a="1"/>
  <c r="S70" i="4" s="1"/>
  <c r="R72" i="4" a="1"/>
  <c r="R72" i="4" s="1"/>
  <c r="S78" i="4" a="1"/>
  <c r="S78" i="4" s="1"/>
  <c r="S82" i="4" a="1"/>
  <c r="S82" i="4" s="1"/>
  <c r="R74" i="4" a="1"/>
  <c r="R74" i="4" s="1"/>
  <c r="S81" i="4" a="1"/>
  <c r="S81" i="4" s="1"/>
  <c r="R87" i="4" a="1"/>
  <c r="R87" i="4" s="1"/>
  <c r="R80" i="4" a="1"/>
  <c r="R80" i="4" s="1"/>
  <c r="S80" i="4" a="1"/>
  <c r="S80" i="4" s="1"/>
  <c r="R83" i="4" a="1"/>
  <c r="R83" i="4" s="1"/>
  <c r="S85" i="4" a="1"/>
  <c r="S85" i="4" s="1"/>
  <c r="R84" i="4" a="1"/>
  <c r="R84" i="4" s="1"/>
  <c r="I138" i="1"/>
  <c r="I333" i="1"/>
  <c r="I27" i="1"/>
  <c r="I336" i="1"/>
  <c r="I478" i="1"/>
  <c r="I470" i="1"/>
  <c r="I140" i="1"/>
  <c r="I339" i="1"/>
  <c r="I455" i="1"/>
  <c r="I458" i="1"/>
  <c r="I332" i="1"/>
  <c r="I136" i="1"/>
  <c r="I392" i="1"/>
  <c r="I334" i="1"/>
  <c r="I454" i="1"/>
  <c r="I457" i="1"/>
  <c r="I26" i="1"/>
  <c r="I480" i="1"/>
  <c r="I146" i="1"/>
  <c r="I144" i="1"/>
  <c r="I299" i="1"/>
  <c r="I413" i="1"/>
  <c r="I298" i="1"/>
  <c r="I29" i="1"/>
  <c r="I453" i="1"/>
  <c r="I301" i="1"/>
  <c r="I434" i="1"/>
  <c r="I331" i="1"/>
  <c r="I304" i="1"/>
  <c r="I321" i="1"/>
  <c r="I408" i="1"/>
  <c r="I462" i="1"/>
  <c r="I300" i="1"/>
  <c r="I137" i="1"/>
  <c r="I139" i="1"/>
  <c r="I306" i="1"/>
  <c r="I417" i="1"/>
  <c r="V89" i="4" a="1"/>
  <c r="V89" i="4" s="1"/>
  <c r="N284" i="1" s="1"/>
  <c r="U89" i="4" a="1"/>
  <c r="U89" i="4" s="1"/>
  <c r="M284" i="1" s="1"/>
  <c r="U72" i="4" a="1"/>
  <c r="U72" i="4" s="1"/>
  <c r="U88" i="4" a="1"/>
  <c r="U88" i="4" s="1"/>
  <c r="V82" i="4" a="1"/>
  <c r="V82" i="4" s="1"/>
  <c r="U73" i="4" a="1"/>
  <c r="U73" i="4" s="1"/>
  <c r="V83" i="4" a="1"/>
  <c r="V83" i="4" s="1"/>
  <c r="U85" i="4" a="1"/>
  <c r="U85" i="4" s="1"/>
  <c r="V71" i="4" a="1"/>
  <c r="V71" i="4" s="1"/>
  <c r="U78" i="4" a="1"/>
  <c r="U78" i="4" s="1"/>
  <c r="V70" i="4" a="1"/>
  <c r="V70" i="4" s="1"/>
  <c r="V86" i="4" a="1"/>
  <c r="V86" i="4" s="1"/>
  <c r="U75" i="4" a="1"/>
  <c r="U75" i="4" s="1"/>
  <c r="V87" i="4" a="1"/>
  <c r="V87" i="4" s="1"/>
  <c r="V84" i="4" a="1"/>
  <c r="V84" i="4" s="1"/>
  <c r="V85" i="4" a="1"/>
  <c r="V85" i="4" s="1"/>
  <c r="U76" i="4" a="1"/>
  <c r="U76" i="4" s="1"/>
  <c r="V76" i="4" a="1"/>
  <c r="V76" i="4" s="1"/>
  <c r="V88" i="4" a="1"/>
  <c r="V88" i="4" s="1"/>
  <c r="U79" i="4" a="1"/>
  <c r="U79" i="4" s="1"/>
  <c r="V73" i="4" a="1"/>
  <c r="V73" i="4" s="1"/>
  <c r="U77" i="4" a="1"/>
  <c r="U77" i="4" s="1"/>
  <c r="U70" i="4" a="1"/>
  <c r="U70" i="4" s="1"/>
  <c r="V80" i="4" a="1"/>
  <c r="V80" i="4" s="1"/>
  <c r="U71" i="4" a="1"/>
  <c r="U71" i="4" s="1"/>
  <c r="U81" i="4" a="1"/>
  <c r="U81" i="4" s="1"/>
  <c r="V77" i="4" a="1"/>
  <c r="V77" i="4" s="1"/>
  <c r="U80" i="4" a="1"/>
  <c r="U80" i="4" s="1"/>
  <c r="U74" i="4" a="1"/>
  <c r="U74" i="4" s="1"/>
  <c r="U84" i="4" a="1"/>
  <c r="U84" i="4" s="1"/>
  <c r="V74" i="4" a="1"/>
  <c r="V74" i="4" s="1"/>
  <c r="U87" i="4" a="1"/>
  <c r="U87" i="4" s="1"/>
  <c r="V75" i="4" a="1"/>
  <c r="V75" i="4" s="1"/>
  <c r="U82" i="4" a="1"/>
  <c r="U82" i="4" s="1"/>
  <c r="U83" i="4" a="1"/>
  <c r="U83" i="4" s="1"/>
  <c r="U86" i="4" a="1"/>
  <c r="U86" i="4" s="1"/>
  <c r="V78" i="4" a="1"/>
  <c r="V78" i="4" s="1"/>
  <c r="V72" i="4" a="1"/>
  <c r="V72" i="4" s="1"/>
  <c r="V79" i="4" a="1"/>
  <c r="V79" i="4" s="1"/>
  <c r="V81" i="4" a="1"/>
  <c r="V81" i="4" s="1"/>
  <c r="I398" i="1"/>
  <c r="I103" i="1"/>
  <c r="I447" i="1"/>
  <c r="I472" i="1"/>
  <c r="I371" i="1"/>
  <c r="I445" i="1"/>
  <c r="I23" i="1"/>
  <c r="I106" i="1"/>
  <c r="I372" i="1"/>
  <c r="I378" i="1"/>
  <c r="I297" i="1"/>
  <c r="I315" i="1"/>
  <c r="I105" i="1"/>
  <c r="I329" i="1"/>
  <c r="I130" i="1"/>
  <c r="I296" i="1"/>
  <c r="I328" i="1"/>
  <c r="I406" i="1"/>
  <c r="I104" i="1"/>
  <c r="I438" i="1"/>
  <c r="I317" i="1"/>
  <c r="I276" i="1"/>
  <c r="I3" i="1"/>
  <c r="I291" i="1"/>
  <c r="I391" i="1"/>
  <c r="I114" i="1"/>
  <c r="I9" i="1"/>
  <c r="I122" i="1"/>
  <c r="I379" i="1"/>
  <c r="I394" i="1"/>
  <c r="I274" i="1"/>
  <c r="I273" i="1"/>
  <c r="I20" i="1"/>
  <c r="I277" i="1"/>
  <c r="I287" i="1"/>
  <c r="I96" i="1"/>
  <c r="I354" i="1"/>
  <c r="I330" i="1"/>
  <c r="I16" i="1"/>
  <c r="I346" i="1"/>
  <c r="I335" i="1"/>
  <c r="I127" i="1"/>
  <c r="I475" i="1"/>
  <c r="I340" i="1"/>
  <c r="I320" i="1"/>
  <c r="I124" i="1"/>
  <c r="I141" i="1"/>
  <c r="I119" i="1"/>
  <c r="I383" i="1"/>
  <c r="I258" i="1"/>
  <c r="I390" i="1"/>
  <c r="I313" i="1"/>
  <c r="I120" i="1"/>
  <c r="I319" i="1"/>
  <c r="I10" i="1"/>
  <c r="I112" i="1"/>
  <c r="I293" i="1"/>
  <c r="I316" i="1"/>
  <c r="I11" i="1"/>
  <c r="I6" i="1"/>
  <c r="I355" i="1"/>
  <c r="I113" i="1"/>
  <c r="I115" i="1"/>
  <c r="I126" i="1"/>
  <c r="I285" i="1"/>
  <c r="I288" i="1"/>
  <c r="I302" i="1"/>
  <c r="I125" i="1"/>
  <c r="I5" i="1"/>
  <c r="I7" i="1"/>
  <c r="I308" i="1"/>
  <c r="I290" i="1"/>
  <c r="I399" i="1"/>
  <c r="I377" i="1"/>
  <c r="I323" i="1"/>
  <c r="I18" i="1"/>
  <c r="I286" i="1"/>
  <c r="I405" i="1"/>
  <c r="I17" i="1"/>
  <c r="I111" i="1"/>
  <c r="I289" i="1"/>
  <c r="I4" i="1"/>
  <c r="I109" i="1"/>
  <c r="I341" i="1"/>
  <c r="I305" i="1"/>
  <c r="I314" i="1"/>
  <c r="I318" i="1"/>
  <c r="I446" i="1"/>
  <c r="I443" i="1"/>
  <c r="I423" i="1"/>
  <c r="I421" i="1"/>
  <c r="I393" i="1"/>
  <c r="I422" i="1"/>
  <c r="H482" i="1"/>
  <c r="G89" i="4" a="1"/>
  <c r="G89" i="4" s="1"/>
  <c r="H284" i="1" s="1"/>
  <c r="G81" i="4" a="1"/>
  <c r="G81" i="4" s="1"/>
  <c r="H407" i="1" s="1"/>
  <c r="G73" i="4" a="1"/>
  <c r="G73" i="4" s="1"/>
  <c r="H125" i="1" s="1"/>
  <c r="G88" i="4" a="1"/>
  <c r="G88" i="4" s="1"/>
  <c r="H23" i="1" s="1"/>
  <c r="G80" i="4" a="1"/>
  <c r="G80" i="4" s="1"/>
  <c r="H10" i="1" s="1"/>
  <c r="G72" i="4" a="1"/>
  <c r="G72" i="4" s="1"/>
  <c r="H330" i="1" s="1"/>
  <c r="G87" i="4" a="1"/>
  <c r="G87" i="4" s="1"/>
  <c r="H283" i="1" s="1"/>
  <c r="G79" i="4" a="1"/>
  <c r="G79" i="4" s="1"/>
  <c r="H5" i="1" s="1"/>
  <c r="G71" i="4" a="1"/>
  <c r="G71" i="4" s="1"/>
  <c r="H127" i="1" s="1"/>
  <c r="G77" i="4" a="1"/>
  <c r="G77" i="4" s="1"/>
  <c r="H461" i="1" s="1"/>
  <c r="G76" i="4" a="1"/>
  <c r="G76" i="4" s="1"/>
  <c r="H401" i="1" s="1"/>
  <c r="G86" i="4" a="1"/>
  <c r="G86" i="4" s="1"/>
  <c r="H445" i="1" s="1"/>
  <c r="G78" i="4" a="1"/>
  <c r="G78" i="4" s="1"/>
  <c r="H137" i="1" s="1"/>
  <c r="G70" i="4" a="1"/>
  <c r="G70" i="4" s="1"/>
  <c r="H260" i="1" s="1"/>
  <c r="G85" i="4" a="1"/>
  <c r="G85" i="4" s="1"/>
  <c r="H153" i="1" s="1"/>
  <c r="G84" i="4" a="1"/>
  <c r="G84" i="4" s="1"/>
  <c r="H340" i="1" s="1"/>
  <c r="G83" i="4" a="1"/>
  <c r="G83" i="4" s="1"/>
  <c r="H146" i="1" s="1"/>
  <c r="G75" i="4" a="1"/>
  <c r="G75" i="4" s="1"/>
  <c r="H370" i="1" s="1"/>
  <c r="G82" i="4" a="1"/>
  <c r="G82" i="4" s="1"/>
  <c r="H333" i="1" s="1"/>
  <c r="G74" i="4" a="1"/>
  <c r="G74" i="4" s="1"/>
  <c r="H104" i="1" s="1"/>
  <c r="I429" i="1"/>
  <c r="I279" i="1"/>
  <c r="I430" i="1"/>
  <c r="I95" i="1"/>
  <c r="I283" i="1"/>
  <c r="H492" i="1"/>
  <c r="H485" i="1"/>
  <c r="H352" i="1"/>
  <c r="H388" i="1"/>
  <c r="H491" i="1"/>
  <c r="H449" i="1"/>
  <c r="H351" i="1"/>
  <c r="H152" i="1"/>
  <c r="H271" i="1"/>
  <c r="H34" i="1"/>
  <c r="H384" i="1"/>
  <c r="H479" i="1" l="1"/>
  <c r="H120" i="1"/>
  <c r="M428" i="1"/>
  <c r="M447" i="1"/>
  <c r="M282" i="1"/>
  <c r="M445" i="1"/>
  <c r="M328" i="1"/>
  <c r="M316" i="1"/>
  <c r="M296" i="1"/>
  <c r="M288" i="1"/>
  <c r="M112" i="1"/>
  <c r="M8" i="1"/>
  <c r="M391" i="1"/>
  <c r="M323" i="1"/>
  <c r="M319" i="1"/>
  <c r="M315" i="1"/>
  <c r="M291" i="1"/>
  <c r="M287" i="1"/>
  <c r="M115" i="1"/>
  <c r="M7" i="1"/>
  <c r="M406" i="1"/>
  <c r="M318" i="1"/>
  <c r="M314" i="1"/>
  <c r="M290" i="1"/>
  <c r="M286" i="1"/>
  <c r="M114" i="1"/>
  <c r="M10" i="1"/>
  <c r="M6" i="1"/>
  <c r="M317" i="1"/>
  <c r="M313" i="1"/>
  <c r="M297" i="1"/>
  <c r="M293" i="1"/>
  <c r="M289" i="1"/>
  <c r="M113" i="1"/>
  <c r="M9" i="1"/>
  <c r="M308" i="1"/>
  <c r="M4" i="1"/>
  <c r="M111" i="1"/>
  <c r="M3" i="1"/>
  <c r="M394" i="1"/>
  <c r="M390" i="1"/>
  <c r="M110" i="1"/>
  <c r="M405" i="1"/>
  <c r="M329" i="1"/>
  <c r="M305" i="1"/>
  <c r="M285" i="1"/>
  <c r="M109" i="1"/>
  <c r="M5" i="1"/>
  <c r="N428" i="1"/>
  <c r="N447" i="1"/>
  <c r="N282" i="1"/>
  <c r="N445" i="1"/>
  <c r="M440" i="1"/>
  <c r="M23" i="1"/>
  <c r="M417" i="1"/>
  <c r="M408" i="1"/>
  <c r="M392" i="1"/>
  <c r="M470" i="1"/>
  <c r="M306" i="1"/>
  <c r="M146" i="1"/>
  <c r="M413" i="1"/>
  <c r="N468" i="1"/>
  <c r="N460" i="1"/>
  <c r="N432" i="1"/>
  <c r="N28" i="1"/>
  <c r="N479" i="1"/>
  <c r="N435" i="1"/>
  <c r="N343" i="1"/>
  <c r="N311" i="1"/>
  <c r="N143" i="1"/>
  <c r="N461" i="1"/>
  <c r="N433" i="1"/>
  <c r="N309" i="1"/>
  <c r="N440" i="1"/>
  <c r="N23" i="1"/>
  <c r="N417" i="1"/>
  <c r="N260" i="1"/>
  <c r="N96" i="1"/>
  <c r="N383" i="1"/>
  <c r="N11" i="1"/>
  <c r="M376" i="1"/>
  <c r="M320" i="1"/>
  <c r="M124" i="1"/>
  <c r="M16" i="1"/>
  <c r="M475" i="1"/>
  <c r="M354" i="1"/>
  <c r="M346" i="1"/>
  <c r="M330" i="1"/>
  <c r="M336" i="1"/>
  <c r="M332" i="1"/>
  <c r="M304" i="1"/>
  <c r="M300" i="1"/>
  <c r="M140" i="1"/>
  <c r="M339" i="1"/>
  <c r="M331" i="1"/>
  <c r="M299" i="1"/>
  <c r="M139" i="1"/>
  <c r="M27" i="1"/>
  <c r="M334" i="1"/>
  <c r="M298" i="1"/>
  <c r="M333" i="1"/>
  <c r="M321" i="1"/>
  <c r="M301" i="1"/>
  <c r="M472" i="1"/>
  <c r="M407" i="1"/>
  <c r="M142" i="1"/>
  <c r="M469" i="1"/>
  <c r="N404" i="1"/>
  <c r="N400" i="1"/>
  <c r="N486" i="1"/>
  <c r="N402" i="1"/>
  <c r="N401" i="1"/>
  <c r="N373" i="1"/>
  <c r="N121" i="1"/>
  <c r="N13" i="1"/>
  <c r="M480" i="1"/>
  <c r="M456" i="1"/>
  <c r="M144" i="1"/>
  <c r="M136" i="1"/>
  <c r="M455" i="1"/>
  <c r="M478" i="1"/>
  <c r="M462" i="1"/>
  <c r="M458" i="1"/>
  <c r="M454" i="1"/>
  <c r="M434" i="1"/>
  <c r="M138" i="1"/>
  <c r="M26" i="1"/>
  <c r="M477" i="1"/>
  <c r="M457" i="1"/>
  <c r="M453" i="1"/>
  <c r="M137" i="1"/>
  <c r="M29" i="1"/>
  <c r="N116" i="1"/>
  <c r="N12" i="1"/>
  <c r="N375" i="1"/>
  <c r="N123" i="1"/>
  <c r="N15" i="1"/>
  <c r="N474" i="1"/>
  <c r="N374" i="1"/>
  <c r="N370" i="1"/>
  <c r="N118" i="1"/>
  <c r="N385" i="1"/>
  <c r="N353" i="1"/>
  <c r="N345" i="1"/>
  <c r="N129" i="1"/>
  <c r="N117" i="1"/>
  <c r="N21" i="1"/>
  <c r="M371" i="1"/>
  <c r="M127" i="1"/>
  <c r="M119" i="1"/>
  <c r="M19" i="1"/>
  <c r="M404" i="1"/>
  <c r="M400" i="1"/>
  <c r="M486" i="1"/>
  <c r="M402" i="1"/>
  <c r="M401" i="1"/>
  <c r="M373" i="1"/>
  <c r="M121" i="1"/>
  <c r="M13" i="1"/>
  <c r="N371" i="1"/>
  <c r="N127" i="1"/>
  <c r="N119" i="1"/>
  <c r="N19" i="1"/>
  <c r="N472" i="1"/>
  <c r="N407" i="1"/>
  <c r="N142" i="1"/>
  <c r="N469" i="1"/>
  <c r="M35" i="1"/>
  <c r="M357" i="1"/>
  <c r="M153" i="1"/>
  <c r="N328" i="1"/>
  <c r="N316" i="1"/>
  <c r="N296" i="1"/>
  <c r="N288" i="1"/>
  <c r="N112" i="1"/>
  <c r="N8" i="1"/>
  <c r="N391" i="1"/>
  <c r="N323" i="1"/>
  <c r="N319" i="1"/>
  <c r="N315" i="1"/>
  <c r="N291" i="1"/>
  <c r="N287" i="1"/>
  <c r="N115" i="1"/>
  <c r="N7" i="1"/>
  <c r="N406" i="1"/>
  <c r="N318" i="1"/>
  <c r="N314" i="1"/>
  <c r="N290" i="1"/>
  <c r="N286" i="1"/>
  <c r="N114" i="1"/>
  <c r="N10" i="1"/>
  <c r="N6" i="1"/>
  <c r="N317" i="1"/>
  <c r="N313" i="1"/>
  <c r="N297" i="1"/>
  <c r="N293" i="1"/>
  <c r="N289" i="1"/>
  <c r="N113" i="1"/>
  <c r="N9" i="1"/>
  <c r="N308" i="1"/>
  <c r="N4" i="1"/>
  <c r="N111" i="1"/>
  <c r="N3" i="1"/>
  <c r="N394" i="1"/>
  <c r="N390" i="1"/>
  <c r="N110" i="1"/>
  <c r="N405" i="1"/>
  <c r="N329" i="1"/>
  <c r="N305" i="1"/>
  <c r="N285" i="1"/>
  <c r="N109" i="1"/>
  <c r="N5" i="1"/>
  <c r="N276" i="1"/>
  <c r="N128" i="1"/>
  <c r="N104" i="1"/>
  <c r="N20" i="1"/>
  <c r="N379" i="1"/>
  <c r="N275" i="1"/>
  <c r="N103" i="1"/>
  <c r="N438" i="1"/>
  <c r="N378" i="1"/>
  <c r="N274" i="1"/>
  <c r="N130" i="1"/>
  <c r="N122" i="1"/>
  <c r="N106" i="1"/>
  <c r="N14" i="1"/>
  <c r="N277" i="1"/>
  <c r="N273" i="1"/>
  <c r="N105" i="1"/>
  <c r="M260" i="1"/>
  <c r="M96" i="1"/>
  <c r="M383" i="1"/>
  <c r="M11" i="1"/>
  <c r="N340" i="1"/>
  <c r="N335" i="1"/>
  <c r="N342" i="1"/>
  <c r="N302" i="1"/>
  <c r="N341" i="1"/>
  <c r="N141" i="1"/>
  <c r="N408" i="1"/>
  <c r="N392" i="1"/>
  <c r="N470" i="1"/>
  <c r="N306" i="1"/>
  <c r="N146" i="1"/>
  <c r="N413" i="1"/>
  <c r="M443" i="1"/>
  <c r="M423" i="1"/>
  <c r="M283" i="1"/>
  <c r="M279" i="1"/>
  <c r="M259" i="1"/>
  <c r="M95" i="1"/>
  <c r="M446" i="1"/>
  <c r="M430" i="1"/>
  <c r="M422" i="1"/>
  <c r="M258" i="1"/>
  <c r="M429" i="1"/>
  <c r="M421" i="1"/>
  <c r="M393" i="1"/>
  <c r="H18" i="1"/>
  <c r="N376" i="1"/>
  <c r="N320" i="1"/>
  <c r="N124" i="1"/>
  <c r="N16" i="1"/>
  <c r="N475" i="1"/>
  <c r="N354" i="1"/>
  <c r="N346" i="1"/>
  <c r="N330" i="1"/>
  <c r="M340" i="1"/>
  <c r="M335" i="1"/>
  <c r="M342" i="1"/>
  <c r="M302" i="1"/>
  <c r="M341" i="1"/>
  <c r="M141" i="1"/>
  <c r="M468" i="1"/>
  <c r="M460" i="1"/>
  <c r="M432" i="1"/>
  <c r="M28" i="1"/>
  <c r="M479" i="1"/>
  <c r="M435" i="1"/>
  <c r="M343" i="1"/>
  <c r="M311" i="1"/>
  <c r="M143" i="1"/>
  <c r="M461" i="1"/>
  <c r="M433" i="1"/>
  <c r="M309" i="1"/>
  <c r="N443" i="1"/>
  <c r="N423" i="1"/>
  <c r="N283" i="1"/>
  <c r="N279" i="1"/>
  <c r="N259" i="1"/>
  <c r="N95" i="1"/>
  <c r="N446" i="1"/>
  <c r="N430" i="1"/>
  <c r="N422" i="1"/>
  <c r="N258" i="1"/>
  <c r="N429" i="1"/>
  <c r="N421" i="1"/>
  <c r="N393" i="1"/>
  <c r="M372" i="1"/>
  <c r="M120" i="1"/>
  <c r="M439" i="1"/>
  <c r="M399" i="1"/>
  <c r="M355" i="1"/>
  <c r="M398" i="1"/>
  <c r="M126" i="1"/>
  <c r="M18" i="1"/>
  <c r="M377" i="1"/>
  <c r="M125" i="1"/>
  <c r="M17" i="1"/>
  <c r="H298" i="1"/>
  <c r="N35" i="1"/>
  <c r="N357" i="1"/>
  <c r="N153" i="1"/>
  <c r="N480" i="1"/>
  <c r="N456" i="1"/>
  <c r="N144" i="1"/>
  <c r="N136" i="1"/>
  <c r="N455" i="1"/>
  <c r="N478" i="1"/>
  <c r="N462" i="1"/>
  <c r="N458" i="1"/>
  <c r="N454" i="1"/>
  <c r="N434" i="1"/>
  <c r="N138" i="1"/>
  <c r="N26" i="1"/>
  <c r="N477" i="1"/>
  <c r="N457" i="1"/>
  <c r="N453" i="1"/>
  <c r="N137" i="1"/>
  <c r="N29" i="1"/>
  <c r="M276" i="1"/>
  <c r="M128" i="1"/>
  <c r="M104" i="1"/>
  <c r="M20" i="1"/>
  <c r="M379" i="1"/>
  <c r="M275" i="1"/>
  <c r="M103" i="1"/>
  <c r="M438" i="1"/>
  <c r="M378" i="1"/>
  <c r="M274" i="1"/>
  <c r="M130" i="1"/>
  <c r="M122" i="1"/>
  <c r="M106" i="1"/>
  <c r="M14" i="1"/>
  <c r="M277" i="1"/>
  <c r="M273" i="1"/>
  <c r="M105" i="1"/>
  <c r="N372" i="1"/>
  <c r="N120" i="1"/>
  <c r="N439" i="1"/>
  <c r="N399" i="1"/>
  <c r="N355" i="1"/>
  <c r="N398" i="1"/>
  <c r="N126" i="1"/>
  <c r="N18" i="1"/>
  <c r="N377" i="1"/>
  <c r="N125" i="1"/>
  <c r="N17" i="1"/>
  <c r="M116" i="1"/>
  <c r="M12" i="1"/>
  <c r="M375" i="1"/>
  <c r="M123" i="1"/>
  <c r="M15" i="1"/>
  <c r="M474" i="1"/>
  <c r="M374" i="1"/>
  <c r="M370" i="1"/>
  <c r="M118" i="1"/>
  <c r="M385" i="1"/>
  <c r="M353" i="1"/>
  <c r="M345" i="1"/>
  <c r="M129" i="1"/>
  <c r="M117" i="1"/>
  <c r="M21" i="1"/>
  <c r="N336" i="1"/>
  <c r="N332" i="1"/>
  <c r="N304" i="1"/>
  <c r="N300" i="1"/>
  <c r="N140" i="1"/>
  <c r="N339" i="1"/>
  <c r="N331" i="1"/>
  <c r="N299" i="1"/>
  <c r="N139" i="1"/>
  <c r="N27" i="1"/>
  <c r="N334" i="1"/>
  <c r="N298" i="1"/>
  <c r="N333" i="1"/>
  <c r="N321" i="1"/>
  <c r="N301" i="1"/>
  <c r="Q88" i="4"/>
  <c r="Q86" i="4"/>
  <c r="Q72" i="4"/>
  <c r="Q75" i="4"/>
  <c r="Q87" i="4"/>
  <c r="Q77" i="4"/>
  <c r="Q71" i="4"/>
  <c r="J470" i="1"/>
  <c r="J306" i="1"/>
  <c r="J146" i="1"/>
  <c r="J413" i="1"/>
  <c r="J408" i="1"/>
  <c r="J392" i="1"/>
  <c r="J9" i="1"/>
  <c r="J112" i="1"/>
  <c r="J8" i="1"/>
  <c r="J406" i="1"/>
  <c r="J318" i="1"/>
  <c r="J314" i="1"/>
  <c r="J290" i="1"/>
  <c r="J286" i="1"/>
  <c r="J114" i="1"/>
  <c r="J10" i="1"/>
  <c r="J6" i="1"/>
  <c r="J317" i="1"/>
  <c r="J313" i="1"/>
  <c r="J297" i="1"/>
  <c r="J293" i="1"/>
  <c r="J289" i="1"/>
  <c r="J113" i="1"/>
  <c r="J328" i="1"/>
  <c r="J316" i="1"/>
  <c r="J296" i="1"/>
  <c r="J288" i="1"/>
  <c r="J391" i="1"/>
  <c r="J323" i="1"/>
  <c r="J319" i="1"/>
  <c r="J315" i="1"/>
  <c r="J291" i="1"/>
  <c r="J287" i="1"/>
  <c r="J115" i="1"/>
  <c r="J7" i="1"/>
  <c r="J438" i="1"/>
  <c r="J378" i="1"/>
  <c r="J274" i="1"/>
  <c r="J130" i="1"/>
  <c r="J122" i="1"/>
  <c r="J106" i="1"/>
  <c r="J14" i="1"/>
  <c r="J105" i="1"/>
  <c r="J20" i="1"/>
  <c r="J277" i="1"/>
  <c r="J273" i="1"/>
  <c r="J128" i="1"/>
  <c r="J104" i="1"/>
  <c r="J276" i="1"/>
  <c r="J379" i="1"/>
  <c r="J275" i="1"/>
  <c r="J103" i="1"/>
  <c r="J486" i="1"/>
  <c r="J402" i="1"/>
  <c r="J121" i="1"/>
  <c r="J13" i="1"/>
  <c r="J401" i="1"/>
  <c r="J373" i="1"/>
  <c r="J404" i="1"/>
  <c r="J400" i="1"/>
  <c r="K470" i="1"/>
  <c r="K306" i="1"/>
  <c r="K146" i="1"/>
  <c r="K413" i="1"/>
  <c r="K408" i="1"/>
  <c r="K392" i="1"/>
  <c r="J357" i="1"/>
  <c r="J153" i="1"/>
  <c r="J35" i="1"/>
  <c r="K446" i="1"/>
  <c r="K430" i="1"/>
  <c r="K422" i="1"/>
  <c r="K258" i="1"/>
  <c r="K429" i="1"/>
  <c r="K421" i="1"/>
  <c r="K393" i="1"/>
  <c r="K443" i="1"/>
  <c r="K423" i="1"/>
  <c r="K283" i="1"/>
  <c r="K279" i="1"/>
  <c r="K259" i="1"/>
  <c r="K95" i="1"/>
  <c r="J342" i="1"/>
  <c r="J302" i="1"/>
  <c r="J141" i="1"/>
  <c r="J341" i="1"/>
  <c r="J340" i="1"/>
  <c r="J335" i="1"/>
  <c r="K334" i="1"/>
  <c r="K298" i="1"/>
  <c r="K27" i="1"/>
  <c r="K333" i="1"/>
  <c r="K321" i="1"/>
  <c r="K301" i="1"/>
  <c r="K336" i="1"/>
  <c r="K332" i="1"/>
  <c r="K304" i="1"/>
  <c r="K300" i="1"/>
  <c r="K140" i="1"/>
  <c r="K339" i="1"/>
  <c r="K331" i="1"/>
  <c r="K299" i="1"/>
  <c r="K139" i="1"/>
  <c r="J144" i="1"/>
  <c r="J478" i="1"/>
  <c r="J462" i="1"/>
  <c r="J458" i="1"/>
  <c r="J454" i="1"/>
  <c r="J434" i="1"/>
  <c r="J138" i="1"/>
  <c r="J26" i="1"/>
  <c r="J29" i="1"/>
  <c r="J137" i="1"/>
  <c r="J136" i="1"/>
  <c r="J477" i="1"/>
  <c r="J457" i="1"/>
  <c r="J453" i="1"/>
  <c r="J480" i="1"/>
  <c r="J456" i="1"/>
  <c r="J455" i="1"/>
  <c r="K394" i="1"/>
  <c r="K390" i="1"/>
  <c r="K110" i="1"/>
  <c r="K4" i="1"/>
  <c r="K3" i="1"/>
  <c r="K405" i="1"/>
  <c r="K329" i="1"/>
  <c r="K305" i="1"/>
  <c r="K285" i="1"/>
  <c r="K109" i="1"/>
  <c r="K5" i="1"/>
  <c r="K308" i="1"/>
  <c r="K111" i="1"/>
  <c r="J334" i="1"/>
  <c r="J298" i="1"/>
  <c r="J140" i="1"/>
  <c r="J333" i="1"/>
  <c r="J321" i="1"/>
  <c r="J301" i="1"/>
  <c r="J336" i="1"/>
  <c r="J332" i="1"/>
  <c r="J304" i="1"/>
  <c r="J300" i="1"/>
  <c r="J339" i="1"/>
  <c r="J331" i="1"/>
  <c r="J299" i="1"/>
  <c r="J139" i="1"/>
  <c r="J27" i="1"/>
  <c r="Q82" i="4"/>
  <c r="Q74" i="4"/>
  <c r="Q84" i="4"/>
  <c r="K478" i="1"/>
  <c r="K462" i="1"/>
  <c r="K458" i="1"/>
  <c r="K454" i="1"/>
  <c r="K434" i="1"/>
  <c r="K138" i="1"/>
  <c r="K26" i="1"/>
  <c r="K477" i="1"/>
  <c r="K457" i="1"/>
  <c r="K453" i="1"/>
  <c r="K137" i="1"/>
  <c r="K29" i="1"/>
  <c r="K480" i="1"/>
  <c r="K456" i="1"/>
  <c r="K144" i="1"/>
  <c r="K136" i="1"/>
  <c r="K455" i="1"/>
  <c r="J461" i="1"/>
  <c r="J433" i="1"/>
  <c r="J309" i="1"/>
  <c r="J468" i="1"/>
  <c r="J460" i="1"/>
  <c r="J432" i="1"/>
  <c r="J479" i="1"/>
  <c r="J435" i="1"/>
  <c r="J343" i="1"/>
  <c r="J311" i="1"/>
  <c r="J143" i="1"/>
  <c r="J28" i="1"/>
  <c r="K23" i="1"/>
  <c r="K417" i="1"/>
  <c r="K440" i="1"/>
  <c r="K438" i="1"/>
  <c r="K378" i="1"/>
  <c r="K274" i="1"/>
  <c r="K130" i="1"/>
  <c r="K122" i="1"/>
  <c r="K106" i="1"/>
  <c r="K14" i="1"/>
  <c r="K103" i="1"/>
  <c r="K277" i="1"/>
  <c r="K273" i="1"/>
  <c r="K105" i="1"/>
  <c r="K276" i="1"/>
  <c r="K104" i="1"/>
  <c r="K379" i="1"/>
  <c r="K275" i="1"/>
  <c r="K128" i="1"/>
  <c r="K20" i="1"/>
  <c r="J398" i="1"/>
  <c r="J126" i="1"/>
  <c r="J18" i="1"/>
  <c r="J17" i="1"/>
  <c r="J377" i="1"/>
  <c r="J372" i="1"/>
  <c r="J120" i="1"/>
  <c r="J439" i="1"/>
  <c r="J399" i="1"/>
  <c r="J355" i="1"/>
  <c r="J125" i="1"/>
  <c r="J371" i="1"/>
  <c r="J127" i="1"/>
  <c r="J119" i="1"/>
  <c r="J19" i="1"/>
  <c r="Q80" i="4"/>
  <c r="Q78" i="4"/>
  <c r="J109" i="1"/>
  <c r="J394" i="1"/>
  <c r="J390" i="1"/>
  <c r="J110" i="1"/>
  <c r="J5" i="1"/>
  <c r="J405" i="1"/>
  <c r="J329" i="1"/>
  <c r="J305" i="1"/>
  <c r="J285" i="1"/>
  <c r="J308" i="1"/>
  <c r="J111" i="1"/>
  <c r="J3" i="1"/>
  <c r="J4" i="1"/>
  <c r="J129" i="1"/>
  <c r="J474" i="1"/>
  <c r="J374" i="1"/>
  <c r="J370" i="1"/>
  <c r="J118" i="1"/>
  <c r="J116" i="1"/>
  <c r="J117" i="1"/>
  <c r="J385" i="1"/>
  <c r="J353" i="1"/>
  <c r="J345" i="1"/>
  <c r="J12" i="1"/>
  <c r="J375" i="1"/>
  <c r="J123" i="1"/>
  <c r="J15" i="1"/>
  <c r="J21" i="1"/>
  <c r="K119" i="1"/>
  <c r="K19" i="1"/>
  <c r="K371" i="1"/>
  <c r="K127" i="1"/>
  <c r="J354" i="1"/>
  <c r="J346" i="1"/>
  <c r="J330" i="1"/>
  <c r="J16" i="1"/>
  <c r="J376" i="1"/>
  <c r="J320" i="1"/>
  <c r="J475" i="1"/>
  <c r="J124" i="1"/>
  <c r="K474" i="1"/>
  <c r="K374" i="1"/>
  <c r="K370" i="1"/>
  <c r="K118" i="1"/>
  <c r="K116" i="1"/>
  <c r="K385" i="1"/>
  <c r="K353" i="1"/>
  <c r="K345" i="1"/>
  <c r="K129" i="1"/>
  <c r="K117" i="1"/>
  <c r="K21" i="1"/>
  <c r="K12" i="1"/>
  <c r="K15" i="1"/>
  <c r="K375" i="1"/>
  <c r="K123" i="1"/>
  <c r="J417" i="1"/>
  <c r="J440" i="1"/>
  <c r="J23" i="1"/>
  <c r="K342" i="1"/>
  <c r="K302" i="1"/>
  <c r="K341" i="1"/>
  <c r="K141" i="1"/>
  <c r="K340" i="1"/>
  <c r="K335" i="1"/>
  <c r="J96" i="1"/>
  <c r="J260" i="1"/>
  <c r="J383" i="1"/>
  <c r="J11" i="1"/>
  <c r="Q79" i="4"/>
  <c r="Q70" i="4"/>
  <c r="Q73" i="4"/>
  <c r="K357" i="1"/>
  <c r="K153" i="1"/>
  <c r="K35" i="1"/>
  <c r="K406" i="1"/>
  <c r="K318" i="1"/>
  <c r="K314" i="1"/>
  <c r="K290" i="1"/>
  <c r="K286" i="1"/>
  <c r="K114" i="1"/>
  <c r="K10" i="1"/>
  <c r="K6" i="1"/>
  <c r="K112" i="1"/>
  <c r="K8" i="1"/>
  <c r="K115" i="1"/>
  <c r="K317" i="1"/>
  <c r="K313" i="1"/>
  <c r="K297" i="1"/>
  <c r="K293" i="1"/>
  <c r="K289" i="1"/>
  <c r="K113" i="1"/>
  <c r="K9" i="1"/>
  <c r="K328" i="1"/>
  <c r="K316" i="1"/>
  <c r="K296" i="1"/>
  <c r="K288" i="1"/>
  <c r="K391" i="1"/>
  <c r="K323" i="1"/>
  <c r="K319" i="1"/>
  <c r="K315" i="1"/>
  <c r="K291" i="1"/>
  <c r="K287" i="1"/>
  <c r="K7" i="1"/>
  <c r="J446" i="1"/>
  <c r="J430" i="1"/>
  <c r="J422" i="1"/>
  <c r="J258" i="1"/>
  <c r="J429" i="1"/>
  <c r="J421" i="1"/>
  <c r="J393" i="1"/>
  <c r="J443" i="1"/>
  <c r="J423" i="1"/>
  <c r="J283" i="1"/>
  <c r="J279" i="1"/>
  <c r="J259" i="1"/>
  <c r="J95" i="1"/>
  <c r="J282" i="1"/>
  <c r="J445" i="1"/>
  <c r="J428" i="1"/>
  <c r="J447" i="1"/>
  <c r="J142" i="1"/>
  <c r="J469" i="1"/>
  <c r="J472" i="1"/>
  <c r="J407" i="1"/>
  <c r="K398" i="1"/>
  <c r="K126" i="1"/>
  <c r="K18" i="1"/>
  <c r="K377" i="1"/>
  <c r="K125" i="1"/>
  <c r="K17" i="1"/>
  <c r="K120" i="1"/>
  <c r="K372" i="1"/>
  <c r="K439" i="1"/>
  <c r="K399" i="1"/>
  <c r="K355" i="1"/>
  <c r="K486" i="1"/>
  <c r="K402" i="1"/>
  <c r="K401" i="1"/>
  <c r="K373" i="1"/>
  <c r="K121" i="1"/>
  <c r="K13" i="1"/>
  <c r="K404" i="1"/>
  <c r="K400" i="1"/>
  <c r="K260" i="1"/>
  <c r="K11" i="1"/>
  <c r="K383" i="1"/>
  <c r="K96" i="1"/>
  <c r="K142" i="1"/>
  <c r="K469" i="1"/>
  <c r="K472" i="1"/>
  <c r="K407" i="1"/>
  <c r="K282" i="1"/>
  <c r="K445" i="1"/>
  <c r="K428" i="1"/>
  <c r="K447" i="1"/>
  <c r="K28" i="1"/>
  <c r="K461" i="1"/>
  <c r="K433" i="1"/>
  <c r="K309" i="1"/>
  <c r="K468" i="1"/>
  <c r="K460" i="1"/>
  <c r="K432" i="1"/>
  <c r="K479" i="1"/>
  <c r="K435" i="1"/>
  <c r="K343" i="1"/>
  <c r="K311" i="1"/>
  <c r="K143" i="1"/>
  <c r="K354" i="1"/>
  <c r="K346" i="1"/>
  <c r="K330" i="1"/>
  <c r="K16" i="1"/>
  <c r="K376" i="1"/>
  <c r="K320" i="1"/>
  <c r="K124" i="1"/>
  <c r="K475" i="1"/>
  <c r="Q83" i="4"/>
  <c r="Q85" i="4"/>
  <c r="Q81" i="4"/>
  <c r="Q89" i="4"/>
  <c r="Q76" i="4"/>
  <c r="H306" i="1"/>
  <c r="H390" i="1"/>
  <c r="H309" i="1"/>
  <c r="H468" i="1"/>
  <c r="H432" i="1"/>
  <c r="H433" i="1"/>
  <c r="H460" i="1"/>
  <c r="H142" i="1"/>
  <c r="H469" i="1"/>
  <c r="H311" i="1"/>
  <c r="H21" i="1"/>
  <c r="H345" i="1"/>
  <c r="H129" i="1"/>
  <c r="H123" i="1"/>
  <c r="H305" i="1"/>
  <c r="H28" i="1"/>
  <c r="H375" i="1"/>
  <c r="H143" i="1"/>
  <c r="H374" i="1"/>
  <c r="H435" i="1"/>
  <c r="H12" i="1"/>
  <c r="H385" i="1"/>
  <c r="H353" i="1"/>
  <c r="H118" i="1"/>
  <c r="H343" i="1"/>
  <c r="H472" i="1"/>
  <c r="H474" i="1"/>
  <c r="H111" i="1"/>
  <c r="H405" i="1"/>
  <c r="H398" i="1"/>
  <c r="H329" i="1"/>
  <c r="H109" i="1"/>
  <c r="H16" i="1"/>
  <c r="H475" i="1"/>
  <c r="H346" i="1"/>
  <c r="H429" i="1"/>
  <c r="H393" i="1"/>
  <c r="H354" i="1"/>
  <c r="H320" i="1"/>
  <c r="H11" i="1"/>
  <c r="H376" i="1"/>
  <c r="H124" i="1"/>
  <c r="H96" i="1"/>
  <c r="H408" i="1"/>
  <c r="H371" i="1"/>
  <c r="H19" i="1"/>
  <c r="H413" i="1"/>
  <c r="H141" i="1"/>
  <c r="H335" i="1"/>
  <c r="H394" i="1"/>
  <c r="H285" i="1"/>
  <c r="H3" i="1"/>
  <c r="H342" i="1"/>
  <c r="H470" i="1"/>
  <c r="H392" i="1"/>
  <c r="H119" i="1"/>
  <c r="H4" i="1"/>
  <c r="H308" i="1"/>
  <c r="H110" i="1"/>
  <c r="H302" i="1"/>
  <c r="H447" i="1"/>
  <c r="H117" i="1"/>
  <c r="H383" i="1"/>
  <c r="H116" i="1"/>
  <c r="H15" i="1"/>
  <c r="H423" i="1"/>
  <c r="H259" i="1"/>
  <c r="H421" i="1"/>
  <c r="H258" i="1"/>
  <c r="H357" i="1"/>
  <c r="H443" i="1"/>
  <c r="H422" i="1"/>
  <c r="H378" i="1"/>
  <c r="H35" i="1"/>
  <c r="H430" i="1"/>
  <c r="H95" i="1"/>
  <c r="H446" i="1"/>
  <c r="H279" i="1"/>
  <c r="H438" i="1"/>
  <c r="H428" i="1"/>
  <c r="H440" i="1"/>
  <c r="H20" i="1"/>
  <c r="H103" i="1"/>
  <c r="H273" i="1"/>
  <c r="H282" i="1"/>
  <c r="H417" i="1"/>
  <c r="H14" i="1"/>
  <c r="H323" i="1"/>
  <c r="H457" i="1"/>
  <c r="H112" i="1"/>
  <c r="H9" i="1"/>
  <c r="H297" i="1"/>
  <c r="H462" i="1"/>
  <c r="H456" i="1"/>
  <c r="H6" i="1"/>
  <c r="H391" i="1"/>
  <c r="H315" i="1"/>
  <c r="H454" i="1"/>
  <c r="H115" i="1"/>
  <c r="H480" i="1"/>
  <c r="H319" i="1"/>
  <c r="H313" i="1"/>
  <c r="H314" i="1"/>
  <c r="H293" i="1"/>
  <c r="H8" i="1"/>
  <c r="H7" i="1"/>
  <c r="H138" i="1"/>
  <c r="H316" i="1"/>
  <c r="H29" i="1"/>
  <c r="H478" i="1"/>
  <c r="H317" i="1"/>
  <c r="H453" i="1"/>
  <c r="H144" i="1"/>
  <c r="H299" i="1"/>
  <c r="H290" i="1"/>
  <c r="H455" i="1"/>
  <c r="H301" i="1"/>
  <c r="H287" i="1"/>
  <c r="H136" i="1"/>
  <c r="H288" i="1"/>
  <c r="H291" i="1"/>
  <c r="H458" i="1"/>
  <c r="H113" i="1"/>
  <c r="H114" i="1"/>
  <c r="H434" i="1"/>
  <c r="H328" i="1"/>
  <c r="H406" i="1"/>
  <c r="H477" i="1"/>
  <c r="H26" i="1"/>
  <c r="H289" i="1"/>
  <c r="H318" i="1"/>
  <c r="H402" i="1"/>
  <c r="H286" i="1"/>
  <c r="H296" i="1"/>
  <c r="H274" i="1"/>
  <c r="H122" i="1"/>
  <c r="H379" i="1"/>
  <c r="H277" i="1"/>
  <c r="H341" i="1"/>
  <c r="H105" i="1"/>
  <c r="H130" i="1"/>
  <c r="H276" i="1"/>
  <c r="H275" i="1"/>
  <c r="H128" i="1"/>
  <c r="H106" i="1"/>
  <c r="H334" i="1"/>
  <c r="H372" i="1"/>
  <c r="H13" i="1"/>
  <c r="H486" i="1"/>
  <c r="H140" i="1"/>
  <c r="H400" i="1"/>
  <c r="H331" i="1"/>
  <c r="H439" i="1"/>
  <c r="H355" i="1"/>
  <c r="H321" i="1"/>
  <c r="H126" i="1"/>
  <c r="H399" i="1"/>
  <c r="H17" i="1"/>
  <c r="H27" i="1"/>
  <c r="H336" i="1"/>
  <c r="H121" i="1"/>
  <c r="H404" i="1"/>
  <c r="H304" i="1"/>
  <c r="H332" i="1"/>
  <c r="H377" i="1"/>
  <c r="H373" i="1"/>
  <c r="H139" i="1"/>
  <c r="H300" i="1"/>
  <c r="H33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Christian Rumpelnik</author>
  </authors>
  <commentList>
    <comment ref="O11" authorId="0" shapeId="0" xr:uid="{73590968-6C81-4190-BCA9-E5B8C4C8AA26}">
      <text>
        <r>
          <rPr>
            <b/>
            <sz val="9"/>
            <color rgb="FF000000"/>
            <rFont val="Tahoma"/>
            <family val="2"/>
          </rPr>
          <t>Christian Rumpelnik: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https://id.elsevier.com/as/authorization.oauth2?platSite=SD%2Fscience&amp;additionalPlatSites=GH%2Fgeneralhospital%2CMDY%2Fmendeley%2CSC%2Fscopus%2CRX%2Freaxys&amp;scope=openid%20email%20profile%20els_auth_info%20els_idp_info%20els_idp_analytics_attrs%20urn%3Acom%3Aelsevier%3Aidp%3Apolicy%3Aproduct%3Ainst_assoc&amp;response_type=code&amp;redirect_uri=https%3A%2F%2Fwww.sciencedirect.com%2Fuser%2Fidentity%2Flanding&amp;authType=SINGLE_SIGN_IN&amp;prompt=none&amp;client_id=SDFE-v4&amp;state=retryCounter%3D0%26csrfToken%3D3ee2c367-6739-4fd9-b7a7-d2a4c4b4265c%26idpPolicy%3Durn%253Acom%253Aelsevier%253Aidp%253Apolicy%253Aproduct%253Ainst_assoc%26returnUrl%3D%252Fscience%252Farticle%252Fpii%252FS2405844023102970%26prompt%3Dnone%26cid%3Darp-01a8fff7-a1a2-4fcc-9fcd-27c2863f8256#:~:text=Nitric%20acid%20is%20produced%20by,metals%20in%20plants%20%5B8%5D.</t>
        </r>
      </text>
    </comment>
    <comment ref="G53" authorId="0" shapeId="0" xr:uid="{23DB6428-97E0-4369-9D3D-96EF76B9D8E2}">
      <text>
        <r>
          <rPr>
            <b/>
            <sz val="9"/>
            <color rgb="FF000000"/>
            <rFont val="Tahoma"/>
            <family val="2"/>
          </rPr>
          <t>Christian Rumpelnik: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https://www.rhimagnesita.com/de/the-bulletin-blog/product-carbon-footprint-of-refractory-products/#:~:text=As%20a%20fallback%20for%20raw,average%20for%20refractory%20raw%20materials.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Christian Rumpelnik</author>
  </authors>
  <commentList>
    <comment ref="G1" authorId="0" shapeId="0" xr:uid="{E532F729-FFF4-4549-9278-0FC35F6EB1D4}">
      <text>
        <r>
          <rPr>
            <b/>
            <sz val="10"/>
            <color rgb="FF000000"/>
            <rFont val="Tahoma"/>
            <family val="2"/>
          </rPr>
          <t>Christian Rumpelnik: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Allocated manually
</t>
        </r>
      </text>
    </comment>
    <comment ref="H1" authorId="0" shapeId="0" xr:uid="{FD242F25-3537-1B4E-A8F7-3E49E310B2CA}">
      <text>
        <r>
          <rPr>
            <b/>
            <sz val="10"/>
            <color rgb="FF000000"/>
            <rFont val="Tahoma"/>
            <family val="2"/>
          </rPr>
          <t>Christian Rumpelnik: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ETS benchmark - actual weigthed emission factors
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I1" authorId="0" shapeId="0" xr:uid="{AC098BCA-C502-CA4A-AD17-4BE9BF86FC72}">
      <text>
        <r>
          <rPr>
            <b/>
            <sz val="10"/>
            <color rgb="FF000000"/>
            <rFont val="Tahoma"/>
            <family val="2"/>
          </rPr>
          <t>Christian Rumpelnik: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ETS Benchmark used for allocation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<sst xmlns="http://schemas.openxmlformats.org/spreadsheetml/2006/main" count="3386" uniqueCount="497">
  <si>
    <t>activity_type</t>
  </si>
  <si>
    <t>description</t>
  </si>
  <si>
    <t>nace_level2</t>
  </si>
  <si>
    <t>Freq</t>
  </si>
  <si>
    <t>Production of primary aluminium</t>
  </si>
  <si>
    <t>Aluminium production</t>
  </si>
  <si>
    <t>Basic metals</t>
  </si>
  <si>
    <t>Aluminium</t>
  </si>
  <si>
    <t>Production of secondary aluminium</t>
  </si>
  <si>
    <t>Production or processing of non-ferrous metals</t>
  </si>
  <si>
    <t>Combustion of fuels</t>
  </si>
  <si>
    <t>Combustion installations with a rated thermal input exceeding 20 MW</t>
  </si>
  <si>
    <t>Manufacture of ceramics</t>
  </si>
  <si>
    <t>Building of ships and floating structures</t>
  </si>
  <si>
    <t>Other transport equipment</t>
  </si>
  <si>
    <t>Other combustion</t>
  </si>
  <si>
    <t>Cargo handling</t>
  </si>
  <si>
    <t>Warehousing and support activities for transportation</t>
  </si>
  <si>
    <t>Production or processing of ferrous metals</t>
  </si>
  <si>
    <t>Casting of iron</t>
  </si>
  <si>
    <t>Iron &amp; Steel</t>
  </si>
  <si>
    <t>Production of pig iron or steel</t>
  </si>
  <si>
    <t>Casting of light metals</t>
  </si>
  <si>
    <t>Cold drawing of bars</t>
  </si>
  <si>
    <t>Cold drawing of wire</t>
  </si>
  <si>
    <t>Cold forming or folding</t>
  </si>
  <si>
    <t>Cold rolling of narrow strip</t>
  </si>
  <si>
    <t>Construction of roads and motorways</t>
  </si>
  <si>
    <t>Civil engineering</t>
  </si>
  <si>
    <t>Copper production</t>
  </si>
  <si>
    <t>Copper</t>
  </si>
  <si>
    <t>Data processing, hosting and related activities</t>
  </si>
  <si>
    <t>Information service activities</t>
  </si>
  <si>
    <t>Other activity opted-in pursuant to Article 24 of Directive 2003/87/EC</t>
  </si>
  <si>
    <t>Production of bulk chemicals</t>
  </si>
  <si>
    <t>Production of paper or cardboard</t>
  </si>
  <si>
    <t>Production or processing of gypsum or plasterboard</t>
  </si>
  <si>
    <t>Defence activities</t>
  </si>
  <si>
    <t>Public administration and defence</t>
  </si>
  <si>
    <t>Development of building projects</t>
  </si>
  <si>
    <t>Construction of buildings</t>
  </si>
  <si>
    <t>Distilling, rectifying and blending of spirits</t>
  </si>
  <si>
    <t>Beverages</t>
  </si>
  <si>
    <t>Distribution of electricity</t>
  </si>
  <si>
    <t>Electricity, gas, steam and air conditioning supply</t>
  </si>
  <si>
    <t>Power and heat</t>
  </si>
  <si>
    <t>Distribution of gaseous fuels through mains</t>
  </si>
  <si>
    <t>Electric power generation, transmission and distribution</t>
  </si>
  <si>
    <t>Mineral oil refineries</t>
  </si>
  <si>
    <t>Production of lime, or calcination of dolomite/magnesite</t>
  </si>
  <si>
    <t>Industrial plants for the production of (a) pulp from timber or other fibrous materials (b) paper and board</t>
  </si>
  <si>
    <t>Production of coke</t>
  </si>
  <si>
    <t>Refining of mineral oil</t>
  </si>
  <si>
    <t>Extraction of crude petroleum</t>
  </si>
  <si>
    <t>Extraction of crude petroleum and natural gas</t>
  </si>
  <si>
    <t>Extraction of Oil &amp; Gas</t>
  </si>
  <si>
    <t>Extraction of natural gas</t>
  </si>
  <si>
    <t>Extraction of salt</t>
  </si>
  <si>
    <t>Other mining and quarrying</t>
  </si>
  <si>
    <t>Financial leasing</t>
  </si>
  <si>
    <t>Financial service activities, except insurance and pension funding</t>
  </si>
  <si>
    <t>Finishing of textiles</t>
  </si>
  <si>
    <t>Textiles</t>
  </si>
  <si>
    <t>Fire service activities</t>
  </si>
  <si>
    <t>Forging, pressing, stamping and roll-forming of metal</t>
  </si>
  <si>
    <t>Other metal products</t>
  </si>
  <si>
    <t>Growing of cereals (except rice), leguminous crops and oil seeds</t>
  </si>
  <si>
    <t>Crop &amp; animal production</t>
  </si>
  <si>
    <t>Growing of other non-perennial crops</t>
  </si>
  <si>
    <t>Growing of tropical and subtropical fruits</t>
  </si>
  <si>
    <t>Growing of vegetables and melons, roots and tubers</t>
  </si>
  <si>
    <t>Higher education</t>
  </si>
  <si>
    <t>Education</t>
  </si>
  <si>
    <t>Hospital activities</t>
  </si>
  <si>
    <t>Human health activities</t>
  </si>
  <si>
    <t>Lead, zinc and tin production</t>
  </si>
  <si>
    <t>Lead, zinc and tin</t>
  </si>
  <si>
    <t>Metal ore roasting or sintering</t>
  </si>
  <si>
    <t>Machining</t>
  </si>
  <si>
    <t>Manufacture of glass</t>
  </si>
  <si>
    <t>Manufacture and processing of other glass, including technical glassware</t>
  </si>
  <si>
    <t>Non-metallic mineral products</t>
  </si>
  <si>
    <t>Glass</t>
  </si>
  <si>
    <t>Installations for the manufacture of glass including glass fibre</t>
  </si>
  <si>
    <t>Manufacture of abrasive products and non-metallic mineral products n.e.c.</t>
  </si>
  <si>
    <t>Manufacture of agricultural and forestry machinery</t>
  </si>
  <si>
    <t>Machinery &amp; equipment</t>
  </si>
  <si>
    <t>Manufacture of air and spacecraft and related machinery</t>
  </si>
  <si>
    <t>Manufacture of assembled parquet floors</t>
  </si>
  <si>
    <t>Wood and of products of wood and cork</t>
  </si>
  <si>
    <t>Manufacture of basic iron and steel and of ferro-alloys</t>
  </si>
  <si>
    <t>Installations for the production of pig iron or steel (primary or secondary fusion) including continuous casting</t>
  </si>
  <si>
    <t>Metal ore (including sulphide ore) roasting or sintering installations</t>
  </si>
  <si>
    <t>Manufacture of basic pharmaceutical products</t>
  </si>
  <si>
    <t>Pharmaceuticals</t>
  </si>
  <si>
    <t>Chemicals</t>
  </si>
  <si>
    <t>Manufacture of bearings, gears, gearing and driving elements</t>
  </si>
  <si>
    <t>Manufacture of beer</t>
  </si>
  <si>
    <t>Manufacture of bodies (coachwork) for motor vehicles</t>
  </si>
  <si>
    <t>Motor vehicles</t>
  </si>
  <si>
    <t>Manufacture of bricks, tiles and construction products, in baked clay</t>
  </si>
  <si>
    <t>Ceramics</t>
  </si>
  <si>
    <t>Installations for the manufacture of ceramic products by firing, in particular roofing tiles, bricks, refractory bricks, tiles, stoneware or porcelain</t>
  </si>
  <si>
    <t>Manufacture of carpets and rugs</t>
  </si>
  <si>
    <t>Production of cement clinker</t>
  </si>
  <si>
    <t>Manufacture of cement</t>
  </si>
  <si>
    <t>Cement</t>
  </si>
  <si>
    <t>Installations for the production of cement clinker in rotary kilns or lime in rotary kilns or in other furnaces</t>
  </si>
  <si>
    <t>Manufacture of ceramic household and ornamental articles</t>
  </si>
  <si>
    <t>Manufacture of ceramic insulators and insulating fittings</t>
  </si>
  <si>
    <t>Manufacture of ceramic sanitary fixtures</t>
  </si>
  <si>
    <t>Manufacture of ceramic tiles and flags</t>
  </si>
  <si>
    <t>Manufacture of cocoa, chocolate and sugar confectionery</t>
  </si>
  <si>
    <t>Food products</t>
  </si>
  <si>
    <t>Manufacture of coke oven products</t>
  </si>
  <si>
    <t>Coke and refined pretroleu,</t>
  </si>
  <si>
    <t>Coke</t>
  </si>
  <si>
    <t>Manufacture of computers and peripheral equipment</t>
  </si>
  <si>
    <t>Computer, electronic and optical products</t>
  </si>
  <si>
    <t>Manufacture of concrete products for construction purposes</t>
  </si>
  <si>
    <t>Manufacture of condiments and seasonings</t>
  </si>
  <si>
    <t>Manufacture of corrugated paper and paperboard and of containers of paper and paperboard</t>
  </si>
  <si>
    <t>Pulp &amp; Paper</t>
  </si>
  <si>
    <t xml:space="preserve">Corrugated paper </t>
  </si>
  <si>
    <t>Production of pulp</t>
  </si>
  <si>
    <t>Manufacture of dyes and pigments</t>
  </si>
  <si>
    <t>Manufacture of electric domestic appliances</t>
  </si>
  <si>
    <t>Electrical equipment</t>
  </si>
  <si>
    <t>Manufacture of electric lighting equipment</t>
  </si>
  <si>
    <t>Manufacture of electric motors, generators, transformers and electricity distribution and control apparatus</t>
  </si>
  <si>
    <t>Manufacture of electricity distribution and control apparatus</t>
  </si>
  <si>
    <t>Manufacture of electronic components</t>
  </si>
  <si>
    <t>Manufacture of engines and turbines, except aircraft, vehicle and cycle engines</t>
  </si>
  <si>
    <t>Manufacture of explosives</t>
  </si>
  <si>
    <t>Manufacture of fertilisers and nitrogen compounds</t>
  </si>
  <si>
    <t>Production of nitric acid</t>
  </si>
  <si>
    <t>Production of ammonia</t>
  </si>
  <si>
    <t>Manufacture of fibre cement</t>
  </si>
  <si>
    <t>Manufacture of flat glass</t>
  </si>
  <si>
    <t>Manufacture of fruit and vegetable juice</t>
  </si>
  <si>
    <t>Manufacture of gas</t>
  </si>
  <si>
    <t>Manufacture of glass fibres</t>
  </si>
  <si>
    <t>Glass fibre and mineral wool</t>
  </si>
  <si>
    <t>Manufacture of mineral wool</t>
  </si>
  <si>
    <t>Manufacture of glues</t>
  </si>
  <si>
    <t>Manufacture of grain mill products</t>
  </si>
  <si>
    <t>Manufacture of hollow glass</t>
  </si>
  <si>
    <t>Manufacture of homogenised food preparations and dietetic food</t>
  </si>
  <si>
    <t>Manufacture of household and sanitary goods and of toilet requisites</t>
  </si>
  <si>
    <t>Tissue</t>
  </si>
  <si>
    <t>Manufacture of ice cream</t>
  </si>
  <si>
    <t>Production of hydrogen and synthesis gas</t>
  </si>
  <si>
    <t>Manufacture of industrial gases</t>
  </si>
  <si>
    <t>Manufacture of light metal packaging</t>
  </si>
  <si>
    <t>Manufacture of lime and plaster</t>
  </si>
  <si>
    <t>Lime, dolomite and plaster</t>
  </si>
  <si>
    <t>Manufacture of macaroni, noodles, couscous and similar farinaceous products</t>
  </si>
  <si>
    <t>Manufacture of machinery for metallurgy</t>
  </si>
  <si>
    <t>Manufacture of machinery for mining, quarrying and construction</t>
  </si>
  <si>
    <t>Manufacture of machinery for textile, apparel and leather production</t>
  </si>
  <si>
    <t>Manufacture of made-up textile articles, except apparel</t>
  </si>
  <si>
    <t>Manufacture of malt</t>
  </si>
  <si>
    <t>Manufacture of man-made fibres</t>
  </si>
  <si>
    <t>Manufacture of medical and dental instruments and supplies</t>
  </si>
  <si>
    <t>Other manufacturing</t>
  </si>
  <si>
    <t>Manufacture of metal structures and parts of structures</t>
  </si>
  <si>
    <t>Manufacture of mortars</t>
  </si>
  <si>
    <t>Manufacture of motor vehicles</t>
  </si>
  <si>
    <t>Manufacture of motorcycles</t>
  </si>
  <si>
    <t>Manufacture of non-domestic cooling and ventilation equipment</t>
  </si>
  <si>
    <t>Manufacture of non-wovens and articles made from non-wovens, except apparel</t>
  </si>
  <si>
    <t>Manufacture of oils and fats</t>
  </si>
  <si>
    <t>Manufacture of other articles of paper and paperboard</t>
  </si>
  <si>
    <t>Paper</t>
  </si>
  <si>
    <t>Manufacture of other builders' carpentry and joinery</t>
  </si>
  <si>
    <t>Manufacture of other ceramic products</t>
  </si>
  <si>
    <t>Manufacture of other chemical products</t>
  </si>
  <si>
    <t>Manufacture of other chemical products n.e.c.</t>
  </si>
  <si>
    <t>Manufacture of other electrical equipment</t>
  </si>
  <si>
    <t>Manufacture of other electronic and electric wires and cables</t>
  </si>
  <si>
    <t>Manufacture of other fabricated metal products n.e.c.</t>
  </si>
  <si>
    <t>Manufacture of other food products</t>
  </si>
  <si>
    <t>Manufacture of other food products n.e.c.</t>
  </si>
  <si>
    <t>Manufacture of other furniture</t>
  </si>
  <si>
    <t>Furniture</t>
  </si>
  <si>
    <t>Manufacture of other inorganic basic chemicals</t>
  </si>
  <si>
    <t>Production of carbon black</t>
  </si>
  <si>
    <t>Production of soda ash and sodium bicarbonate</t>
  </si>
  <si>
    <t>Manufacture of other non-distilled fermented beverages</t>
  </si>
  <si>
    <t>Manufacture of other non-metallic mineral products n.e.c.</t>
  </si>
  <si>
    <t>Non-metallic products</t>
  </si>
  <si>
    <t>Manufacture of other organic basic chemicals</t>
  </si>
  <si>
    <t>Production of adipic acid</t>
  </si>
  <si>
    <t>Production of glyoxal and glyoxylic acid</t>
  </si>
  <si>
    <t>Manufacture of other outerwear</t>
  </si>
  <si>
    <t>Wearing apparel</t>
  </si>
  <si>
    <t>Manufacture of other parts and accessories for motor vehicles</t>
  </si>
  <si>
    <t>Manufacture of other plastic products</t>
  </si>
  <si>
    <t>Rubber &amp; plastic</t>
  </si>
  <si>
    <t>Manufacture of other porcelain and ceramic products</t>
  </si>
  <si>
    <t>Manufacture of other products of wood</t>
  </si>
  <si>
    <t>Manufacture of other pumps and compressors</t>
  </si>
  <si>
    <t>Manufacture of other rubber products</t>
  </si>
  <si>
    <t>Manufacture of other special-purpose machinery n.e.c.</t>
  </si>
  <si>
    <t>Manufacture of other taps and valves</t>
  </si>
  <si>
    <t>Manufacture of other technical ceramic products</t>
  </si>
  <si>
    <t>Manufacture of other textiles n.e.c.</t>
  </si>
  <si>
    <t>Manufacture of paints, varnishes and similar coatings, printing ink and mastics</t>
  </si>
  <si>
    <t>Manufacture of paper and paperboard</t>
  </si>
  <si>
    <t>Manufacture of perfumes and toilet preparations</t>
  </si>
  <si>
    <t>Manufacture of pesticides and other agrochemical products</t>
  </si>
  <si>
    <t>Manufacture of pharmaceutical preparations</t>
  </si>
  <si>
    <t>Manufacture of plaster products for construction purposes</t>
  </si>
  <si>
    <t>Gypsum and plaster</t>
  </si>
  <si>
    <t>Manufacture of plastic packing goods</t>
  </si>
  <si>
    <t>Manufacture of plastic plates, sheets, tubes and profiles</t>
  </si>
  <si>
    <t>Manufacture of plastics in primary forms</t>
  </si>
  <si>
    <t>Manufacture of prepared feeds for farm animals</t>
  </si>
  <si>
    <t>Manufacture of prepared meals and dishes</t>
  </si>
  <si>
    <t>Manufacture of prepared pet foods</t>
  </si>
  <si>
    <t>Manufacture of pulp</t>
  </si>
  <si>
    <t>Pulp</t>
  </si>
  <si>
    <t>Manufacture of railway locomotives and rolling stock</t>
  </si>
  <si>
    <t>Manufacture of refined petroleum products</t>
  </si>
  <si>
    <t>Refining</t>
  </si>
  <si>
    <t>Manufacture of refractory products</t>
  </si>
  <si>
    <t>Manufacture of rubber tyres and tubes</t>
  </si>
  <si>
    <t>Manufacture of rusks and biscuits</t>
  </si>
  <si>
    <t>Manufacture of soap and detergents, cleaning and polishing preparations</t>
  </si>
  <si>
    <t>Manufacture of starches and starch products</t>
  </si>
  <si>
    <t>Manufacture of sugar</t>
  </si>
  <si>
    <t>Manufacture of synthetic rubber in primary forms</t>
  </si>
  <si>
    <t>Manufacture of tanks, reservoirs and containers of metal</t>
  </si>
  <si>
    <t>Manufacture of tobacco products</t>
  </si>
  <si>
    <t>Tobacco products</t>
  </si>
  <si>
    <t>Manufacture of tools</t>
  </si>
  <si>
    <t>Manufacture of tubes, pipes, hollow profiles and related fittings, of steel</t>
  </si>
  <si>
    <t>Iron &amp; steel</t>
  </si>
  <si>
    <t>Manufacture of veneer sheets and wood-based panels</t>
  </si>
  <si>
    <t>Manufacture of wallpaper</t>
  </si>
  <si>
    <t>Manufacture of weapons and ammunition</t>
  </si>
  <si>
    <t>Mining of chemical and fertiliser minerals</t>
  </si>
  <si>
    <t>Mining &amp; quarrying</t>
  </si>
  <si>
    <t>Mining of hard coal</t>
  </si>
  <si>
    <t>Mining of coal and lignite</t>
  </si>
  <si>
    <t>Mining of iron ores</t>
  </si>
  <si>
    <t>Mining of metal ores</t>
  </si>
  <si>
    <t>Mining of uranium and thorium ores</t>
  </si>
  <si>
    <t>Monetary intermediation</t>
  </si>
  <si>
    <t>Operation of dairies and cheese making</t>
  </si>
  <si>
    <t>Operation of gravel and sand pits</t>
  </si>
  <si>
    <t>Other business support service activities n.e.c.</t>
  </si>
  <si>
    <t>Office administrative, office support and other business support activities</t>
  </si>
  <si>
    <t>Other human health activities</t>
  </si>
  <si>
    <t>Other mining and quarrying n.e.c.</t>
  </si>
  <si>
    <t>Other non-ferrous metal production</t>
  </si>
  <si>
    <t>Non-ferrous metals</t>
  </si>
  <si>
    <t>Other printing</t>
  </si>
  <si>
    <t>Printing</t>
  </si>
  <si>
    <t>Other processing and preserving of fruit and vegetables</t>
  </si>
  <si>
    <t>Other research and experimental development on natural sciences and engineering</t>
  </si>
  <si>
    <t>Scientific research and development</t>
  </si>
  <si>
    <t>Other specialised construction activities n.e.c.</t>
  </si>
  <si>
    <t>Specialised construction activities</t>
  </si>
  <si>
    <t>Other telecommunications activities</t>
  </si>
  <si>
    <t>Telecommunications</t>
  </si>
  <si>
    <t>Passenger air transport</t>
  </si>
  <si>
    <t>Air transport</t>
  </si>
  <si>
    <t>Passenger rail transport, interurban</t>
  </si>
  <si>
    <t>Land transport and transport via pipelines</t>
  </si>
  <si>
    <t>Plumbing, heat and air-conditioning installation</t>
  </si>
  <si>
    <t>Post-harvest crop activities</t>
  </si>
  <si>
    <t>Post-secondary non-tertiary education</t>
  </si>
  <si>
    <t>Preparation and spinning of textile fibres</t>
  </si>
  <si>
    <t>Processing and preserving of fish, crustaceans and molluscs</t>
  </si>
  <si>
    <t>Processing and preserving of fruit and vegetables</t>
  </si>
  <si>
    <t>Processing and preserving of meat</t>
  </si>
  <si>
    <t>Processing and preserving of potatoes</t>
  </si>
  <si>
    <t>Processing and preserving of poultry meat</t>
  </si>
  <si>
    <t>Processing of nuclear fuel</t>
  </si>
  <si>
    <t>Processing of tea and coffee</t>
  </si>
  <si>
    <t>Production of abrasive products</t>
  </si>
  <si>
    <t>Production of electricity</t>
  </si>
  <si>
    <t>Production of meat and poultry meat products</t>
  </si>
  <si>
    <t>Quarrying of ornamental and building stone, limestone, gypsum, chalk and slate</t>
  </si>
  <si>
    <t>Recovery of sorted materials</t>
  </si>
  <si>
    <t>Waste collection, treatment and disposal activities</t>
  </si>
  <si>
    <t>Rental and operating of own or leased real estate</t>
  </si>
  <si>
    <t>Real estate activities</t>
  </si>
  <si>
    <t>Repair and maintenance of aircraft and spacecraft</t>
  </si>
  <si>
    <t>Repair and installation of machinery and equipment</t>
  </si>
  <si>
    <t>Repair of machinery</t>
  </si>
  <si>
    <t>Research and experimental development on social sciences and humanities</t>
  </si>
  <si>
    <t>Restaurants and mobile food service activities</t>
  </si>
  <si>
    <t>Food and beverage service activities</t>
  </si>
  <si>
    <t>Sawmilling and planing of wood</t>
  </si>
  <si>
    <t>Seed processing for propagation</t>
  </si>
  <si>
    <t>Service activities incidental to air transportation</t>
  </si>
  <si>
    <t>Service activities incidental to water transportation</t>
  </si>
  <si>
    <t>Sewerage</t>
  </si>
  <si>
    <t>Shaping and processing of flat glass</t>
  </si>
  <si>
    <t>Steam and air conditioning supply</t>
  </si>
  <si>
    <t>Support activities for crop production</t>
  </si>
  <si>
    <t>Support activities for petroleum and natural gas extraction</t>
  </si>
  <si>
    <t>Mining support service activities</t>
  </si>
  <si>
    <t>Tanning and dressing of leather</t>
  </si>
  <si>
    <t>Leather and related products</t>
  </si>
  <si>
    <t>Technical testing and analysis</t>
  </si>
  <si>
    <t>Architectural and engineering activities</t>
  </si>
  <si>
    <t>Tertiary education</t>
  </si>
  <si>
    <t>Trade of electricity</t>
  </si>
  <si>
    <t>Trade of gas through mains</t>
  </si>
  <si>
    <t>Transport via pipeline</t>
  </si>
  <si>
    <t>Treatment and coating of metals</t>
  </si>
  <si>
    <t>Treatment and disposal of non-hazardous waste</t>
  </si>
  <si>
    <t>Warehousing and storage</t>
  </si>
  <si>
    <t>Weaving of textiles</t>
  </si>
  <si>
    <t>Wholesale of flowers and plants</t>
  </si>
  <si>
    <t>Wholesale trade, except of motor vehicles and motorcycles</t>
  </si>
  <si>
    <t>Wholesale of grain, unmanufactured tobacco, seeds and animal feeds</t>
  </si>
  <si>
    <t>Wholesale of pharmaceutical goods</t>
  </si>
  <si>
    <t>Wholesale of wood, construction materials and sanitary equipment</t>
  </si>
  <si>
    <t>Industry</t>
  </si>
  <si>
    <t>ETS BM Reference</t>
  </si>
  <si>
    <t>[Primary] Aluminium</t>
  </si>
  <si>
    <t>Fuel Benchmark</t>
  </si>
  <si>
    <t>Ceramics [WA]</t>
  </si>
  <si>
    <t>Cement [WA]</t>
  </si>
  <si>
    <t>Cartonboard [WA]</t>
  </si>
  <si>
    <t>Heat Benchmark</t>
  </si>
  <si>
    <t>Pulp [WA]</t>
  </si>
  <si>
    <t>Refractories</t>
  </si>
  <si>
    <t>Refractories [n.a.]</t>
  </si>
  <si>
    <t>Refinery products</t>
  </si>
  <si>
    <t>Facing bricks</t>
  </si>
  <si>
    <t>Chemicals [WA, Plastics subset]</t>
  </si>
  <si>
    <t>Plaster, Gypsum and Plasterboard [WA]</t>
  </si>
  <si>
    <t>Lime, dolime, sintered dolime [WA]</t>
  </si>
  <si>
    <t>Chemicals [WA]</t>
  </si>
  <si>
    <t>Hydrogen and synthetic gas [WA]</t>
  </si>
  <si>
    <t>Ammonia</t>
  </si>
  <si>
    <t>Nitric acid</t>
  </si>
  <si>
    <t>Chemicals [Acids and Ethylenoxid/Ethylenglykol subset, WA]</t>
  </si>
  <si>
    <t>Chemicals [Ammonia and Nitric Acid subset, WA]</t>
  </si>
  <si>
    <t>Carbon Black</t>
  </si>
  <si>
    <t>Adipic Acid</t>
  </si>
  <si>
    <t>Hydrogen and Synthetic Gas [WA]</t>
  </si>
  <si>
    <t>Soda Ash</t>
  </si>
  <si>
    <t>Chemicals [Organic chemicals subset, WA]</t>
  </si>
  <si>
    <t>Chemicals [Inorganic chemicals subset, WA]</t>
  </si>
  <si>
    <t>Continuous filament glass fibre &amp; mineral wool [WA]</t>
  </si>
  <si>
    <t>Glass [WA]</t>
  </si>
  <si>
    <t>Iron casting</t>
  </si>
  <si>
    <t>Lead, zinc and tin [n.a.]</t>
  </si>
  <si>
    <t>Non-ferrous metals [WA]</t>
  </si>
  <si>
    <t>Mineral wool</t>
  </si>
  <si>
    <t>Paper [WA]</t>
  </si>
  <si>
    <t>Non-metallic mineral products [WA]</t>
  </si>
  <si>
    <t>Steam cracking</t>
  </si>
  <si>
    <t>Aromatics</t>
  </si>
  <si>
    <t>Styrene</t>
  </si>
  <si>
    <t>Phenol/Acetone</t>
  </si>
  <si>
    <t>Ethylene oxide/ethylene glycol</t>
  </si>
  <si>
    <t>Vinyl chloride monomer</t>
  </si>
  <si>
    <t>S-PVC</t>
  </si>
  <si>
    <t>E-PVC</t>
  </si>
  <si>
    <t xml:space="preserve">Hydrogen </t>
  </si>
  <si>
    <t>Snythetic Gas</t>
  </si>
  <si>
    <t>Soda ash</t>
  </si>
  <si>
    <t>Hydrogen and SynGas</t>
  </si>
  <si>
    <t>Inorganic</t>
  </si>
  <si>
    <t>Organic</t>
  </si>
  <si>
    <t>Plastics</t>
  </si>
  <si>
    <t>Hot metal</t>
  </si>
  <si>
    <t>EAF carbon steel</t>
  </si>
  <si>
    <t>EAF high alloy steel</t>
  </si>
  <si>
    <t>Sintered ore</t>
  </si>
  <si>
    <t>Iron &amp; Steel - Integrated [WA]</t>
  </si>
  <si>
    <t>Grey cement clinker</t>
  </si>
  <si>
    <t>White cement clinker</t>
  </si>
  <si>
    <t>Lime</t>
  </si>
  <si>
    <t>Dolime</t>
  </si>
  <si>
    <t>Sintered Dolime</t>
  </si>
  <si>
    <t>Float glass</t>
  </si>
  <si>
    <t>Bottles and jars of colourless glass</t>
  </si>
  <si>
    <t>Bottles and jars of coloured glass</t>
  </si>
  <si>
    <t>Continous filament glass fibre products</t>
  </si>
  <si>
    <t>Pavers</t>
  </si>
  <si>
    <t>Roof tiles</t>
  </si>
  <si>
    <t>Spray dried powder</t>
  </si>
  <si>
    <t>Plaster</t>
  </si>
  <si>
    <t>Dried secondary gypsum</t>
  </si>
  <si>
    <t>Plasterboard</t>
  </si>
  <si>
    <t>Short fibre kraft pulp</t>
  </si>
  <si>
    <t>Long fibre kraft pulp</t>
  </si>
  <si>
    <t>Sulphite pulp</t>
  </si>
  <si>
    <t>Recovered paper pulp</t>
  </si>
  <si>
    <t>Newsprint</t>
  </si>
  <si>
    <t>Uncoated fine paper</t>
  </si>
  <si>
    <t>Coated fine paper</t>
  </si>
  <si>
    <t>Testliner and fluting</t>
  </si>
  <si>
    <t>Uncoated carbon board</t>
  </si>
  <si>
    <t>Coated carbon board</t>
  </si>
  <si>
    <t>Other</t>
  </si>
  <si>
    <t>BM</t>
  </si>
  <si>
    <t>Pulp &amp; Paper [WA]</t>
  </si>
  <si>
    <t>fuel</t>
  </si>
  <si>
    <t>feedstock</t>
  </si>
  <si>
    <t>key</t>
  </si>
  <si>
    <t>Non-metallic minerals</t>
  </si>
  <si>
    <t>Pulp &amp; paper</t>
  </si>
  <si>
    <t>BM_AL</t>
  </si>
  <si>
    <t>Gypsum</t>
  </si>
  <si>
    <t>Graphic paper</t>
  </si>
  <si>
    <t>Index_2030</t>
  </si>
  <si>
    <t>Index_2050</t>
  </si>
  <si>
    <t>GJ/T</t>
  </si>
  <si>
    <t>Copper [n.a.]</t>
  </si>
  <si>
    <t>Process temperature</t>
  </si>
  <si>
    <t>&gt;500 (primary), 200-500 (processing)</t>
  </si>
  <si>
    <t>Note</t>
  </si>
  <si>
    <t>Approx. Zinc and general metal processing</t>
  </si>
  <si>
    <t>Confirmed</t>
  </si>
  <si>
    <t>-</t>
  </si>
  <si>
    <t>&gt; 500</t>
  </si>
  <si>
    <t>Excluded from consideration</t>
  </si>
  <si>
    <t>No distinction applied between hydrocracking and hydrotreating</t>
  </si>
  <si>
    <t>Updraft sintering</t>
  </si>
  <si>
    <t>Approx. glass general</t>
  </si>
  <si>
    <t>Approx. fibre glass</t>
  </si>
  <si>
    <t>&gt; 500 (Firing), 200-500 (Drying)</t>
  </si>
  <si>
    <t>&gt;500 (Firing),100-300 (Drying)</t>
  </si>
  <si>
    <t>Approx. cement/clinker general</t>
  </si>
  <si>
    <t>100-200</t>
  </si>
  <si>
    <t>Cartonboard</t>
  </si>
  <si>
    <t>GJ/GJ</t>
  </si>
  <si>
    <t>Hydrogen LHV</t>
  </si>
  <si>
    <t>Default to Neuwirth: Chemical Pulp</t>
  </si>
  <si>
    <t>130-150</t>
  </si>
  <si>
    <t>Status</t>
  </si>
  <si>
    <t>Iron &amp; Steel - Processing [WA]</t>
  </si>
  <si>
    <t>Ferrous metal processing, assuming no mass losses between liquid steel and rolling</t>
  </si>
  <si>
    <t>H2-DRI to hot metal</t>
  </si>
  <si>
    <t>&lt;100</t>
  </si>
  <si>
    <t>200-500</t>
  </si>
  <si>
    <t>Ammonia oxidation (0.285t ammonia per to nitric acid)</t>
  </si>
  <si>
    <t>Haber-Bosch process</t>
  </si>
  <si>
    <t>H2 burner in furnace</t>
  </si>
  <si>
    <t>Solvay process / H2-burner in furnace</t>
  </si>
  <si>
    <t>Default to Neuwirth: Lime burning</t>
  </si>
  <si>
    <t>Production</t>
  </si>
  <si>
    <t>T/CO2e</t>
  </si>
  <si>
    <t>T</t>
  </si>
  <si>
    <t>Composites</t>
  </si>
  <si>
    <t>Fertilizer</t>
  </si>
  <si>
    <t>Hydrogen and Syngas</t>
  </si>
  <si>
    <t>Tags</t>
  </si>
  <si>
    <t>Emissions factors (tCO2e/t production)</t>
  </si>
  <si>
    <t>Weighted</t>
  </si>
  <si>
    <t>Allocation</t>
  </si>
  <si>
    <t>Integrated Steel</t>
  </si>
  <si>
    <t>Steel Processing</t>
  </si>
  <si>
    <t>Fibreglass</t>
  </si>
  <si>
    <t>Pulp and Paper</t>
  </si>
  <si>
    <t>Structural Ceramics</t>
  </si>
  <si>
    <t>SEC (Fuel)</t>
  </si>
  <si>
    <t>SEC (Feedstock)</t>
  </si>
  <si>
    <t>Source</t>
  </si>
  <si>
    <t>Kiemel et al (2024)</t>
  </si>
  <si>
    <t>Methanol-to-Olefins (Etyhlene)</t>
  </si>
  <si>
    <t>IEA</t>
  </si>
  <si>
    <t>NREL</t>
  </si>
  <si>
    <t>Primarily Steam, 20% efficiency upside</t>
  </si>
  <si>
    <t>Average of Benzene, Toluene, Xylone aromatics extraction, 20% efficiency upside</t>
  </si>
  <si>
    <t>Steam, 20% efficiency upside</t>
  </si>
  <si>
    <t>Primarily Fuel, 20% efficiency upside</t>
  </si>
  <si>
    <t>Excluded</t>
  </si>
  <si>
    <t>Neuwirth et al (2022)</t>
  </si>
  <si>
    <t>ETS BM</t>
  </si>
  <si>
    <t>Default to Neuwirth: Recovered fibres</t>
  </si>
  <si>
    <t>%, 2023-2030</t>
  </si>
  <si>
    <t>%, 2030-2050</t>
  </si>
  <si>
    <t>Chemical products</t>
  </si>
  <si>
    <t>Ferrous metals</t>
  </si>
  <si>
    <t>Paper products</t>
  </si>
  <si>
    <t>Crude oil</t>
  </si>
  <si>
    <t>Total intermediate demand</t>
  </si>
  <si>
    <t>Market growth EU SAM GEM3 22</t>
  </si>
  <si>
    <t>Approx. tiles, plates, refractories</t>
  </si>
  <si>
    <t>Approx. bricks</t>
  </si>
  <si>
    <t>Approx. other non-metallic minerals</t>
  </si>
  <si>
    <t>Peak process temperature</t>
  </si>
  <si>
    <t>Sector</t>
  </si>
  <si>
    <t>Level 1</t>
  </si>
  <si>
    <t>Level 2</t>
  </si>
  <si>
    <t>Level 3</t>
  </si>
  <si>
    <t>Level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</si>
</sst>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6" formatCode="0.000"/>
    <numFmt numFmtId="167" formatCode="_-* #,##0_-;\-* #,##0_-;_-* &quot;-&quot;??_-;_-@_-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u/>
      <sz val="11"/>
      <color theme="10"/>
      <name val="Aptos Narrow"/>
      <family val="2"/>
      <scheme val="minor"/>
    </font>
    <font>
      <u/>
      <sz val="11"/>
      <color theme="10"/>
      <name val="Arial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2" fillId="2" borderId="1" applyNumberFormat="0" applyFont="0" applyAlignment="0" applyProtection="0"/>
    <xf numFmtId="0" fontId="6" fillId="0" borderId="0" applyNumberFormat="0" applyFill="0" applyBorder="0" applyAlignment="0" applyProtection="0"/>
  </cellStyleXfs>
  <cellXfs count="3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3" fillId="2" borderId="1" xfId="2" applyFont="1"/>
    <xf numFmtId="2" fontId="3" fillId="2" borderId="1" xfId="2" applyNumberFormat="1" applyFont="1"/>
    <xf numFmtId="2" fontId="3" fillId="2" borderId="1" xfId="2" applyNumberFormat="1" applyFont="1" applyAlignment="1">
      <alignment horizontal="right"/>
    </xf>
    <xf numFmtId="15" fontId="3" fillId="0" borderId="0" xfId="0" applyNumberFormat="1" applyFont="1"/>
    <xf numFmtId="15" fontId="3" fillId="0" borderId="0" xfId="0" applyNumberFormat="1" applyFont="1" applyAlignment="1">
      <alignment horizontal="left"/>
    </xf>
    <xf numFmtId="164" fontId="3" fillId="2" borderId="1" xfId="1" applyFont="1" applyFill="1" applyBorder="1"/>
    <xf numFmtId="166" fontId="3" fillId="2" borderId="1" xfId="2" applyNumberFormat="1" applyFont="1"/>
    <xf numFmtId="0" fontId="4" fillId="4" borderId="0" xfId="0" applyFont="1" applyFill="1"/>
    <xf numFmtId="0" fontId="5" fillId="4" borderId="0" xfId="0" applyFont="1" applyFill="1"/>
    <xf numFmtId="164" fontId="3" fillId="0" borderId="0" xfId="1" applyFont="1"/>
    <xf numFmtId="167" fontId="3" fillId="0" borderId="0" xfId="1" applyNumberFormat="1" applyFont="1" applyAlignment="1">
      <alignment horizontal="right"/>
    </xf>
    <xf numFmtId="167" fontId="5" fillId="4" borderId="0" xfId="1" applyNumberFormat="1" applyFont="1" applyFill="1" applyAlignment="1">
      <alignment horizontal="right"/>
    </xf>
    <xf numFmtId="167" fontId="3" fillId="0" borderId="0" xfId="1" applyNumberFormat="1" applyFont="1"/>
    <xf numFmtId="164" fontId="5" fillId="4" borderId="0" xfId="1" applyFont="1" applyFill="1"/>
    <xf numFmtId="164" fontId="3" fillId="3" borderId="1" xfId="1" applyFont="1" applyFill="1" applyBorder="1"/>
    <xf numFmtId="0" fontId="4" fillId="4" borderId="0" xfId="0" applyFont="1" applyFill="1" applyAlignment="1">
      <alignment horizontal="centerContinuous" vertical="distributed"/>
    </xf>
    <xf numFmtId="0" fontId="3" fillId="4" borderId="0" xfId="0" applyFont="1" applyFill="1" applyAlignment="1">
      <alignment horizontal="centerContinuous" vertical="distributed"/>
    </xf>
    <xf numFmtId="0" fontId="4" fillId="4" borderId="2" xfId="0" applyFont="1" applyFill="1" applyBorder="1" applyAlignment="1">
      <alignment horizontal="centerContinuous" vertical="distributed"/>
    </xf>
    <xf numFmtId="167" fontId="3" fillId="0" borderId="0" xfId="1" applyNumberFormat="1" applyFont="1" applyAlignment="1">
      <alignment horizontal="left"/>
    </xf>
    <xf numFmtId="164" fontId="3" fillId="0" borderId="0" xfId="1" applyFont="1" applyAlignment="1">
      <alignment horizontal="left"/>
    </xf>
    <xf numFmtId="15" fontId="7" fillId="0" borderId="0" xfId="3" applyNumberFormat="1" applyFont="1"/>
    <xf numFmtId="0" fontId="7" fillId="0" borderId="0" xfId="3" applyFont="1"/>
    <xf numFmtId="164" fontId="3" fillId="0" borderId="0" xfId="0" applyNumberFormat="1" applyFont="1"/>
    <xf numFmtId="0" fontId="1" fillId="0" borderId="0" xfId="0" applyFont="1"/>
    <xf numFmtId="0" fontId="0" fillId="3" borderId="0" xfId="0" applyFill="1"/>
    <xf numFmtId="0" fontId="0" fillId="3" borderId="0" xfId="0" applyFill="1" applyAlignment="1">
      <alignment horizontal="left"/>
    </xf>
  </cellXfs>
  <cellStyles count="4">
    <cellStyle name="Comma" xfId="1" builtinId="3"/>
    <cellStyle name="Hyperlink" xfId="3" builtinId="8"/>
    <cellStyle name="Normal" xfId="0" builtinId="0"/>
    <cellStyle name="Note" xfId="2" builtinId="1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nrel.gov/hydrogen/assets/docs/current-central-coal-without-co2-sequestration-v2-1-1.xls" TargetMode="External"/><Relationship Id="rId1" Type="http://schemas.openxmlformats.org/officeDocument/2006/relationships/hyperlink" Target="https://www.nrel.gov/hydrogen/assets/docs/current-central-coal-without-co2-sequestration-v2-1-1.xls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9CACE-C11B-4CD2-968D-84ED2409367C}">
  <dimension ref="A1:X92"/>
  <sheetViews>
    <sheetView showGridLines="0" tabSelected="1" zoomScale="77" zoomScaleNormal="77" workbookViewId="0">
      <pane xSplit="1" topLeftCell="B1" activePane="topRight" state="frozen"/>
      <selection activeCell="B2" sqref="B2"/>
      <selection pane="topRight" activeCell="D34" sqref="D34"/>
    </sheetView>
  </sheetViews>
  <sheetFormatPr baseColWidth="10" defaultColWidth="8.83203125" defaultRowHeight="14" x14ac:dyDescent="0.15"/>
  <cols>
    <col min="1" max="1" width="65.33203125" style="4" customWidth="1"/>
    <col min="2" max="2" width="23.1640625" style="4" customWidth="1"/>
    <col min="3" max="3" width="19.6640625" style="4" customWidth="1"/>
    <col min="4" max="4" width="20.6640625" style="4" customWidth="1"/>
    <col min="5" max="5" width="18.5" style="4" bestFit="1" customWidth="1"/>
    <col min="6" max="6" width="2.1640625" style="4" customWidth="1"/>
    <col min="7" max="7" width="11.83203125" style="4" bestFit="1" customWidth="1"/>
    <col min="8" max="8" width="16.1640625" style="4" bestFit="1" customWidth="1"/>
    <col min="9" max="9" width="1.83203125" style="4" customWidth="1"/>
    <col min="10" max="10" width="12.33203125" style="4" customWidth="1"/>
    <col min="11" max="11" width="14.83203125" style="4" customWidth="1"/>
    <col min="12" max="12" width="1.33203125" style="4" customWidth="1"/>
    <col min="13" max="13" width="28.5" style="4" customWidth="1"/>
    <col min="14" max="14" width="37.1640625" style="4" customWidth="1"/>
    <col min="15" max="15" width="65.83203125" style="4" customWidth="1"/>
    <col min="16" max="16" width="26.83203125" style="16" customWidth="1"/>
    <col min="17" max="17" width="23.5" style="4" customWidth="1"/>
    <col min="18" max="19" width="19.5" style="15" customWidth="1"/>
    <col min="20" max="20" width="6.5" style="4" customWidth="1"/>
    <col min="21" max="22" width="19" style="15" customWidth="1"/>
    <col min="23" max="23" width="31.83203125" style="4" customWidth="1"/>
    <col min="24" max="16384" width="8.83203125" style="4"/>
  </cols>
  <sheetData>
    <row r="1" spans="1:23" ht="18" customHeight="1" thickBot="1" x14ac:dyDescent="0.2">
      <c r="B1" s="21" t="s">
        <v>456</v>
      </c>
      <c r="C1" s="22"/>
      <c r="D1" s="22"/>
      <c r="E1" s="22"/>
      <c r="G1" s="21" t="s">
        <v>457</v>
      </c>
      <c r="H1" s="22"/>
      <c r="I1" s="22"/>
      <c r="J1" s="22"/>
      <c r="K1" s="22"/>
      <c r="M1" s="23" t="s">
        <v>439</v>
      </c>
      <c r="N1" s="23" t="s">
        <v>418</v>
      </c>
      <c r="O1" s="23" t="s">
        <v>420</v>
      </c>
      <c r="P1" s="23" t="s">
        <v>450</v>
      </c>
      <c r="Q1" s="23" t="s">
        <v>467</v>
      </c>
      <c r="R1" s="23" t="s">
        <v>465</v>
      </c>
      <c r="S1" s="23" t="s">
        <v>466</v>
      </c>
      <c r="U1" s="21" t="s">
        <v>487</v>
      </c>
      <c r="V1" s="22"/>
      <c r="W1" s="23" t="s">
        <v>420</v>
      </c>
    </row>
    <row r="2" spans="1:23" s="5" customFormat="1" ht="14" customHeight="1" x14ac:dyDescent="0.15">
      <c r="B2" s="5" t="s">
        <v>493</v>
      </c>
      <c r="C2" s="5" t="s">
        <v>494</v>
      </c>
      <c r="D2" s="5" t="s">
        <v>495</v>
      </c>
      <c r="E2" s="5" t="s">
        <v>496</v>
      </c>
      <c r="G2" s="5" t="s">
        <v>458</v>
      </c>
      <c r="J2" s="5" t="s">
        <v>459</v>
      </c>
      <c r="M2" s="5" t="s">
        <v>439</v>
      </c>
      <c r="N2" s="5" t="s">
        <v>491</v>
      </c>
      <c r="O2" s="5" t="s">
        <v>420</v>
      </c>
      <c r="P2" s="24" t="s">
        <v>452</v>
      </c>
      <c r="R2" s="25" t="s">
        <v>416</v>
      </c>
      <c r="S2" s="25" t="s">
        <v>416</v>
      </c>
      <c r="U2" s="25" t="s">
        <v>480</v>
      </c>
      <c r="V2" s="25" t="s">
        <v>481</v>
      </c>
    </row>
    <row r="3" spans="1:23" x14ac:dyDescent="0.15">
      <c r="G3" s="4" t="s">
        <v>451</v>
      </c>
      <c r="H3" s="4" t="s">
        <v>452</v>
      </c>
      <c r="J3" s="4" t="s">
        <v>451</v>
      </c>
      <c r="K3" s="4" t="s">
        <v>452</v>
      </c>
    </row>
    <row r="4" spans="1:23" s="14" customFormat="1" x14ac:dyDescent="0.15">
      <c r="A4" s="13" t="s">
        <v>256</v>
      </c>
      <c r="P4" s="17"/>
      <c r="R4" s="19"/>
      <c r="S4" s="19"/>
      <c r="U4" s="19"/>
      <c r="V4" s="19"/>
    </row>
    <row r="5" spans="1:23" x14ac:dyDescent="0.15">
      <c r="A5" s="5" t="s">
        <v>324</v>
      </c>
      <c r="B5" s="6"/>
      <c r="C5" s="6"/>
      <c r="D5" s="6"/>
      <c r="E5" s="6"/>
      <c r="G5" s="7">
        <v>1.641</v>
      </c>
      <c r="H5" s="8"/>
      <c r="J5" s="7">
        <v>1.464</v>
      </c>
      <c r="K5" s="8"/>
      <c r="M5" s="4" t="s">
        <v>422</v>
      </c>
      <c r="N5" s="4" t="s">
        <v>419</v>
      </c>
      <c r="P5" s="16">
        <f>IFERROR(K5/J5,0)</f>
        <v>0</v>
      </c>
      <c r="Q5" s="4" t="s">
        <v>468</v>
      </c>
      <c r="R5" s="20">
        <v>12.024000000000001</v>
      </c>
      <c r="S5" s="20">
        <v>0</v>
      </c>
      <c r="U5" s="20">
        <v>0.83923856134650876</v>
      </c>
      <c r="V5" s="20">
        <v>0.99183492762409997</v>
      </c>
      <c r="W5" s="4" t="s">
        <v>256</v>
      </c>
    </row>
    <row r="6" spans="1:23" x14ac:dyDescent="0.15">
      <c r="A6" s="5" t="s">
        <v>417</v>
      </c>
      <c r="B6" s="6"/>
      <c r="C6" s="6"/>
      <c r="D6" s="6"/>
      <c r="E6" s="6"/>
      <c r="G6" s="7">
        <v>1.4</v>
      </c>
      <c r="H6" s="8"/>
      <c r="J6" s="7">
        <v>1.4</v>
      </c>
      <c r="K6" s="8"/>
      <c r="M6" s="4" t="s">
        <v>422</v>
      </c>
      <c r="N6" s="4" t="s">
        <v>419</v>
      </c>
      <c r="P6" s="16">
        <f t="shared" ref="P6:P8" si="0">IFERROR(K6/J6,0)</f>
        <v>0</v>
      </c>
      <c r="Q6" s="4" t="s">
        <v>468</v>
      </c>
      <c r="R6" s="20">
        <v>8.0280000000000005</v>
      </c>
      <c r="S6" s="20">
        <v>0</v>
      </c>
      <c r="U6" s="20">
        <v>0.83923856134650876</v>
      </c>
      <c r="V6" s="20">
        <v>0.99183492762409997</v>
      </c>
      <c r="W6" s="4" t="s">
        <v>256</v>
      </c>
    </row>
    <row r="7" spans="1:23" x14ac:dyDescent="0.15">
      <c r="A7" s="5" t="s">
        <v>353</v>
      </c>
      <c r="B7" s="6"/>
      <c r="C7" s="6"/>
      <c r="D7" s="6"/>
      <c r="E7" s="6"/>
      <c r="G7" s="7">
        <v>1.92</v>
      </c>
      <c r="H7" s="8"/>
      <c r="J7" s="7">
        <v>1.92</v>
      </c>
      <c r="K7" s="8"/>
      <c r="M7" s="4" t="s">
        <v>422</v>
      </c>
      <c r="N7" s="4" t="s">
        <v>419</v>
      </c>
      <c r="O7" s="4" t="s">
        <v>421</v>
      </c>
      <c r="P7" s="16">
        <f t="shared" si="0"/>
        <v>0</v>
      </c>
      <c r="Q7" s="4" t="s">
        <v>468</v>
      </c>
      <c r="R7" s="20">
        <v>2.2680000000000002</v>
      </c>
      <c r="S7" s="20">
        <v>0</v>
      </c>
      <c r="U7" s="20">
        <v>0.83923856134650876</v>
      </c>
      <c r="V7" s="20">
        <v>0.99183492762409997</v>
      </c>
      <c r="W7" s="4" t="s">
        <v>256</v>
      </c>
    </row>
    <row r="8" spans="1:23" x14ac:dyDescent="0.15">
      <c r="A8" s="5" t="s">
        <v>354</v>
      </c>
      <c r="B8" s="6"/>
      <c r="C8" s="6"/>
      <c r="D8" s="6"/>
      <c r="E8" s="6"/>
      <c r="G8" s="7">
        <f>AVERAGE(G5:G7)</f>
        <v>1.6536666666666668</v>
      </c>
      <c r="H8" s="8"/>
      <c r="J8" s="7">
        <f>AVERAGE(J5:J7)</f>
        <v>1.5946666666666667</v>
      </c>
      <c r="K8" s="8"/>
      <c r="M8" s="4" t="s">
        <v>422</v>
      </c>
      <c r="N8" s="4" t="s">
        <v>419</v>
      </c>
      <c r="O8" s="4" t="s">
        <v>421</v>
      </c>
      <c r="P8" s="16">
        <f t="shared" si="0"/>
        <v>0</v>
      </c>
      <c r="Q8" s="4" t="s">
        <v>468</v>
      </c>
      <c r="R8" s="20">
        <v>2.2680000000000002</v>
      </c>
      <c r="S8" s="20">
        <v>0</v>
      </c>
      <c r="U8" s="20">
        <v>0.83923856134650876</v>
      </c>
      <c r="V8" s="20">
        <v>0.99183492762409997</v>
      </c>
      <c r="W8" s="4" t="s">
        <v>256</v>
      </c>
    </row>
    <row r="9" spans="1:23" s="14" customFormat="1" x14ac:dyDescent="0.15">
      <c r="A9" s="13" t="s">
        <v>95</v>
      </c>
      <c r="P9" s="17"/>
      <c r="R9" s="19"/>
      <c r="S9" s="19"/>
      <c r="U9" s="19"/>
      <c r="V9" s="19"/>
    </row>
    <row r="10" spans="1:23" x14ac:dyDescent="0.15">
      <c r="A10" s="5" t="s">
        <v>340</v>
      </c>
      <c r="B10" s="6" t="s">
        <v>95</v>
      </c>
      <c r="C10" s="6" t="s">
        <v>370</v>
      </c>
      <c r="D10" s="6" t="s">
        <v>454</v>
      </c>
      <c r="E10" s="6"/>
      <c r="G10" s="6">
        <v>1.9470000000000001</v>
      </c>
      <c r="H10" s="6">
        <v>30588525</v>
      </c>
      <c r="J10" s="6">
        <v>1.57</v>
      </c>
      <c r="K10" s="6">
        <v>23958607</v>
      </c>
      <c r="M10" s="4" t="s">
        <v>422</v>
      </c>
      <c r="N10" s="4" t="s">
        <v>423</v>
      </c>
      <c r="O10" s="4" t="s">
        <v>446</v>
      </c>
      <c r="P10" s="16">
        <f t="shared" ref="P10:P68" si="1">IFERROR(K10/J10,0)</f>
        <v>15260259.23566879</v>
      </c>
      <c r="Q10" s="4" t="s">
        <v>468</v>
      </c>
      <c r="R10" s="20">
        <v>0</v>
      </c>
      <c r="S10" s="20">
        <v>21.312000000000001</v>
      </c>
      <c r="U10" s="20">
        <v>0.84137119305744412</v>
      </c>
      <c r="V10" s="20">
        <v>0.86357922057787195</v>
      </c>
      <c r="W10" s="4" t="s">
        <v>482</v>
      </c>
    </row>
    <row r="11" spans="1:23" x14ac:dyDescent="0.15">
      <c r="A11" s="5" t="s">
        <v>341</v>
      </c>
      <c r="B11" s="6" t="s">
        <v>95</v>
      </c>
      <c r="C11" s="6" t="s">
        <v>370</v>
      </c>
      <c r="D11" s="6" t="s">
        <v>454</v>
      </c>
      <c r="E11" s="6" t="s">
        <v>94</v>
      </c>
      <c r="G11" s="6">
        <v>0.20499999999999999</v>
      </c>
      <c r="H11" s="6">
        <v>4614965</v>
      </c>
      <c r="J11" s="6">
        <v>0.23</v>
      </c>
      <c r="K11" s="6">
        <v>4614965</v>
      </c>
      <c r="M11" s="4" t="s">
        <v>422</v>
      </c>
      <c r="N11" s="4" t="s">
        <v>423</v>
      </c>
      <c r="O11" s="4" t="s">
        <v>445</v>
      </c>
      <c r="P11" s="16">
        <f t="shared" si="1"/>
        <v>20065065.217391305</v>
      </c>
      <c r="Q11" s="4" t="s">
        <v>468</v>
      </c>
      <c r="R11" s="20">
        <v>0</v>
      </c>
      <c r="S11" s="20">
        <v>5.9673600000000002</v>
      </c>
      <c r="U11" s="20">
        <v>0.84137119305744412</v>
      </c>
      <c r="V11" s="20">
        <v>0.86357922057787195</v>
      </c>
      <c r="W11" s="4" t="s">
        <v>482</v>
      </c>
    </row>
    <row r="12" spans="1:23" x14ac:dyDescent="0.15">
      <c r="A12" s="5" t="s">
        <v>368</v>
      </c>
      <c r="B12" s="6" t="s">
        <v>95</v>
      </c>
      <c r="C12" s="6" t="s">
        <v>370</v>
      </c>
      <c r="D12" s="6"/>
      <c r="E12" s="6"/>
      <c r="G12" s="6">
        <v>0.94499999999999995</v>
      </c>
      <c r="H12" s="6">
        <v>7218816</v>
      </c>
      <c r="J12" s="6">
        <v>0.753</v>
      </c>
      <c r="K12" s="6">
        <v>5497992</v>
      </c>
      <c r="M12" s="4" t="s">
        <v>422</v>
      </c>
      <c r="N12" s="4" t="s">
        <v>433</v>
      </c>
      <c r="O12" s="4" t="s">
        <v>448</v>
      </c>
      <c r="P12" s="16">
        <f t="shared" si="1"/>
        <v>7301450.1992031876</v>
      </c>
      <c r="Q12" s="4" t="s">
        <v>468</v>
      </c>
      <c r="R12" s="20">
        <v>11.303999999999998</v>
      </c>
      <c r="S12" s="20">
        <v>0</v>
      </c>
      <c r="U12" s="20">
        <v>0.84137119305744412</v>
      </c>
      <c r="V12" s="20">
        <v>0.86357922057787195</v>
      </c>
      <c r="W12" s="4" t="s">
        <v>482</v>
      </c>
    </row>
    <row r="13" spans="1:23" x14ac:dyDescent="0.15">
      <c r="A13" s="5" t="s">
        <v>344</v>
      </c>
      <c r="B13" s="6" t="s">
        <v>95</v>
      </c>
      <c r="C13" s="6" t="s">
        <v>370</v>
      </c>
      <c r="D13" s="6"/>
      <c r="E13" s="6"/>
      <c r="G13" s="6">
        <v>1.8240000000000001</v>
      </c>
      <c r="H13" s="6">
        <v>1824820</v>
      </c>
      <c r="J13" s="6">
        <v>1.4850000000000001</v>
      </c>
      <c r="K13" s="6">
        <v>1394408</v>
      </c>
      <c r="M13" s="4" t="s">
        <v>422</v>
      </c>
      <c r="N13" s="4" t="s">
        <v>424</v>
      </c>
      <c r="O13" s="4" t="s">
        <v>447</v>
      </c>
      <c r="P13" s="16">
        <f t="shared" si="1"/>
        <v>938995.28619528608</v>
      </c>
      <c r="Q13" s="4" t="s">
        <v>468</v>
      </c>
      <c r="R13" s="20">
        <v>64.8</v>
      </c>
      <c r="S13" s="20">
        <v>0</v>
      </c>
      <c r="U13" s="20">
        <v>0.84137119305744412</v>
      </c>
      <c r="V13" s="20">
        <v>0.86357922057787195</v>
      </c>
      <c r="W13" s="4" t="s">
        <v>482</v>
      </c>
    </row>
    <row r="14" spans="1:23" x14ac:dyDescent="0.15">
      <c r="A14" s="5" t="s">
        <v>358</v>
      </c>
      <c r="B14" s="6" t="s">
        <v>95</v>
      </c>
      <c r="C14" s="6" t="s">
        <v>371</v>
      </c>
      <c r="D14" s="6"/>
      <c r="E14" s="6"/>
      <c r="G14" s="6">
        <v>0.84899999999999998</v>
      </c>
      <c r="H14" s="6">
        <v>31393609</v>
      </c>
      <c r="J14" s="6">
        <v>0.68100000000000005</v>
      </c>
      <c r="K14" s="6">
        <v>22816634</v>
      </c>
      <c r="M14" s="4" t="s">
        <v>422</v>
      </c>
      <c r="N14" s="4" t="s">
        <v>423</v>
      </c>
      <c r="O14" s="4" t="s">
        <v>469</v>
      </c>
      <c r="P14" s="16">
        <f t="shared" si="1"/>
        <v>33504602.055800293</v>
      </c>
      <c r="Q14" s="4" t="s">
        <v>468</v>
      </c>
      <c r="R14" s="20">
        <v>0</v>
      </c>
      <c r="S14" s="20">
        <v>63.612000000000009</v>
      </c>
      <c r="U14" s="20">
        <v>0.84137119305744412</v>
      </c>
      <c r="V14" s="20">
        <v>0.86357922057787195</v>
      </c>
      <c r="W14" s="4" t="s">
        <v>482</v>
      </c>
    </row>
    <row r="15" spans="1:23" x14ac:dyDescent="0.15">
      <c r="A15" s="5" t="s">
        <v>345</v>
      </c>
      <c r="B15" s="6" t="s">
        <v>95</v>
      </c>
      <c r="C15" s="6" t="s">
        <v>371</v>
      </c>
      <c r="D15" s="6" t="s">
        <v>372</v>
      </c>
      <c r="E15" s="6" t="s">
        <v>94</v>
      </c>
      <c r="G15" s="6">
        <v>1.1399999999999999</v>
      </c>
      <c r="H15" s="6">
        <v>857225</v>
      </c>
      <c r="J15" s="6">
        <v>2.12</v>
      </c>
      <c r="K15" s="6">
        <v>1468379</v>
      </c>
      <c r="M15" s="4" t="s">
        <v>422</v>
      </c>
      <c r="N15" s="4" t="s">
        <v>443</v>
      </c>
      <c r="O15" s="4" t="s">
        <v>472</v>
      </c>
      <c r="P15" s="16">
        <f t="shared" si="1"/>
        <v>692631.60377358482</v>
      </c>
      <c r="Q15" s="27" t="s">
        <v>470</v>
      </c>
      <c r="R15" s="20">
        <v>21.6</v>
      </c>
      <c r="S15" s="20">
        <v>0</v>
      </c>
      <c r="U15" s="20">
        <v>0.84137119305744412</v>
      </c>
      <c r="V15" s="20">
        <v>0.86357922057787195</v>
      </c>
      <c r="W15" s="4" t="s">
        <v>482</v>
      </c>
    </row>
    <row r="16" spans="1:23" x14ac:dyDescent="0.15">
      <c r="A16" s="5" t="s">
        <v>359</v>
      </c>
      <c r="B16" s="6" t="s">
        <v>95</v>
      </c>
      <c r="C16" s="6" t="s">
        <v>371</v>
      </c>
      <c r="D16" s="6"/>
      <c r="E16" s="6"/>
      <c r="G16" s="12">
        <f>0.0072*1/0.056</f>
        <v>0.12857142857142856</v>
      </c>
      <c r="H16" s="6">
        <v>1896871</v>
      </c>
      <c r="J16" s="12">
        <f>0.0228*1/0.056</f>
        <v>0.40714285714285714</v>
      </c>
      <c r="K16" s="6">
        <v>1139604</v>
      </c>
      <c r="M16" s="4" t="s">
        <v>422</v>
      </c>
      <c r="N16" s="4" t="s">
        <v>424</v>
      </c>
      <c r="O16" s="4" t="s">
        <v>473</v>
      </c>
      <c r="P16" s="16">
        <f t="shared" si="1"/>
        <v>2799027.3684210526</v>
      </c>
      <c r="Q16" s="27" t="s">
        <v>470</v>
      </c>
      <c r="R16" s="20">
        <v>2.2000000000000002</v>
      </c>
      <c r="S16" s="20">
        <v>37.333333333333336</v>
      </c>
      <c r="U16" s="20">
        <v>0.84137119305744412</v>
      </c>
      <c r="V16" s="20">
        <v>0.86357922057787195</v>
      </c>
      <c r="W16" s="4" t="s">
        <v>482</v>
      </c>
    </row>
    <row r="17" spans="1:23" x14ac:dyDescent="0.15">
      <c r="A17" s="5" t="s">
        <v>360</v>
      </c>
      <c r="B17" s="6" t="s">
        <v>95</v>
      </c>
      <c r="C17" s="6" t="s">
        <v>371</v>
      </c>
      <c r="D17" s="6" t="s">
        <v>372</v>
      </c>
      <c r="E17" s="6"/>
      <c r="G17" s="6">
        <v>0.55800000000000005</v>
      </c>
      <c r="H17" s="6">
        <v>2676322</v>
      </c>
      <c r="J17" s="6">
        <v>0.40100000000000002</v>
      </c>
      <c r="K17" s="6">
        <v>1655811</v>
      </c>
      <c r="M17" s="4" t="s">
        <v>422</v>
      </c>
      <c r="N17" s="4" t="s">
        <v>424</v>
      </c>
      <c r="O17" s="4" t="s">
        <v>474</v>
      </c>
      <c r="P17" s="16">
        <f t="shared" si="1"/>
        <v>4129204.4887780547</v>
      </c>
      <c r="Q17" s="27" t="s">
        <v>470</v>
      </c>
      <c r="R17" s="20">
        <v>8.6</v>
      </c>
      <c r="S17" s="20">
        <v>0</v>
      </c>
      <c r="U17" s="20">
        <v>0.84137119305744412</v>
      </c>
      <c r="V17" s="20">
        <v>0.86357922057787195</v>
      </c>
      <c r="W17" s="4" t="s">
        <v>482</v>
      </c>
    </row>
    <row r="18" spans="1:23" x14ac:dyDescent="0.15">
      <c r="A18" s="5" t="s">
        <v>361</v>
      </c>
      <c r="B18" s="6" t="s">
        <v>95</v>
      </c>
      <c r="C18" s="6" t="s">
        <v>371</v>
      </c>
      <c r="D18" s="6" t="s">
        <v>372</v>
      </c>
      <c r="E18" s="6"/>
      <c r="G18" s="6">
        <v>0.31900000000000001</v>
      </c>
      <c r="H18" s="6">
        <v>1200943</v>
      </c>
      <c r="J18" s="6">
        <v>0.23</v>
      </c>
      <c r="K18" s="6">
        <v>812138</v>
      </c>
      <c r="M18" s="4" t="s">
        <v>422</v>
      </c>
      <c r="N18" s="4" t="s">
        <v>433</v>
      </c>
      <c r="O18" s="4" t="s">
        <v>474</v>
      </c>
      <c r="P18" s="16">
        <f t="shared" si="1"/>
        <v>3531034.7826086953</v>
      </c>
      <c r="Q18" s="27" t="s">
        <v>470</v>
      </c>
      <c r="R18" s="20">
        <v>10.5</v>
      </c>
      <c r="S18" s="20">
        <v>0</v>
      </c>
      <c r="U18" s="20">
        <v>0.84137119305744412</v>
      </c>
      <c r="V18" s="20">
        <v>0.86357922057787195</v>
      </c>
      <c r="W18" s="4" t="s">
        <v>482</v>
      </c>
    </row>
    <row r="19" spans="1:23" x14ac:dyDescent="0.15">
      <c r="A19" s="5" t="s">
        <v>362</v>
      </c>
      <c r="B19" s="6" t="s">
        <v>95</v>
      </c>
      <c r="C19" s="6" t="s">
        <v>371</v>
      </c>
      <c r="D19" s="6" t="s">
        <v>372</v>
      </c>
      <c r="E19" s="6" t="s">
        <v>94</v>
      </c>
      <c r="G19" s="6">
        <v>0.51</v>
      </c>
      <c r="H19" s="6">
        <v>1484310</v>
      </c>
      <c r="J19" s="6">
        <v>0.38900000000000001</v>
      </c>
      <c r="K19" s="6">
        <v>839637</v>
      </c>
      <c r="M19" s="4" t="s">
        <v>422</v>
      </c>
      <c r="N19" s="4" t="s">
        <v>444</v>
      </c>
      <c r="O19" s="4" t="s">
        <v>474</v>
      </c>
      <c r="P19" s="16">
        <f t="shared" si="1"/>
        <v>2158449.8714652956</v>
      </c>
      <c r="Q19" s="27" t="s">
        <v>470</v>
      </c>
      <c r="R19" s="20">
        <v>3.65</v>
      </c>
      <c r="S19" s="20">
        <v>0</v>
      </c>
      <c r="U19" s="20">
        <v>0.84137119305744412</v>
      </c>
      <c r="V19" s="20">
        <v>0.86357922057787195</v>
      </c>
      <c r="W19" s="4" t="s">
        <v>482</v>
      </c>
    </row>
    <row r="20" spans="1:23" x14ac:dyDescent="0.15">
      <c r="A20" s="5" t="s">
        <v>363</v>
      </c>
      <c r="B20" s="6" t="s">
        <v>95</v>
      </c>
      <c r="C20" s="6" t="s">
        <v>371</v>
      </c>
      <c r="D20" s="6" t="s">
        <v>372</v>
      </c>
      <c r="E20" s="6"/>
      <c r="G20" s="6">
        <v>0.27700000000000002</v>
      </c>
      <c r="H20" s="6">
        <v>1639059</v>
      </c>
      <c r="J20" s="6">
        <v>0.155</v>
      </c>
      <c r="K20" s="6">
        <v>758335</v>
      </c>
      <c r="M20" s="4" t="s">
        <v>422</v>
      </c>
      <c r="N20" s="4" t="s">
        <v>424</v>
      </c>
      <c r="O20" s="4" t="s">
        <v>475</v>
      </c>
      <c r="P20" s="16">
        <f t="shared" si="1"/>
        <v>4892483.8709677421</v>
      </c>
      <c r="Q20" s="27" t="s">
        <v>470</v>
      </c>
      <c r="R20" s="20">
        <v>2.7</v>
      </c>
      <c r="S20" s="20">
        <v>0</v>
      </c>
      <c r="U20" s="20">
        <v>0.84137119305744412</v>
      </c>
      <c r="V20" s="20">
        <v>0.86357922057787195</v>
      </c>
      <c r="W20" s="4" t="s">
        <v>482</v>
      </c>
    </row>
    <row r="21" spans="1:23" x14ac:dyDescent="0.15">
      <c r="A21" s="5" t="s">
        <v>364</v>
      </c>
      <c r="B21" s="6" t="s">
        <v>95</v>
      </c>
      <c r="C21" s="6" t="s">
        <v>371</v>
      </c>
      <c r="D21" s="6" t="s">
        <v>372</v>
      </c>
      <c r="E21" s="6"/>
      <c r="G21" s="6">
        <v>0.12</v>
      </c>
      <c r="H21" s="6">
        <v>400288</v>
      </c>
      <c r="J21" s="6">
        <v>6.6000000000000003E-2</v>
      </c>
      <c r="K21" s="6">
        <v>216193</v>
      </c>
      <c r="M21" s="4" t="s">
        <v>422</v>
      </c>
      <c r="N21" s="4" t="s">
        <v>443</v>
      </c>
      <c r="O21" s="4" t="s">
        <v>474</v>
      </c>
      <c r="P21" s="16">
        <f t="shared" si="1"/>
        <v>3275651.5151515151</v>
      </c>
      <c r="Q21" s="27" t="s">
        <v>470</v>
      </c>
      <c r="R21" s="20">
        <v>1.9</v>
      </c>
      <c r="S21" s="20">
        <v>0</v>
      </c>
      <c r="U21" s="20">
        <v>0.84137119305744412</v>
      </c>
      <c r="V21" s="20">
        <v>0.86357922057787195</v>
      </c>
      <c r="W21" s="4" t="s">
        <v>482</v>
      </c>
    </row>
    <row r="22" spans="1:23" x14ac:dyDescent="0.15">
      <c r="A22" s="5" t="s">
        <v>365</v>
      </c>
      <c r="B22" s="6" t="s">
        <v>95</v>
      </c>
      <c r="C22" s="6" t="s">
        <v>371</v>
      </c>
      <c r="D22" s="6" t="s">
        <v>372</v>
      </c>
      <c r="E22" s="6"/>
      <c r="G22" s="6">
        <v>0.23</v>
      </c>
      <c r="H22" s="6">
        <v>96197</v>
      </c>
      <c r="J22" s="6">
        <v>0.18099999999999999</v>
      </c>
      <c r="K22" s="6">
        <v>61707</v>
      </c>
      <c r="M22" s="4" t="s">
        <v>422</v>
      </c>
      <c r="N22" s="4" t="s">
        <v>443</v>
      </c>
      <c r="O22" s="4" t="s">
        <v>474</v>
      </c>
      <c r="P22" s="16">
        <f t="shared" si="1"/>
        <v>340922.65193370165</v>
      </c>
      <c r="Q22" s="27" t="s">
        <v>470</v>
      </c>
      <c r="R22" s="20">
        <v>1.9</v>
      </c>
      <c r="S22" s="20">
        <v>0</v>
      </c>
      <c r="U22" s="20">
        <v>0.84137119305744412</v>
      </c>
      <c r="V22" s="20">
        <v>0.86357922057787195</v>
      </c>
      <c r="W22" s="4" t="s">
        <v>482</v>
      </c>
    </row>
    <row r="23" spans="1:23" s="14" customFormat="1" x14ac:dyDescent="0.15">
      <c r="A23" s="13" t="s">
        <v>369</v>
      </c>
      <c r="P23" s="17"/>
      <c r="R23" s="19"/>
      <c r="S23" s="19"/>
      <c r="U23" s="19"/>
      <c r="V23" s="19"/>
    </row>
    <row r="24" spans="1:23" s="9" customFormat="1" x14ac:dyDescent="0.15">
      <c r="A24" s="10" t="s">
        <v>366</v>
      </c>
      <c r="B24" s="6" t="s">
        <v>455</v>
      </c>
      <c r="C24" s="6"/>
      <c r="D24" s="6"/>
      <c r="E24" s="6"/>
      <c r="G24" s="11">
        <v>8.8800000000000008</v>
      </c>
      <c r="H24" s="11">
        <v>7051720</v>
      </c>
      <c r="J24" s="11">
        <v>6.84</v>
      </c>
      <c r="K24" s="11">
        <v>5074480</v>
      </c>
      <c r="M24" s="9" t="s">
        <v>422</v>
      </c>
      <c r="N24" s="4" t="s">
        <v>423</v>
      </c>
      <c r="O24" s="9" t="s">
        <v>436</v>
      </c>
      <c r="P24" s="16">
        <f t="shared" si="1"/>
        <v>741883.04093567259</v>
      </c>
      <c r="Q24" s="26" t="s">
        <v>471</v>
      </c>
      <c r="R24" s="20"/>
      <c r="S24" s="20">
        <v>120.04801920768307</v>
      </c>
      <c r="U24" s="20">
        <v>0.84137119305744412</v>
      </c>
      <c r="V24" s="20">
        <v>0.86357922057787195</v>
      </c>
      <c r="W24" s="4" t="s">
        <v>482</v>
      </c>
    </row>
    <row r="25" spans="1:23" x14ac:dyDescent="0.15">
      <c r="A25" s="5" t="s">
        <v>367</v>
      </c>
      <c r="B25" s="6" t="s">
        <v>455</v>
      </c>
      <c r="C25" s="6"/>
      <c r="D25" s="6"/>
      <c r="E25" s="6"/>
      <c r="G25" s="6">
        <v>0.155</v>
      </c>
      <c r="H25" s="6">
        <v>357368</v>
      </c>
      <c r="J25" s="6">
        <v>0.187</v>
      </c>
      <c r="K25" s="6">
        <v>317371</v>
      </c>
      <c r="M25" s="9" t="s">
        <v>422</v>
      </c>
      <c r="N25" s="4" t="s">
        <v>423</v>
      </c>
      <c r="O25" s="9" t="s">
        <v>436</v>
      </c>
      <c r="P25" s="16">
        <f t="shared" si="1"/>
        <v>1697171.1229946525</v>
      </c>
      <c r="Q25" s="26" t="s">
        <v>471</v>
      </c>
      <c r="R25" s="20"/>
      <c r="S25" s="20">
        <v>120.04801920768307</v>
      </c>
      <c r="U25" s="20">
        <v>0.84137119305744412</v>
      </c>
      <c r="V25" s="20">
        <v>0.86357922057787195</v>
      </c>
      <c r="W25" s="4" t="s">
        <v>482</v>
      </c>
    </row>
    <row r="26" spans="1:23" s="14" customFormat="1" x14ac:dyDescent="0.15">
      <c r="A26" s="13" t="s">
        <v>20</v>
      </c>
      <c r="P26" s="17"/>
      <c r="R26" s="19"/>
      <c r="S26" s="19"/>
      <c r="U26" s="19"/>
      <c r="V26" s="19"/>
    </row>
    <row r="27" spans="1:23" x14ac:dyDescent="0.15">
      <c r="A27" s="5" t="s">
        <v>376</v>
      </c>
      <c r="B27" s="6"/>
      <c r="C27" s="6"/>
      <c r="D27" s="6"/>
      <c r="E27" s="6"/>
      <c r="G27" s="6">
        <v>0.248</v>
      </c>
      <c r="H27" s="11">
        <v>23154801</v>
      </c>
      <c r="J27" s="6">
        <v>0.157</v>
      </c>
      <c r="K27" s="6">
        <v>14393515</v>
      </c>
      <c r="M27" s="4" t="s">
        <v>422</v>
      </c>
      <c r="N27" s="4" t="s">
        <v>424</v>
      </c>
      <c r="O27" s="4" t="s">
        <v>427</v>
      </c>
      <c r="P27" s="16">
        <f t="shared" si="1"/>
        <v>91678439.490445852</v>
      </c>
      <c r="Q27" s="4" t="s">
        <v>468</v>
      </c>
      <c r="R27" s="20">
        <v>2.2320000000000002</v>
      </c>
      <c r="S27" s="20">
        <v>0</v>
      </c>
      <c r="U27" s="20">
        <v>0.55465092775711555</v>
      </c>
      <c r="V27" s="20">
        <v>0.43306202258392729</v>
      </c>
      <c r="W27" s="4" t="s">
        <v>483</v>
      </c>
    </row>
    <row r="28" spans="1:23" x14ac:dyDescent="0.15">
      <c r="A28" s="5" t="s">
        <v>373</v>
      </c>
      <c r="B28" s="6" t="s">
        <v>460</v>
      </c>
      <c r="C28" s="6"/>
      <c r="D28" s="6"/>
      <c r="E28" s="6"/>
      <c r="G28" s="6">
        <v>1.4950000000000001</v>
      </c>
      <c r="H28" s="11">
        <v>128889587</v>
      </c>
      <c r="J28" s="6">
        <v>1.288</v>
      </c>
      <c r="K28" s="6">
        <v>110024564</v>
      </c>
      <c r="M28" s="4" t="s">
        <v>422</v>
      </c>
      <c r="N28" s="4" t="s">
        <v>424</v>
      </c>
      <c r="O28" s="4" t="s">
        <v>442</v>
      </c>
      <c r="P28" s="16">
        <f t="shared" si="1"/>
        <v>85422798.136645958</v>
      </c>
      <c r="Q28" s="4" t="s">
        <v>468</v>
      </c>
      <c r="R28" s="20">
        <v>14.976000000000001</v>
      </c>
      <c r="S28" s="20">
        <v>6.8039999999999994</v>
      </c>
      <c r="U28" s="20">
        <v>0.55465092775711555</v>
      </c>
      <c r="V28" s="20">
        <v>0.43306202258392729</v>
      </c>
      <c r="W28" s="4" t="s">
        <v>483</v>
      </c>
    </row>
    <row r="29" spans="1:23" x14ac:dyDescent="0.15">
      <c r="A29" s="5" t="s">
        <v>374</v>
      </c>
      <c r="B29" s="6" t="s">
        <v>461</v>
      </c>
      <c r="C29" s="6"/>
      <c r="D29" s="6"/>
      <c r="E29" s="6"/>
      <c r="G29" s="12">
        <v>0.255</v>
      </c>
      <c r="H29" s="11">
        <v>9804572</v>
      </c>
      <c r="J29" s="6">
        <v>0.215</v>
      </c>
      <c r="K29" s="6">
        <v>2050637</v>
      </c>
      <c r="M29" s="4" t="s">
        <v>422</v>
      </c>
      <c r="N29" s="4" t="s">
        <v>424</v>
      </c>
      <c r="O29" s="4" t="s">
        <v>441</v>
      </c>
      <c r="P29" s="16">
        <f t="shared" si="1"/>
        <v>9537846.5116279069</v>
      </c>
      <c r="Q29" s="4" t="s">
        <v>468</v>
      </c>
      <c r="R29" s="20">
        <v>2.4768000000000003</v>
      </c>
      <c r="S29" s="20">
        <v>0</v>
      </c>
      <c r="U29" s="20">
        <v>0.55465092775711555</v>
      </c>
      <c r="V29" s="20">
        <v>0.43306202258392729</v>
      </c>
      <c r="W29" s="4" t="s">
        <v>483</v>
      </c>
    </row>
    <row r="30" spans="1:23" x14ac:dyDescent="0.15">
      <c r="A30" s="5" t="s">
        <v>375</v>
      </c>
      <c r="B30" s="6" t="s">
        <v>461</v>
      </c>
      <c r="C30" s="6"/>
      <c r="D30" s="6"/>
      <c r="E30" s="6"/>
      <c r="G30" s="12">
        <v>0.32300000000000001</v>
      </c>
      <c r="H30" s="11">
        <v>8681596</v>
      </c>
      <c r="J30" s="6">
        <v>0.26800000000000002</v>
      </c>
      <c r="K30" s="6">
        <v>2185759</v>
      </c>
      <c r="M30" s="4" t="s">
        <v>422</v>
      </c>
      <c r="N30" s="4" t="s">
        <v>424</v>
      </c>
      <c r="O30" s="4" t="s">
        <v>441</v>
      </c>
      <c r="P30" s="16">
        <f t="shared" si="1"/>
        <v>8155817.1641791044</v>
      </c>
      <c r="Q30" s="4" t="s">
        <v>468</v>
      </c>
      <c r="R30" s="20">
        <v>2.4768000000000003</v>
      </c>
      <c r="S30" s="20">
        <v>0</v>
      </c>
      <c r="U30" s="20">
        <v>0.55465092775711555</v>
      </c>
      <c r="V30" s="20">
        <v>0.43306202258392729</v>
      </c>
      <c r="W30" s="4" t="s">
        <v>483</v>
      </c>
    </row>
    <row r="31" spans="1:23" x14ac:dyDescent="0.15">
      <c r="A31" s="5" t="s">
        <v>352</v>
      </c>
      <c r="B31" s="6"/>
      <c r="C31" s="6"/>
      <c r="D31" s="6"/>
      <c r="E31" s="6"/>
      <c r="G31" s="12">
        <v>0.37</v>
      </c>
      <c r="H31" s="11">
        <v>1380242</v>
      </c>
      <c r="J31" s="6">
        <v>0.28199999999999997</v>
      </c>
      <c r="K31" s="6">
        <v>930583</v>
      </c>
      <c r="M31" s="4" t="s">
        <v>422</v>
      </c>
      <c r="N31" s="4" t="s">
        <v>424</v>
      </c>
      <c r="O31" s="4" t="s">
        <v>441</v>
      </c>
      <c r="P31" s="16">
        <f t="shared" si="1"/>
        <v>3299939.7163120569</v>
      </c>
      <c r="Q31" s="4" t="s">
        <v>468</v>
      </c>
      <c r="R31" s="20">
        <v>2.4768000000000003</v>
      </c>
      <c r="S31" s="20">
        <v>0</v>
      </c>
      <c r="U31" s="20">
        <v>0.55465092775711555</v>
      </c>
      <c r="V31" s="20">
        <v>0.43306202258392729</v>
      </c>
      <c r="W31" s="4" t="s">
        <v>483</v>
      </c>
    </row>
    <row r="32" spans="1:23" s="14" customFormat="1" x14ac:dyDescent="0.15">
      <c r="A32" s="13" t="s">
        <v>224</v>
      </c>
      <c r="P32" s="17"/>
      <c r="R32" s="19"/>
      <c r="S32" s="19"/>
      <c r="U32" s="19"/>
      <c r="V32" s="19"/>
    </row>
    <row r="33" spans="1:23" x14ac:dyDescent="0.15">
      <c r="A33" s="5" t="s">
        <v>333</v>
      </c>
      <c r="B33" s="6"/>
      <c r="C33" s="6"/>
      <c r="D33" s="6"/>
      <c r="E33" s="6"/>
      <c r="G33" s="6">
        <f>0.0308/0.056</f>
        <v>0.55000000000000004</v>
      </c>
      <c r="H33" s="11"/>
      <c r="J33" s="12">
        <f>0.0228/0.056</f>
        <v>0.40714285714285714</v>
      </c>
      <c r="K33" s="11"/>
      <c r="M33" s="4" t="s">
        <v>422</v>
      </c>
      <c r="N33" s="4" t="s">
        <v>423</v>
      </c>
      <c r="O33" s="4" t="s">
        <v>426</v>
      </c>
      <c r="P33" s="16">
        <f t="shared" si="1"/>
        <v>0</v>
      </c>
      <c r="Q33" s="4" t="s">
        <v>468</v>
      </c>
      <c r="R33" s="20">
        <v>0</v>
      </c>
      <c r="S33" s="20">
        <v>0.432</v>
      </c>
      <c r="U33" s="20">
        <v>0.75247638813310724</v>
      </c>
      <c r="V33" s="20">
        <v>0.39034566820695693</v>
      </c>
      <c r="W33" s="4" t="s">
        <v>485</v>
      </c>
    </row>
    <row r="34" spans="1:23" x14ac:dyDescent="0.15">
      <c r="A34" s="5" t="s">
        <v>116</v>
      </c>
      <c r="B34" s="6"/>
      <c r="C34" s="6"/>
      <c r="D34" s="6"/>
      <c r="E34" s="6"/>
      <c r="G34" s="6">
        <v>0.28199999999999997</v>
      </c>
      <c r="H34" s="11"/>
      <c r="J34" s="6">
        <v>0.217</v>
      </c>
      <c r="K34" s="11"/>
      <c r="M34" s="4" t="s">
        <v>422</v>
      </c>
      <c r="N34" s="4" t="s">
        <v>423</v>
      </c>
      <c r="O34" s="4" t="s">
        <v>425</v>
      </c>
      <c r="P34" s="16">
        <f t="shared" si="1"/>
        <v>0</v>
      </c>
      <c r="Q34" s="4" t="s">
        <v>476</v>
      </c>
      <c r="R34" s="20">
        <v>0</v>
      </c>
      <c r="S34" s="20">
        <v>0</v>
      </c>
      <c r="U34" s="20">
        <v>0.75247638813310724</v>
      </c>
      <c r="V34" s="20">
        <v>0.39034566820695693</v>
      </c>
      <c r="W34" s="4" t="s">
        <v>485</v>
      </c>
    </row>
    <row r="35" spans="1:23" s="14" customFormat="1" x14ac:dyDescent="0.15">
      <c r="A35" s="13" t="s">
        <v>81</v>
      </c>
      <c r="P35" s="17"/>
      <c r="R35" s="19"/>
      <c r="S35" s="19"/>
      <c r="U35" s="19"/>
      <c r="V35" s="19"/>
    </row>
    <row r="36" spans="1:23" x14ac:dyDescent="0.15">
      <c r="A36" s="5" t="s">
        <v>378</v>
      </c>
      <c r="B36" s="6" t="s">
        <v>409</v>
      </c>
      <c r="C36" s="6" t="s">
        <v>106</v>
      </c>
      <c r="D36" s="6"/>
      <c r="G36" s="6">
        <v>0.81</v>
      </c>
      <c r="H36" s="6">
        <v>105321006</v>
      </c>
      <c r="J36" s="6">
        <v>0.69299999999999995</v>
      </c>
      <c r="K36" s="6">
        <v>90105535</v>
      </c>
      <c r="M36" s="4" t="s">
        <v>422</v>
      </c>
      <c r="N36" s="4" t="s">
        <v>431</v>
      </c>
      <c r="O36" s="4" t="s">
        <v>432</v>
      </c>
      <c r="P36" s="16">
        <f t="shared" si="1"/>
        <v>130022417.02741703</v>
      </c>
      <c r="Q36" s="4" t="s">
        <v>468</v>
      </c>
      <c r="R36" s="20">
        <v>4.3200000000000012</v>
      </c>
      <c r="S36" s="20">
        <v>0</v>
      </c>
      <c r="U36" s="20">
        <v>0.66884534593017986</v>
      </c>
      <c r="V36" s="20">
        <v>0.58742624959688228</v>
      </c>
      <c r="W36" s="4" t="s">
        <v>409</v>
      </c>
    </row>
    <row r="37" spans="1:23" x14ac:dyDescent="0.15">
      <c r="A37" s="5" t="s">
        <v>379</v>
      </c>
      <c r="B37" s="6" t="s">
        <v>409</v>
      </c>
      <c r="C37" s="6" t="s">
        <v>106</v>
      </c>
      <c r="D37" s="6"/>
      <c r="G37" s="6">
        <v>1.1140000000000001</v>
      </c>
      <c r="H37" s="6">
        <v>2646157</v>
      </c>
      <c r="J37" s="6">
        <v>0.95699999999999996</v>
      </c>
      <c r="K37" s="6">
        <v>2145323</v>
      </c>
      <c r="M37" s="4" t="s">
        <v>422</v>
      </c>
      <c r="N37" s="4" t="s">
        <v>431</v>
      </c>
      <c r="O37" s="4" t="s">
        <v>432</v>
      </c>
      <c r="P37" s="16">
        <f t="shared" si="1"/>
        <v>2241716.8234064789</v>
      </c>
      <c r="Q37" s="4" t="s">
        <v>468</v>
      </c>
      <c r="R37" s="20">
        <v>4.3200000000000012</v>
      </c>
      <c r="S37" s="20">
        <v>0</v>
      </c>
      <c r="U37" s="20">
        <v>0.66884534593017986</v>
      </c>
      <c r="V37" s="20">
        <v>0.58742624959688228</v>
      </c>
      <c r="W37" s="4" t="s">
        <v>409</v>
      </c>
    </row>
    <row r="38" spans="1:23" x14ac:dyDescent="0.15">
      <c r="A38" s="5" t="s">
        <v>380</v>
      </c>
      <c r="B38" s="6" t="s">
        <v>409</v>
      </c>
      <c r="C38" s="6" t="s">
        <v>380</v>
      </c>
      <c r="D38" s="6"/>
      <c r="G38" s="6">
        <v>1.0589999999999999</v>
      </c>
      <c r="H38" s="6">
        <v>21751588</v>
      </c>
      <c r="J38" s="6">
        <v>0.72499999999999998</v>
      </c>
      <c r="K38" s="6">
        <v>15062292</v>
      </c>
      <c r="M38" s="4" t="s">
        <v>422</v>
      </c>
      <c r="N38" s="4" t="s">
        <v>424</v>
      </c>
      <c r="O38" s="4" t="s">
        <v>449</v>
      </c>
      <c r="P38" s="16">
        <f t="shared" si="1"/>
        <v>20775575.172413792</v>
      </c>
      <c r="Q38" s="4" t="s">
        <v>477</v>
      </c>
      <c r="R38" s="20">
        <v>3.7080000000000002</v>
      </c>
      <c r="S38" s="20">
        <v>0</v>
      </c>
      <c r="U38" s="20">
        <v>0.66884534593017986</v>
      </c>
      <c r="V38" s="20">
        <v>0.58742624959688228</v>
      </c>
      <c r="W38" s="4" t="s">
        <v>409</v>
      </c>
    </row>
    <row r="39" spans="1:23" x14ac:dyDescent="0.15">
      <c r="A39" s="5" t="s">
        <v>381</v>
      </c>
      <c r="B39" s="6" t="s">
        <v>409</v>
      </c>
      <c r="C39" s="6" t="s">
        <v>380</v>
      </c>
      <c r="D39" s="6"/>
      <c r="G39" s="6">
        <v>1.214</v>
      </c>
      <c r="H39" s="6">
        <v>1794640</v>
      </c>
      <c r="J39" s="6">
        <v>0.81499999999999995</v>
      </c>
      <c r="K39" s="6">
        <v>1265828</v>
      </c>
      <c r="M39" s="4" t="s">
        <v>422</v>
      </c>
      <c r="N39" s="4" t="s">
        <v>424</v>
      </c>
      <c r="O39" s="4" t="s">
        <v>449</v>
      </c>
      <c r="P39" s="16">
        <f t="shared" si="1"/>
        <v>1553163.1901840491</v>
      </c>
      <c r="Q39" s="4" t="s">
        <v>477</v>
      </c>
      <c r="R39" s="20">
        <v>3.7080000000000002</v>
      </c>
      <c r="S39" s="20">
        <v>0</v>
      </c>
      <c r="U39" s="20">
        <v>0.66884534593017986</v>
      </c>
      <c r="V39" s="20">
        <v>0.58742624959688228</v>
      </c>
      <c r="W39" s="4" t="s">
        <v>409</v>
      </c>
    </row>
    <row r="40" spans="1:23" x14ac:dyDescent="0.15">
      <c r="A40" s="5" t="s">
        <v>382</v>
      </c>
      <c r="B40" s="6" t="s">
        <v>409</v>
      </c>
      <c r="C40" s="6" t="s">
        <v>380</v>
      </c>
      <c r="D40" s="6"/>
      <c r="G40" s="6">
        <v>1.5349999999999999</v>
      </c>
      <c r="H40" s="6">
        <v>790184</v>
      </c>
      <c r="J40" s="6">
        <v>1.4059999999999999</v>
      </c>
      <c r="K40" s="6">
        <v>722297</v>
      </c>
      <c r="M40" s="4" t="s">
        <v>422</v>
      </c>
      <c r="N40" s="4" t="s">
        <v>424</v>
      </c>
      <c r="O40" s="4" t="s">
        <v>449</v>
      </c>
      <c r="P40" s="16">
        <f t="shared" si="1"/>
        <v>513724.75106685638</v>
      </c>
      <c r="Q40" s="4" t="s">
        <v>477</v>
      </c>
      <c r="R40" s="20">
        <v>3.7080000000000002</v>
      </c>
      <c r="S40" s="20">
        <v>0</v>
      </c>
      <c r="U40" s="20">
        <v>0.66884534593017986</v>
      </c>
      <c r="V40" s="20">
        <v>0.58742624959688228</v>
      </c>
      <c r="W40" s="4" t="s">
        <v>409</v>
      </c>
    </row>
    <row r="41" spans="1:23" x14ac:dyDescent="0.15">
      <c r="A41" s="5" t="s">
        <v>383</v>
      </c>
      <c r="B41" s="6" t="s">
        <v>409</v>
      </c>
      <c r="C41" s="6" t="s">
        <v>82</v>
      </c>
      <c r="D41" s="6"/>
      <c r="G41" s="6">
        <v>0.51</v>
      </c>
      <c r="H41" s="6">
        <v>5129544</v>
      </c>
      <c r="J41" s="6">
        <v>0.39900000000000002</v>
      </c>
      <c r="K41" s="6">
        <v>4066932</v>
      </c>
      <c r="M41" s="4" t="s">
        <v>422</v>
      </c>
      <c r="N41" s="4" t="s">
        <v>424</v>
      </c>
      <c r="O41" s="4" t="s">
        <v>428</v>
      </c>
      <c r="P41" s="16">
        <f t="shared" si="1"/>
        <v>10192812.030075187</v>
      </c>
      <c r="Q41" s="4" t="s">
        <v>468</v>
      </c>
      <c r="R41" s="20">
        <v>8.4960000000000022</v>
      </c>
      <c r="S41" s="20">
        <v>0</v>
      </c>
      <c r="U41" s="20">
        <v>0.66884534593017986</v>
      </c>
      <c r="V41" s="20">
        <v>0.58742624959688228</v>
      </c>
      <c r="W41" s="4" t="s">
        <v>409</v>
      </c>
    </row>
    <row r="42" spans="1:23" x14ac:dyDescent="0.15">
      <c r="A42" s="5" t="s">
        <v>384</v>
      </c>
      <c r="B42" s="6" t="s">
        <v>409</v>
      </c>
      <c r="C42" s="6" t="s">
        <v>82</v>
      </c>
      <c r="D42" s="6"/>
      <c r="G42" s="6">
        <v>0.45900000000000002</v>
      </c>
      <c r="H42" s="6">
        <v>3582195</v>
      </c>
      <c r="J42" s="6">
        <v>0.28999999999999998</v>
      </c>
      <c r="K42" s="6">
        <v>2265406</v>
      </c>
      <c r="M42" s="4" t="s">
        <v>422</v>
      </c>
      <c r="N42" s="4" t="s">
        <v>424</v>
      </c>
      <c r="O42" s="4" t="s">
        <v>428</v>
      </c>
      <c r="P42" s="16">
        <f t="shared" si="1"/>
        <v>7811744.8275862075</v>
      </c>
      <c r="Q42" s="4" t="s">
        <v>468</v>
      </c>
      <c r="R42" s="20">
        <v>8.4960000000000022</v>
      </c>
      <c r="S42" s="20">
        <v>0</v>
      </c>
      <c r="U42" s="20">
        <v>0.66884534593017986</v>
      </c>
      <c r="V42" s="20">
        <v>0.58742624959688228</v>
      </c>
      <c r="W42" s="4" t="s">
        <v>409</v>
      </c>
    </row>
    <row r="43" spans="1:23" x14ac:dyDescent="0.15">
      <c r="A43" s="5" t="s">
        <v>385</v>
      </c>
      <c r="B43" s="6" t="s">
        <v>409</v>
      </c>
      <c r="C43" s="6" t="s">
        <v>82</v>
      </c>
      <c r="D43" s="6"/>
      <c r="G43" s="6">
        <v>0.35299999999999998</v>
      </c>
      <c r="H43" s="6">
        <v>3771180</v>
      </c>
      <c r="J43" s="6">
        <v>0.23699999999999999</v>
      </c>
      <c r="K43" s="6">
        <v>2519439</v>
      </c>
      <c r="M43" s="4" t="s">
        <v>422</v>
      </c>
      <c r="N43" s="4" t="s">
        <v>424</v>
      </c>
      <c r="O43" s="4" t="s">
        <v>428</v>
      </c>
      <c r="P43" s="16">
        <f t="shared" si="1"/>
        <v>10630544.303797469</v>
      </c>
      <c r="Q43" s="4" t="s">
        <v>468</v>
      </c>
      <c r="R43" s="20">
        <v>8.4960000000000022</v>
      </c>
      <c r="S43" s="20">
        <v>0</v>
      </c>
      <c r="U43" s="20">
        <v>0.66884534593017986</v>
      </c>
      <c r="V43" s="20">
        <v>0.58742624959688228</v>
      </c>
      <c r="W43" s="4" t="s">
        <v>409</v>
      </c>
    </row>
    <row r="44" spans="1:23" x14ac:dyDescent="0.15">
      <c r="A44" s="5" t="s">
        <v>386</v>
      </c>
      <c r="B44" s="6" t="s">
        <v>409</v>
      </c>
      <c r="C44" s="6" t="s">
        <v>82</v>
      </c>
      <c r="D44" s="6" t="s">
        <v>462</v>
      </c>
      <c r="G44" s="6">
        <v>0.41499999999999998</v>
      </c>
      <c r="H44" s="6">
        <v>390741</v>
      </c>
      <c r="J44" s="6">
        <v>0.309</v>
      </c>
      <c r="K44" s="6">
        <v>283967</v>
      </c>
      <c r="M44" s="4" t="s">
        <v>422</v>
      </c>
      <c r="N44" s="4" t="s">
        <v>424</v>
      </c>
      <c r="O44" s="4" t="s">
        <v>429</v>
      </c>
      <c r="P44" s="16">
        <f t="shared" si="1"/>
        <v>918987.0550161812</v>
      </c>
      <c r="Q44" s="4" t="s">
        <v>468</v>
      </c>
      <c r="R44" s="20">
        <v>4.9320000000000004</v>
      </c>
      <c r="S44" s="20">
        <v>0</v>
      </c>
      <c r="U44" s="20">
        <v>0.66884534593017986</v>
      </c>
      <c r="V44" s="20">
        <v>0.58742624959688228</v>
      </c>
      <c r="W44" s="4" t="s">
        <v>409</v>
      </c>
    </row>
    <row r="45" spans="1:23" x14ac:dyDescent="0.15">
      <c r="A45" s="5" t="s">
        <v>334</v>
      </c>
      <c r="B45" s="6" t="s">
        <v>409</v>
      </c>
      <c r="C45" s="6" t="s">
        <v>101</v>
      </c>
      <c r="D45" s="6" t="s">
        <v>464</v>
      </c>
      <c r="G45" s="6">
        <v>0.16</v>
      </c>
      <c r="H45" s="6">
        <v>681443</v>
      </c>
      <c r="J45" s="6">
        <v>0.106</v>
      </c>
      <c r="K45" s="6">
        <v>452784</v>
      </c>
      <c r="M45" s="4" t="s">
        <v>422</v>
      </c>
      <c r="N45" s="4" t="s">
        <v>424</v>
      </c>
      <c r="O45" s="4" t="s">
        <v>489</v>
      </c>
      <c r="P45" s="16">
        <f t="shared" si="1"/>
        <v>4271547.1698113205</v>
      </c>
      <c r="Q45" s="4" t="s">
        <v>468</v>
      </c>
      <c r="R45" s="20">
        <v>1.4040000000000001</v>
      </c>
      <c r="S45" s="20">
        <v>0</v>
      </c>
      <c r="U45" s="20">
        <v>0.66884534593017986</v>
      </c>
      <c r="V45" s="20">
        <v>0.58742624959688228</v>
      </c>
      <c r="W45" s="4" t="s">
        <v>409</v>
      </c>
    </row>
    <row r="46" spans="1:23" x14ac:dyDescent="0.15">
      <c r="A46" s="5" t="s">
        <v>387</v>
      </c>
      <c r="B46" s="6" t="s">
        <v>409</v>
      </c>
      <c r="C46" s="6" t="s">
        <v>101</v>
      </c>
      <c r="D46" s="6" t="s">
        <v>464</v>
      </c>
      <c r="G46" s="6">
        <v>0.183</v>
      </c>
      <c r="H46" s="6">
        <v>207165</v>
      </c>
      <c r="J46" s="6">
        <v>0.14599999999999999</v>
      </c>
      <c r="K46" s="6">
        <v>160430</v>
      </c>
      <c r="M46" s="4" t="s">
        <v>422</v>
      </c>
      <c r="N46" s="4" t="s">
        <v>430</v>
      </c>
      <c r="O46" s="4" t="s">
        <v>489</v>
      </c>
      <c r="P46" s="16">
        <f t="shared" si="1"/>
        <v>1098835.6164383562</v>
      </c>
      <c r="Q46" s="4" t="s">
        <v>468</v>
      </c>
      <c r="R46" s="20">
        <v>1.4040000000000001</v>
      </c>
      <c r="S46" s="20">
        <v>0</v>
      </c>
      <c r="U46" s="20">
        <v>0.66884534593017986</v>
      </c>
      <c r="V46" s="20">
        <v>0.58742624959688228</v>
      </c>
      <c r="W46" s="4" t="s">
        <v>409</v>
      </c>
    </row>
    <row r="47" spans="1:23" x14ac:dyDescent="0.15">
      <c r="A47" s="5" t="s">
        <v>388</v>
      </c>
      <c r="B47" s="6" t="s">
        <v>409</v>
      </c>
      <c r="C47" s="6" t="s">
        <v>101</v>
      </c>
      <c r="D47" s="6" t="s">
        <v>464</v>
      </c>
      <c r="G47" s="6">
        <v>0.184</v>
      </c>
      <c r="H47" s="6">
        <v>1109511</v>
      </c>
      <c r="J47" s="6">
        <v>0.14399999999999999</v>
      </c>
      <c r="K47" s="6">
        <v>735846</v>
      </c>
      <c r="M47" s="4" t="s">
        <v>422</v>
      </c>
      <c r="N47" s="4" t="s">
        <v>430</v>
      </c>
      <c r="O47" s="4" t="s">
        <v>488</v>
      </c>
      <c r="P47" s="16">
        <f t="shared" si="1"/>
        <v>5110041.666666667</v>
      </c>
      <c r="Q47" s="4" t="s">
        <v>468</v>
      </c>
      <c r="R47" s="20">
        <v>5.378400000000001</v>
      </c>
      <c r="S47" s="20">
        <v>0</v>
      </c>
      <c r="U47" s="20">
        <v>0.66884534593017986</v>
      </c>
      <c r="V47" s="20">
        <v>0.58742624959688228</v>
      </c>
      <c r="W47" s="4" t="s">
        <v>409</v>
      </c>
    </row>
    <row r="48" spans="1:23" x14ac:dyDescent="0.15">
      <c r="A48" s="5" t="s">
        <v>389</v>
      </c>
      <c r="B48" s="6" t="s">
        <v>409</v>
      </c>
      <c r="C48" s="6" t="s">
        <v>101</v>
      </c>
      <c r="D48" s="6" t="s">
        <v>464</v>
      </c>
      <c r="G48" s="6">
        <v>7.3999999999999996E-2</v>
      </c>
      <c r="H48" s="6">
        <v>1712944</v>
      </c>
      <c r="J48" s="6">
        <v>5.8000000000000003E-2</v>
      </c>
      <c r="K48" s="6">
        <v>1323716</v>
      </c>
      <c r="M48" s="4" t="s">
        <v>422</v>
      </c>
      <c r="N48" s="4" t="s">
        <v>430</v>
      </c>
      <c r="O48" s="4" t="s">
        <v>490</v>
      </c>
      <c r="P48" s="16">
        <f t="shared" si="1"/>
        <v>22822689.655172411</v>
      </c>
      <c r="Q48" s="4" t="s">
        <v>468</v>
      </c>
      <c r="R48" s="20">
        <v>2.952</v>
      </c>
      <c r="S48" s="20">
        <v>0</v>
      </c>
      <c r="U48" s="20">
        <v>0.66884534593017986</v>
      </c>
      <c r="V48" s="20">
        <v>0.58742624959688228</v>
      </c>
      <c r="W48" s="4" t="s">
        <v>409</v>
      </c>
    </row>
    <row r="49" spans="1:23" x14ac:dyDescent="0.15">
      <c r="A49" s="5" t="s">
        <v>355</v>
      </c>
      <c r="B49" s="6" t="s">
        <v>409</v>
      </c>
      <c r="C49" s="6"/>
      <c r="D49" s="6" t="s">
        <v>462</v>
      </c>
      <c r="G49" s="6">
        <v>0.77900000000000003</v>
      </c>
      <c r="H49" s="6">
        <v>3187683</v>
      </c>
      <c r="J49" s="6">
        <v>0.53500000000000003</v>
      </c>
      <c r="K49" s="6">
        <v>1577648</v>
      </c>
      <c r="M49" s="4" t="s">
        <v>422</v>
      </c>
      <c r="N49" s="4" t="s">
        <v>424</v>
      </c>
      <c r="O49" s="4" t="s">
        <v>429</v>
      </c>
      <c r="P49" s="16">
        <f t="shared" si="1"/>
        <v>2948874.7663551401</v>
      </c>
      <c r="Q49" s="4" t="s">
        <v>468</v>
      </c>
      <c r="R49" s="20">
        <v>4.9320000000000004</v>
      </c>
      <c r="S49" s="20">
        <v>0</v>
      </c>
      <c r="U49" s="20">
        <v>0.66884534593017986</v>
      </c>
      <c r="V49" s="20">
        <v>0.58742624959688228</v>
      </c>
      <c r="W49" s="4" t="s">
        <v>409</v>
      </c>
    </row>
    <row r="50" spans="1:23" x14ac:dyDescent="0.15">
      <c r="A50" s="5" t="s">
        <v>390</v>
      </c>
      <c r="B50" s="6" t="s">
        <v>409</v>
      </c>
      <c r="C50" s="6" t="s">
        <v>390</v>
      </c>
      <c r="D50" s="6"/>
      <c r="G50" s="6">
        <v>0.06</v>
      </c>
      <c r="H50" s="6">
        <v>47230</v>
      </c>
      <c r="J50" s="6">
        <v>4.7E-2</v>
      </c>
      <c r="K50" s="6">
        <v>36673</v>
      </c>
      <c r="M50" s="4" t="s">
        <v>422</v>
      </c>
      <c r="N50" s="4" t="s">
        <v>433</v>
      </c>
      <c r="O50" s="4" t="s">
        <v>412</v>
      </c>
      <c r="P50" s="16">
        <f t="shared" si="1"/>
        <v>780276.59574468085</v>
      </c>
      <c r="Q50" s="4" t="s">
        <v>468</v>
      </c>
      <c r="R50" s="20">
        <v>1.0800000000000003</v>
      </c>
      <c r="S50" s="20">
        <v>0</v>
      </c>
      <c r="U50" s="20">
        <v>0.66884534593017986</v>
      </c>
      <c r="V50" s="20">
        <v>0.58742624959688228</v>
      </c>
      <c r="W50" s="4" t="s">
        <v>409</v>
      </c>
    </row>
    <row r="51" spans="1:23" x14ac:dyDescent="0.15">
      <c r="A51" s="5" t="s">
        <v>391</v>
      </c>
      <c r="B51" s="6" t="s">
        <v>409</v>
      </c>
      <c r="C51" s="6" t="s">
        <v>390</v>
      </c>
      <c r="D51" s="6"/>
      <c r="G51" s="6">
        <v>2.1000000000000001E-2</v>
      </c>
      <c r="H51" s="6">
        <v>78682</v>
      </c>
      <c r="J51" s="6">
        <v>2.1000000000000001E-2</v>
      </c>
      <c r="K51" s="6">
        <v>50229</v>
      </c>
      <c r="M51" s="4" t="s">
        <v>422</v>
      </c>
      <c r="N51" s="4" t="s">
        <v>433</v>
      </c>
      <c r="O51" s="4" t="s">
        <v>412</v>
      </c>
      <c r="P51" s="16">
        <f t="shared" si="1"/>
        <v>2391857.1428571427</v>
      </c>
      <c r="Q51" s="4" t="s">
        <v>468</v>
      </c>
      <c r="R51" s="20">
        <v>1.0800000000000003</v>
      </c>
      <c r="S51" s="20">
        <v>0</v>
      </c>
      <c r="U51" s="20">
        <v>0.66884534593017986</v>
      </c>
      <c r="V51" s="20">
        <v>0.58742624959688228</v>
      </c>
      <c r="W51" s="4" t="s">
        <v>409</v>
      </c>
    </row>
    <row r="52" spans="1:23" x14ac:dyDescent="0.15">
      <c r="A52" s="5" t="s">
        <v>392</v>
      </c>
      <c r="B52" s="6" t="s">
        <v>409</v>
      </c>
      <c r="C52" s="6"/>
      <c r="D52" s="6"/>
      <c r="G52" s="6">
        <v>0.14199999999999999</v>
      </c>
      <c r="H52" s="6">
        <v>1131799</v>
      </c>
      <c r="J52" s="6">
        <v>0.11</v>
      </c>
      <c r="K52" s="6">
        <v>253159</v>
      </c>
      <c r="M52" s="4" t="s">
        <v>422</v>
      </c>
      <c r="N52" s="4" t="s">
        <v>433</v>
      </c>
      <c r="O52" s="4" t="s">
        <v>412</v>
      </c>
      <c r="P52" s="16">
        <f t="shared" si="1"/>
        <v>2301445.4545454546</v>
      </c>
      <c r="Q52" s="4" t="s">
        <v>468</v>
      </c>
      <c r="R52" s="20">
        <v>1.0800000000000003</v>
      </c>
      <c r="S52" s="20">
        <v>0</v>
      </c>
      <c r="U52" s="20">
        <v>0.66884534593017986</v>
      </c>
      <c r="V52" s="20">
        <v>0.58742624959688228</v>
      </c>
      <c r="W52" s="4" t="s">
        <v>409</v>
      </c>
    </row>
    <row r="53" spans="1:23" x14ac:dyDescent="0.15">
      <c r="A53" s="5" t="s">
        <v>332</v>
      </c>
      <c r="G53" s="6">
        <v>1.8</v>
      </c>
      <c r="J53" s="6">
        <v>1.8</v>
      </c>
      <c r="M53" s="4" t="s">
        <v>422</v>
      </c>
      <c r="N53" s="4" t="s">
        <v>430</v>
      </c>
      <c r="O53" s="4" t="s">
        <v>488</v>
      </c>
      <c r="P53" s="16">
        <f t="shared" si="1"/>
        <v>0</v>
      </c>
      <c r="Q53" s="4" t="s">
        <v>468</v>
      </c>
      <c r="R53" s="20">
        <v>5.378400000000001</v>
      </c>
      <c r="S53" s="20">
        <v>0</v>
      </c>
      <c r="U53" s="20">
        <v>0.66884534593017986</v>
      </c>
      <c r="V53" s="20">
        <v>0.58742624959688228</v>
      </c>
      <c r="W53" s="4" t="s">
        <v>409</v>
      </c>
    </row>
    <row r="54" spans="1:23" s="14" customFormat="1" x14ac:dyDescent="0.15">
      <c r="A54" s="13" t="s">
        <v>122</v>
      </c>
      <c r="P54" s="17"/>
      <c r="R54" s="19"/>
      <c r="S54" s="19"/>
      <c r="U54" s="19"/>
      <c r="V54" s="19"/>
    </row>
    <row r="55" spans="1:23" x14ac:dyDescent="0.15">
      <c r="A55" s="5" t="s">
        <v>393</v>
      </c>
      <c r="B55" s="6" t="s">
        <v>463</v>
      </c>
      <c r="C55" s="6" t="s">
        <v>221</v>
      </c>
      <c r="D55" s="6"/>
      <c r="E55" s="6"/>
      <c r="G55" s="6">
        <v>0.111</v>
      </c>
      <c r="H55" s="6">
        <v>927669</v>
      </c>
      <c r="J55" s="6">
        <v>9.0999999999999998E-2</v>
      </c>
      <c r="K55" s="6">
        <v>416663</v>
      </c>
      <c r="M55" s="4" t="s">
        <v>422</v>
      </c>
      <c r="N55" s="4" t="s">
        <v>438</v>
      </c>
      <c r="O55" s="4" t="s">
        <v>437</v>
      </c>
      <c r="P55" s="16">
        <f t="shared" si="1"/>
        <v>4578714.2857142854</v>
      </c>
      <c r="Q55" s="4" t="s">
        <v>477</v>
      </c>
      <c r="R55" s="20">
        <v>10.295999999999999</v>
      </c>
      <c r="S55" s="20">
        <v>0</v>
      </c>
      <c r="U55" s="20">
        <v>0.81657744124826959</v>
      </c>
      <c r="V55" s="20">
        <v>0.94441452831676742</v>
      </c>
      <c r="W55" s="4" t="s">
        <v>484</v>
      </c>
    </row>
    <row r="56" spans="1:23" x14ac:dyDescent="0.15">
      <c r="A56" s="5" t="s">
        <v>394</v>
      </c>
      <c r="B56" s="6" t="s">
        <v>463</v>
      </c>
      <c r="C56" s="6" t="s">
        <v>221</v>
      </c>
      <c r="D56" s="6"/>
      <c r="E56" s="6"/>
      <c r="G56" s="6">
        <v>7.1999999999999995E-2</v>
      </c>
      <c r="H56" s="6">
        <v>967436</v>
      </c>
      <c r="J56" s="6">
        <v>4.5999999999999999E-2</v>
      </c>
      <c r="K56" s="6">
        <v>360057</v>
      </c>
      <c r="M56" s="4" t="s">
        <v>422</v>
      </c>
      <c r="N56" s="4" t="s">
        <v>438</v>
      </c>
      <c r="O56" s="4" t="s">
        <v>437</v>
      </c>
      <c r="P56" s="16">
        <f t="shared" si="1"/>
        <v>7827326.0869565215</v>
      </c>
      <c r="Q56" s="4" t="s">
        <v>477</v>
      </c>
      <c r="R56" s="20">
        <v>10.295999999999999</v>
      </c>
      <c r="S56" s="20">
        <v>0</v>
      </c>
      <c r="U56" s="20">
        <v>0.81657744124826959</v>
      </c>
      <c r="V56" s="20">
        <v>0.94441452831676742</v>
      </c>
      <c r="W56" s="4" t="s">
        <v>484</v>
      </c>
    </row>
    <row r="57" spans="1:23" x14ac:dyDescent="0.15">
      <c r="A57" s="5" t="s">
        <v>395</v>
      </c>
      <c r="B57" s="6" t="s">
        <v>463</v>
      </c>
      <c r="C57" s="6" t="s">
        <v>221</v>
      </c>
      <c r="D57" s="6"/>
      <c r="E57" s="6"/>
      <c r="G57" s="6">
        <v>4.2000000000000003E-2</v>
      </c>
      <c r="H57" s="6">
        <v>249991</v>
      </c>
      <c r="J57" s="6">
        <v>1.4999999999999999E-2</v>
      </c>
      <c r="K57" s="6">
        <v>19633</v>
      </c>
      <c r="M57" s="4" t="s">
        <v>422</v>
      </c>
      <c r="N57" s="4" t="s">
        <v>438</v>
      </c>
      <c r="O57" s="4" t="s">
        <v>437</v>
      </c>
      <c r="P57" s="16">
        <f t="shared" si="1"/>
        <v>1308866.6666666667</v>
      </c>
      <c r="Q57" s="4" t="s">
        <v>477</v>
      </c>
      <c r="R57" s="20">
        <v>10.295999999999999</v>
      </c>
      <c r="S57" s="20">
        <v>0</v>
      </c>
      <c r="U57" s="20">
        <v>0.81657744124826959</v>
      </c>
      <c r="V57" s="20">
        <v>0.94441452831676742</v>
      </c>
      <c r="W57" s="4" t="s">
        <v>484</v>
      </c>
    </row>
    <row r="58" spans="1:23" x14ac:dyDescent="0.15">
      <c r="A58" s="5" t="s">
        <v>396</v>
      </c>
      <c r="B58" s="6" t="s">
        <v>463</v>
      </c>
      <c r="C58" s="6" t="s">
        <v>221</v>
      </c>
      <c r="D58" s="6"/>
      <c r="E58" s="6"/>
      <c r="G58" s="6">
        <v>1.7000000000000001E-2</v>
      </c>
      <c r="H58" s="6">
        <v>621837</v>
      </c>
      <c r="J58" s="6">
        <v>0.03</v>
      </c>
      <c r="K58" s="6">
        <v>1065261</v>
      </c>
      <c r="M58" s="4" t="s">
        <v>422</v>
      </c>
      <c r="N58" s="4" t="s">
        <v>438</v>
      </c>
      <c r="O58" s="4" t="s">
        <v>479</v>
      </c>
      <c r="P58" s="16">
        <f t="shared" si="1"/>
        <v>35508700</v>
      </c>
      <c r="Q58" s="4" t="s">
        <v>477</v>
      </c>
      <c r="R58" s="20">
        <v>0.54</v>
      </c>
      <c r="S58" s="20">
        <v>0</v>
      </c>
      <c r="U58" s="20">
        <v>0.81657744124826959</v>
      </c>
      <c r="V58" s="20">
        <v>0.94441452831676742</v>
      </c>
      <c r="W58" s="4" t="s">
        <v>484</v>
      </c>
    </row>
    <row r="59" spans="1:23" x14ac:dyDescent="0.15">
      <c r="A59" s="5" t="s">
        <v>397</v>
      </c>
      <c r="B59" s="6" t="s">
        <v>463</v>
      </c>
      <c r="C59" s="6" t="s">
        <v>173</v>
      </c>
      <c r="D59" s="6"/>
      <c r="E59" s="6"/>
      <c r="G59" s="6">
        <v>0.161</v>
      </c>
      <c r="H59" s="6">
        <v>1017364</v>
      </c>
      <c r="J59" s="6">
        <v>0.22600000000000001</v>
      </c>
      <c r="K59" s="6">
        <v>1309487</v>
      </c>
      <c r="M59" s="4" t="s">
        <v>422</v>
      </c>
      <c r="N59" s="4" t="s">
        <v>438</v>
      </c>
      <c r="O59" s="4" t="s">
        <v>413</v>
      </c>
      <c r="P59" s="16">
        <f t="shared" si="1"/>
        <v>5794190.2654867256</v>
      </c>
      <c r="Q59" s="4" t="s">
        <v>477</v>
      </c>
      <c r="R59" s="20">
        <v>7.2</v>
      </c>
      <c r="S59" s="20">
        <v>0</v>
      </c>
      <c r="U59" s="20">
        <v>0.81657744124826959</v>
      </c>
      <c r="V59" s="20">
        <v>0.94441452831676742</v>
      </c>
      <c r="W59" s="4" t="s">
        <v>484</v>
      </c>
    </row>
    <row r="60" spans="1:23" x14ac:dyDescent="0.15">
      <c r="A60" s="5" t="s">
        <v>398</v>
      </c>
      <c r="B60" s="6" t="s">
        <v>463</v>
      </c>
      <c r="C60" s="6" t="s">
        <v>173</v>
      </c>
      <c r="D60" s="6"/>
      <c r="E60" s="6"/>
      <c r="G60" s="6">
        <v>0.17899999999999999</v>
      </c>
      <c r="H60" s="6">
        <v>2485893</v>
      </c>
      <c r="J60" s="6">
        <v>0.24199999999999999</v>
      </c>
      <c r="K60" s="6">
        <v>3151681</v>
      </c>
      <c r="M60" s="4" t="s">
        <v>422</v>
      </c>
      <c r="N60" s="4" t="s">
        <v>433</v>
      </c>
      <c r="O60" s="4" t="s">
        <v>413</v>
      </c>
      <c r="P60" s="16">
        <f t="shared" si="1"/>
        <v>13023475.20661157</v>
      </c>
      <c r="Q60" s="4" t="s">
        <v>468</v>
      </c>
      <c r="R60" s="20">
        <v>7.2</v>
      </c>
      <c r="S60" s="20">
        <v>0</v>
      </c>
      <c r="U60" s="20">
        <v>0.81657744124826959</v>
      </c>
      <c r="V60" s="20">
        <v>0.94441452831676742</v>
      </c>
      <c r="W60" s="4" t="s">
        <v>484</v>
      </c>
    </row>
    <row r="61" spans="1:23" x14ac:dyDescent="0.15">
      <c r="A61" s="5" t="s">
        <v>399</v>
      </c>
      <c r="B61" s="6" t="s">
        <v>463</v>
      </c>
      <c r="C61" s="6" t="s">
        <v>173</v>
      </c>
      <c r="D61" s="6"/>
      <c r="E61" s="6"/>
      <c r="G61" s="6">
        <v>0.219</v>
      </c>
      <c r="H61" s="6">
        <v>3244348</v>
      </c>
      <c r="J61" s="6">
        <v>0.24199999999999999</v>
      </c>
      <c r="K61" s="6">
        <v>3409004</v>
      </c>
      <c r="M61" s="4" t="s">
        <v>422</v>
      </c>
      <c r="N61" s="4" t="s">
        <v>433</v>
      </c>
      <c r="O61" s="4" t="s">
        <v>413</v>
      </c>
      <c r="P61" s="16">
        <f t="shared" si="1"/>
        <v>14086793.388429752</v>
      </c>
      <c r="Q61" s="4" t="s">
        <v>468</v>
      </c>
      <c r="R61" s="20">
        <v>7.2</v>
      </c>
      <c r="S61" s="20">
        <v>0</v>
      </c>
      <c r="U61" s="20">
        <v>0.81657744124826959</v>
      </c>
      <c r="V61" s="20">
        <v>0.94441452831676742</v>
      </c>
      <c r="W61" s="4" t="s">
        <v>484</v>
      </c>
    </row>
    <row r="62" spans="1:23" x14ac:dyDescent="0.15">
      <c r="A62" s="5" t="s">
        <v>149</v>
      </c>
      <c r="B62" s="6" t="s">
        <v>463</v>
      </c>
      <c r="C62" s="6" t="s">
        <v>173</v>
      </c>
      <c r="D62" s="6"/>
      <c r="E62" s="6"/>
      <c r="G62" s="6">
        <v>0.35199999999999998</v>
      </c>
      <c r="H62" s="6">
        <v>2167734</v>
      </c>
      <c r="J62" s="6">
        <v>0.254</v>
      </c>
      <c r="K62" s="6">
        <v>1517281</v>
      </c>
      <c r="M62" s="4" t="s">
        <v>422</v>
      </c>
      <c r="N62" s="4" t="s">
        <v>433</v>
      </c>
      <c r="O62" s="4" t="s">
        <v>149</v>
      </c>
      <c r="P62" s="16">
        <f t="shared" si="1"/>
        <v>5973547.2440944882</v>
      </c>
      <c r="Q62" s="4" t="s">
        <v>468</v>
      </c>
      <c r="R62" s="20">
        <v>6.6240000000000006</v>
      </c>
      <c r="S62" s="20">
        <v>0</v>
      </c>
      <c r="U62" s="20">
        <v>0.81657744124826959</v>
      </c>
      <c r="V62" s="20">
        <v>0.94441452831676742</v>
      </c>
      <c r="W62" s="4" t="s">
        <v>484</v>
      </c>
    </row>
    <row r="63" spans="1:23" x14ac:dyDescent="0.15">
      <c r="A63" s="5" t="s">
        <v>400</v>
      </c>
      <c r="B63" s="6" t="s">
        <v>463</v>
      </c>
      <c r="C63" s="6" t="s">
        <v>173</v>
      </c>
      <c r="D63" s="6" t="s">
        <v>434</v>
      </c>
      <c r="E63" s="6"/>
      <c r="G63" s="6">
        <v>0.223</v>
      </c>
      <c r="H63" s="6">
        <v>4641400</v>
      </c>
      <c r="J63" s="6">
        <v>0.188</v>
      </c>
      <c r="K63" s="6">
        <v>3880504</v>
      </c>
      <c r="M63" s="4" t="s">
        <v>422</v>
      </c>
      <c r="N63" s="4" t="s">
        <v>433</v>
      </c>
      <c r="O63" s="4" t="s">
        <v>434</v>
      </c>
      <c r="P63" s="16">
        <f t="shared" si="1"/>
        <v>20640978.723404255</v>
      </c>
      <c r="Q63" s="4" t="s">
        <v>468</v>
      </c>
      <c r="R63" s="20">
        <v>4.9680000000000009</v>
      </c>
      <c r="S63" s="20">
        <v>0</v>
      </c>
      <c r="U63" s="20">
        <v>0.81657744124826959</v>
      </c>
      <c r="V63" s="20">
        <v>0.94441452831676742</v>
      </c>
      <c r="W63" s="4" t="s">
        <v>484</v>
      </c>
    </row>
    <row r="64" spans="1:23" x14ac:dyDescent="0.15">
      <c r="A64" s="5" t="s">
        <v>401</v>
      </c>
      <c r="B64" s="6" t="s">
        <v>463</v>
      </c>
      <c r="C64" s="6" t="s">
        <v>173</v>
      </c>
      <c r="D64" s="6" t="s">
        <v>434</v>
      </c>
      <c r="E64" s="6"/>
      <c r="G64" s="6">
        <v>0.186</v>
      </c>
      <c r="H64" s="6">
        <v>874778</v>
      </c>
      <c r="J64" s="6">
        <v>0.18</v>
      </c>
      <c r="K64" s="6">
        <v>792054</v>
      </c>
      <c r="M64" s="4" t="s">
        <v>422</v>
      </c>
      <c r="N64" s="4" t="s">
        <v>433</v>
      </c>
      <c r="O64" s="4" t="s">
        <v>434</v>
      </c>
      <c r="P64" s="16">
        <f t="shared" si="1"/>
        <v>4400300</v>
      </c>
      <c r="Q64" s="4" t="s">
        <v>468</v>
      </c>
      <c r="R64" s="20">
        <v>4.9680000000000009</v>
      </c>
      <c r="S64" s="20">
        <v>0</v>
      </c>
      <c r="U64" s="20">
        <v>0.81657744124826959</v>
      </c>
      <c r="V64" s="20">
        <v>0.94441452831676742</v>
      </c>
      <c r="W64" s="4" t="s">
        <v>484</v>
      </c>
    </row>
    <row r="65" spans="1:23" x14ac:dyDescent="0.15">
      <c r="A65" s="5" t="s">
        <v>402</v>
      </c>
      <c r="B65" s="6" t="s">
        <v>463</v>
      </c>
      <c r="C65" s="6" t="s">
        <v>173</v>
      </c>
      <c r="D65" s="6" t="s">
        <v>434</v>
      </c>
      <c r="E65" s="6"/>
      <c r="G65" s="6">
        <v>0.14299999999999999</v>
      </c>
      <c r="H65" s="6">
        <v>1341063</v>
      </c>
      <c r="J65" s="6">
        <v>0.20699999999999999</v>
      </c>
      <c r="K65" s="6">
        <v>1911301</v>
      </c>
      <c r="M65" s="4" t="s">
        <v>422</v>
      </c>
      <c r="N65" s="4" t="s">
        <v>433</v>
      </c>
      <c r="O65" s="4" t="s">
        <v>434</v>
      </c>
      <c r="P65" s="16">
        <f t="shared" si="1"/>
        <v>9233338.1642512083</v>
      </c>
      <c r="Q65" s="4" t="s">
        <v>468</v>
      </c>
      <c r="R65" s="20">
        <v>4.9680000000000009</v>
      </c>
      <c r="S65" s="20">
        <v>0</v>
      </c>
      <c r="U65" s="20">
        <v>0.81657744124826959</v>
      </c>
      <c r="V65" s="20">
        <v>0.94441452831676742</v>
      </c>
      <c r="W65" s="4" t="s">
        <v>484</v>
      </c>
    </row>
    <row r="66" spans="1:23" s="14" customFormat="1" x14ac:dyDescent="0.15">
      <c r="A66" s="13" t="s">
        <v>403</v>
      </c>
      <c r="P66" s="17"/>
      <c r="R66" s="19"/>
      <c r="S66" s="19"/>
      <c r="U66" s="19"/>
      <c r="V66" s="19"/>
    </row>
    <row r="67" spans="1:23" x14ac:dyDescent="0.15">
      <c r="A67" s="5" t="s">
        <v>329</v>
      </c>
      <c r="B67" s="6"/>
      <c r="C67" s="6"/>
      <c r="D67" s="6"/>
      <c r="E67" s="6"/>
      <c r="G67" s="6">
        <v>7.6799999999999993E-2</v>
      </c>
      <c r="J67" s="6">
        <v>4.7300000000000002E-2</v>
      </c>
      <c r="M67" s="4" t="s">
        <v>422</v>
      </c>
      <c r="O67" s="4" t="s">
        <v>435</v>
      </c>
      <c r="P67" s="16">
        <f t="shared" si="1"/>
        <v>0</v>
      </c>
      <c r="Q67" s="4" t="s">
        <v>478</v>
      </c>
      <c r="R67" s="20">
        <v>1</v>
      </c>
      <c r="S67" s="20">
        <v>0</v>
      </c>
      <c r="U67" s="20">
        <v>0.78416348147957027</v>
      </c>
      <c r="V67" s="20">
        <v>0.72535139859924458</v>
      </c>
      <c r="W67" s="4" t="s">
        <v>486</v>
      </c>
    </row>
    <row r="68" spans="1:23" x14ac:dyDescent="0.15">
      <c r="A68" s="5" t="s">
        <v>325</v>
      </c>
      <c r="B68" s="6"/>
      <c r="C68" s="6"/>
      <c r="D68" s="6"/>
      <c r="E68" s="6"/>
      <c r="G68" s="6">
        <v>5.79E-2</v>
      </c>
      <c r="J68" s="6">
        <v>4.2599999999999999E-2</v>
      </c>
      <c r="M68" s="4" t="s">
        <v>422</v>
      </c>
      <c r="O68" s="4" t="s">
        <v>435</v>
      </c>
      <c r="P68" s="16">
        <f t="shared" si="1"/>
        <v>0</v>
      </c>
      <c r="Q68" s="4" t="s">
        <v>478</v>
      </c>
      <c r="R68" s="20">
        <v>1</v>
      </c>
      <c r="S68" s="20">
        <v>0</v>
      </c>
      <c r="U68" s="20">
        <v>0.78416348147957027</v>
      </c>
      <c r="V68" s="20">
        <v>0.72535139859924458</v>
      </c>
      <c r="W68" s="4" t="s">
        <v>486</v>
      </c>
    </row>
    <row r="69" spans="1:23" s="14" customFormat="1" x14ac:dyDescent="0.15">
      <c r="A69" s="13" t="s">
        <v>453</v>
      </c>
      <c r="P69" s="17"/>
      <c r="R69" s="19"/>
      <c r="S69" s="19"/>
      <c r="U69" s="19"/>
      <c r="V69" s="19"/>
    </row>
    <row r="70" spans="1:23" x14ac:dyDescent="0.15">
      <c r="A70" s="5" t="s">
        <v>342</v>
      </c>
      <c r="B70" s="6" t="s">
        <v>94</v>
      </c>
      <c r="G70" s="15" cm="1">
        <f t="array" ref="G70">IFERROR(SUMPRODUCT(($B$5:$B$68=$B70)*G$5:G$68,$H$5:$H$68)/SUM(($B$5:$B$68=$B70)*$H$5:$H$68),IFERROR(SUMPRODUCT(($C$5:$C$68=$B70)*G$5:G$68,$H$5:$H$68)/SUM(($C$5:$C$68=$B70)*$H$5:$H$68),IFERROR(SUMPRODUCT(($D$5:$D$68=$B70)*G$5:G$68,$H$5:$H$68)/SUM(($D$5:$D$68=$B70)*$H$5:$H$68),SUMPRODUCT(($E$5:$E$68=$B70)*G$5:G$68,$H$5:$H$68)/SUM(($E$5:$E$68=$B70)*$H$5:$H$68))))</f>
        <v>0.38529467763961761</v>
      </c>
      <c r="J70" s="15" cm="1">
        <f t="array" ref="J70">IFERROR(SUMPRODUCT(($B$5:$B$68=$B70)*J$5:J$68,$K$5:$K$68)/SUM(($B$5:$B$68=$B70)*$K$5:$K$68),IFERROR(SUMPRODUCT(($C$5:$C$68=$B70)*J$5:J$68,$K$5:$K$68)/SUM(($C$5:$C$68=$B70)*$K$5:$K$68),IFERROR(SUMPRODUCT(($D$5:$D$68=$B70)*J$5:J$68,$K$5:$K$68)/SUM(($D$5:$D$68=$B70)*$K$5:$K$68),SUMPRODUCT(($E$5:$E$68=$B70)*J$5:J$68,$K$5:$K$68)/SUM(($E$5:$E$68=$B70)*$K$5:$K$68))))</f>
        <v>0.65015695160798492</v>
      </c>
      <c r="P70" s="18"/>
      <c r="Q70" s="28">
        <f>J70/SUM(R70:S70)*1000</f>
        <v>104.5002869820418</v>
      </c>
      <c r="R70" s="15" cm="1">
        <f t="array" ref="R70">IFERROR(SUMPRODUCT(($B$5:$B$68=$B70)*R$5:R$68,$P$5:$P$68)/SUM(($B$5:$B$68=$B70)*$P$5:$P$68),IFERROR(SUMPRODUCT(($C$5:$C$68=$B70)*R$5:R$68,$P$5:$P$68)/SUM(($C$5:$C$68=$B70)*$P$5:$P$68),IFERROR(SUMPRODUCT(($D$5:$D$68=$B70)*R$5:R$68,$P$5:$P$68)/SUM(($D$5:$D$68=$B70)*$P$5:$P$68),SUMPRODUCT(($E$5:$E$68=$B70)*R$5:R$68,$P$5:$P$68)/SUM(($E$5:$E$68=$B70)*$P$5:$P$68))))</f>
        <v>0.99664158109543011</v>
      </c>
      <c r="S70" s="15" cm="1">
        <f t="array" ref="S70">IFERROR(SUMPRODUCT(($B$5:$B$68=$B70)*S$5:S$68,$P$5:$P$68)/SUM(($B$5:$B$68=$B70)*$P$5:$P$68),IFERROR(SUMPRODUCT(($C$5:$C$68=$B70)*S$5:S$68,$P$5:$P$68)/SUM(($C$5:$C$68=$B70)*$P$5:$P$68),IFERROR(SUMPRODUCT(($D$5:$D$68=$B70)*S$5:S$68,$P$5:$P$68)/SUM(($D$5:$D$68=$B70)*$P$5:$P$68),SUMPRODUCT(($E$5:$E$68=$B70)*S$5:S$68,$P$5:$P$68)/SUM(($E$5:$E$68=$B70)*$P$5:$P$68))))</f>
        <v>5.2249389559964285</v>
      </c>
      <c r="U70" s="15" cm="1">
        <f t="array" ref="U70">IFERROR(SUMPRODUCT(($B$5:$B$68=$B70)*U$5:U$68,$P$5:$P$68)/SUM(($B$5:$B$68=$B70)*$P$5:$P$68),IFERROR(SUMPRODUCT(($C$5:$C$68=$B70)*U$5:U$68,$P$5:$P$68)/SUM(($C$5:$C$68=$B70)*$P$5:$P$68),IFERROR(SUMPRODUCT(($D$5:$D$68=$B70)*U$5:U$68,$P$5:$P$68)/SUM(($D$5:$D$68=$B70)*$P$5:$P$68),SUMPRODUCT(($E$5:$E$68=$B70)*U$5:U$68,$P$5:$P$68)/SUM(($E$5:$E$68=$B70)*$P$5:$P$68))))</f>
        <v>0.84137119305744412</v>
      </c>
      <c r="V70" s="15" cm="1">
        <f t="array" ref="V70">IFERROR(SUMPRODUCT(($B$5:$B$68=$B70)*V$5:V$68,$P$5:$P$68)/SUM(($B$5:$B$68=$B70)*$P$5:$P$68),IFERROR(SUMPRODUCT(($C$5:$C$68=$B70)*V$5:V$68,$P$5:$P$68)/SUM(($C$5:$C$68=$B70)*$P$5:$P$68),IFERROR(SUMPRODUCT(($D$5:$D$68=$B70)*V$5:V$68,$P$5:$P$68)/SUM(($D$5:$D$68=$B70)*$P$5:$P$68),SUMPRODUCT(($E$5:$E$68=$B70)*V$5:V$68,$P$5:$P$68)/SUM(($E$5:$E$68=$B70)*$P$5:$P$68))))</f>
        <v>0.86357922057787184</v>
      </c>
      <c r="W70" s="28"/>
    </row>
    <row r="71" spans="1:23" x14ac:dyDescent="0.15">
      <c r="A71" s="5" t="s">
        <v>343</v>
      </c>
      <c r="B71" s="6" t="s">
        <v>454</v>
      </c>
      <c r="G71" s="15" cm="1">
        <f t="array" ref="G71">IFERROR(SUMPRODUCT(($B$5:$B$68=$B71)*G$5:G$68,$H$5:$H$68)/SUM(($B$5:$B$68=$B71)*$H$5:$H$68),IFERROR(SUMPRODUCT(($C$5:$C$68=$B71)*G$5:G$68,$H$5:$H$68)/SUM(($C$5:$C$68=$B71)*$H$5:$H$68),IFERROR(SUMPRODUCT(($D$5:$D$68=$B71)*G$5:G$68,$H$5:$H$68)/SUM(($D$5:$D$68=$B71)*$H$5:$H$68),SUMPRODUCT(($E$5:$E$68=$B71)*G$5:G$68,$H$5:$H$68)/SUM(($E$5:$E$68=$B71)*$H$5:$H$68))))</f>
        <v>1.7186343172225256</v>
      </c>
      <c r="J71" s="15" cm="1">
        <f t="array" ref="J71">IFERROR(SUMPRODUCT(($B$5:$B$68=$B71)*J$5:J$68,$K$5:$K$68)/SUM(($B$5:$B$68=$B71)*$K$5:$K$68),IFERROR(SUMPRODUCT(($C$5:$C$68=$B71)*J$5:J$68,$K$5:$K$68)/SUM(($C$5:$C$68=$B71)*$K$5:$K$68),IFERROR(SUMPRODUCT(($D$5:$D$68=$B71)*J$5:J$68,$K$5:$K$68)/SUM(($D$5:$D$68=$B71)*$K$5:$K$68),SUMPRODUCT(($E$5:$E$68=$B71)*J$5:J$68,$K$5:$K$68)/SUM(($E$5:$E$68=$B71)*$K$5:$K$68))))</f>
        <v>1.3535743777501814</v>
      </c>
      <c r="P71" s="18"/>
      <c r="Q71" s="28">
        <f t="shared" ref="Q71:Q89" si="2">J71/SUM(R71:S71)*1000</f>
        <v>107.45960775582002</v>
      </c>
      <c r="R71" s="15" cm="1">
        <f t="array" ref="R71">IFERROR(SUMPRODUCT(($B$5:$B$68=$B71)*R$5:R$68,$P$5:$P$68)/SUM(($B$5:$B$68=$B71)*$P$5:$P$68),IFERROR(SUMPRODUCT(($C$5:$C$68=$B71)*R$5:R$68,$P$5:$P$68)/SUM(($C$5:$C$68=$B71)*$P$5:$P$68),IFERROR(SUMPRODUCT(($D$5:$D$68=$B71)*R$5:R$68,$P$5:$P$68)/SUM(($D$5:$D$68=$B71)*$P$5:$P$68),SUMPRODUCT(($E$5:$E$68=$B71)*R$5:R$68,$P$5:$P$68)/SUM(($E$5:$E$68=$B71)*$P$5:$P$68))))</f>
        <v>0</v>
      </c>
      <c r="S71" s="15" cm="1">
        <f t="array" ref="S71">IFERROR(SUMPRODUCT(($B$5:$B$68=$B71)*S$5:S$68,$P$5:$P$68)/SUM(($B$5:$B$68=$B71)*$P$5:$P$68),IFERROR(SUMPRODUCT(($C$5:$C$68=$B71)*S$5:S$68,$P$5:$P$68)/SUM(($C$5:$C$68=$B71)*$P$5:$P$68),IFERROR(SUMPRODUCT(($D$5:$D$68=$B71)*S$5:S$68,$P$5:$P$68)/SUM(($D$5:$D$68=$B71)*$P$5:$P$68),SUMPRODUCT(($E$5:$E$68=$B71)*S$5:S$68,$P$5:$P$68)/SUM(($E$5:$E$68=$B71)*$P$5:$P$68))))</f>
        <v>12.596122450268965</v>
      </c>
      <c r="U71" s="15" cm="1">
        <f t="array" ref="U71">IFERROR(SUMPRODUCT(($B$5:$B$68=$B71)*U$5:U$68,$P$5:$P$68)/SUM(($B$5:$B$68=$B71)*$P$5:$P$68),IFERROR(SUMPRODUCT(($C$5:$C$68=$B71)*U$5:U$68,$P$5:$P$68)/SUM(($C$5:$C$68=$B71)*$P$5:$P$68),IFERROR(SUMPRODUCT(($D$5:$D$68=$B71)*U$5:U$68,$P$5:$P$68)/SUM(($D$5:$D$68=$B71)*$P$5:$P$68),SUMPRODUCT(($E$5:$E$68=$B71)*U$5:U$68,$P$5:$P$68)/SUM(($E$5:$E$68=$B71)*$P$5:$P$68))))</f>
        <v>0.84137119305744423</v>
      </c>
      <c r="V71" s="15" cm="1">
        <f t="array" ref="V71">IFERROR(SUMPRODUCT(($B$5:$B$68=$B71)*V$5:V$68,$P$5:$P$68)/SUM(($B$5:$B$68=$B71)*$P$5:$P$68),IFERROR(SUMPRODUCT(($C$5:$C$68=$B71)*V$5:V$68,$P$5:$P$68)/SUM(($C$5:$C$68=$B71)*$P$5:$P$68),IFERROR(SUMPRODUCT(($D$5:$D$68=$B71)*V$5:V$68,$P$5:$P$68)/SUM(($D$5:$D$68=$B71)*$P$5:$P$68),SUMPRODUCT(($E$5:$E$68=$B71)*V$5:V$68,$P$5:$P$68)/SUM(($E$5:$E$68=$B71)*$P$5:$P$68))))</f>
        <v>0.86357922057787195</v>
      </c>
      <c r="W71" s="28"/>
    </row>
    <row r="72" spans="1:23" x14ac:dyDescent="0.15">
      <c r="A72" s="5" t="s">
        <v>349</v>
      </c>
      <c r="B72" s="6" t="s">
        <v>370</v>
      </c>
      <c r="G72" s="15" cm="1">
        <f t="array" ref="G72">IFERROR(SUMPRODUCT(($B$5:$B$68=$B72)*G$5:G$68,$H$5:$H$68)/SUM(($B$5:$B$68=$B72)*$H$5:$H$68),IFERROR(SUMPRODUCT(($C$5:$C$68=$B72)*G$5:G$68,$H$5:$H$68)/SUM(($C$5:$C$68=$B72)*$H$5:$H$68),IFERROR(SUMPRODUCT(($D$5:$D$68=$B72)*G$5:G$68,$H$5:$H$68)/SUM(($D$5:$D$68=$B72)*$H$5:$H$68),SUMPRODUCT(($E$5:$E$68=$B72)*G$5:G$68,$H$5:$H$68)/SUM(($E$5:$E$68=$B72)*$H$5:$H$68))))</f>
        <v>1.5967631163208207</v>
      </c>
      <c r="J72" s="15" cm="1">
        <f t="array" ref="J72">IFERROR(SUMPRODUCT(($B$5:$B$68=$B72)*J$5:J$68,$K$5:$K$68)/SUM(($B$5:$B$68=$B72)*$K$5:$K$68),IFERROR(SUMPRODUCT(($C$5:$C$68=$B72)*J$5:J$68,$K$5:$K$68)/SUM(($C$5:$C$68=$B72)*$K$5:$K$68),IFERROR(SUMPRODUCT(($D$5:$D$68=$B72)*J$5:J$68,$K$5:$K$68)/SUM(($D$5:$D$68=$B72)*$K$5:$K$68),SUMPRODUCT(($E$5:$E$68=$B72)*J$5:J$68,$K$5:$K$68)/SUM(($E$5:$E$68=$B72)*$K$5:$K$68))))</f>
        <v>1.2656396050839946</v>
      </c>
      <c r="P72" s="18"/>
      <c r="Q72" s="28">
        <f t="shared" si="2"/>
        <v>93.718143856109819</v>
      </c>
      <c r="R72" s="15" cm="1">
        <f t="array" ref="R72">IFERROR(SUMPRODUCT(($B$5:$B$68=$B72)*R$5:R$68,$P$5:$P$68)/SUM(($B$5:$B$68=$B72)*$P$5:$P$68),IFERROR(SUMPRODUCT(($C$5:$C$68=$B72)*R$5:R$68,$P$5:$P$68)/SUM(($C$5:$C$68=$B72)*$P$5:$P$68),IFERROR(SUMPRODUCT(($D$5:$D$68=$B72)*R$5:R$68,$P$5:$P$68)/SUM(($D$5:$D$68=$B72)*$P$5:$P$68),SUMPRODUCT(($E$5:$E$68=$B72)*R$5:R$68,$P$5:$P$68)/SUM(($E$5:$E$68=$B72)*$P$5:$P$68))))</f>
        <v>3.2911730425008185</v>
      </c>
      <c r="S72" s="15" cm="1">
        <f t="array" ref="S72">IFERROR(SUMPRODUCT(($B$5:$B$68=$B72)*S$5:S$68,$P$5:$P$68)/SUM(($B$5:$B$68=$B72)*$P$5:$P$68),IFERROR(SUMPRODUCT(($C$5:$C$68=$B72)*S$5:S$68,$P$5:$P$68)/SUM(($C$5:$C$68=$B72)*$P$5:$P$68),IFERROR(SUMPRODUCT(($D$5:$D$68=$B72)*S$5:S$68,$P$5:$P$68)/SUM(($D$5:$D$68=$B72)*$P$5:$P$68),SUMPRODUCT(($E$5:$E$68=$B72)*S$5:S$68,$P$5:$P$68)/SUM(($E$5:$E$68=$B72)*$P$5:$P$68))))</f>
        <v>10.213571642020407</v>
      </c>
      <c r="U72" s="15" cm="1">
        <f t="array" ref="U72">IFERROR(SUMPRODUCT(($B$5:$B$68=$B72)*U$5:U$68,$P$5:$P$68)/SUM(($B$5:$B$68=$B72)*$P$5:$P$68),IFERROR(SUMPRODUCT(($C$5:$C$68=$B72)*U$5:U$68,$P$5:$P$68)/SUM(($C$5:$C$68=$B72)*$P$5:$P$68),IFERROR(SUMPRODUCT(($D$5:$D$68=$B72)*U$5:U$68,$P$5:$P$68)/SUM(($D$5:$D$68=$B72)*$P$5:$P$68),SUMPRODUCT(($E$5:$E$68=$B72)*U$5:U$68,$P$5:$P$68)/SUM(($E$5:$E$68=$B72)*$P$5:$P$68))))</f>
        <v>0.84137119305744423</v>
      </c>
      <c r="V72" s="15" cm="1">
        <f t="array" ref="V72">IFERROR(SUMPRODUCT(($B$5:$B$68=$B72)*V$5:V$68,$P$5:$P$68)/SUM(($B$5:$B$68=$B72)*$P$5:$P$68),IFERROR(SUMPRODUCT(($C$5:$C$68=$B72)*V$5:V$68,$P$5:$P$68)/SUM(($C$5:$C$68=$B72)*$P$5:$P$68),IFERROR(SUMPRODUCT(($D$5:$D$68=$B72)*V$5:V$68,$P$5:$P$68)/SUM(($D$5:$D$68=$B72)*$P$5:$P$68),SUMPRODUCT(($E$5:$E$68=$B72)*V$5:V$68,$P$5:$P$68)/SUM(($E$5:$E$68=$B72)*$P$5:$P$68))))</f>
        <v>0.86357922057787195</v>
      </c>
      <c r="W72" s="28"/>
    </row>
    <row r="73" spans="1:23" x14ac:dyDescent="0.15">
      <c r="A73" s="5" t="s">
        <v>348</v>
      </c>
      <c r="B73" s="6" t="s">
        <v>371</v>
      </c>
      <c r="G73" s="15" cm="1">
        <f t="array" ref="G73">IFERROR(SUMPRODUCT(($B$5:$B$68=$B73)*G$5:G$68,$H$5:$H$68)/SUM(($B$5:$B$68=$B73)*$H$5:$H$68),IFERROR(SUMPRODUCT(($C$5:$C$68=$B73)*G$5:G$68,$H$5:$H$68)/SUM(($C$5:$C$68=$B73)*$H$5:$H$68),IFERROR(SUMPRODUCT(($D$5:$D$68=$B73)*G$5:G$68,$H$5:$H$68)/SUM(($D$5:$D$68=$B73)*$H$5:$H$68),SUMPRODUCT(($E$5:$E$68=$B73)*G$5:G$68,$H$5:$H$68)/SUM(($E$5:$E$68=$B73)*$H$5:$H$68))))</f>
        <v>0.7451576638020061</v>
      </c>
      <c r="J73" s="15" cm="1">
        <f t="array" ref="J73">IFERROR(SUMPRODUCT(($B$5:$B$68=$B73)*J$5:J$68,$K$5:$K$68)/SUM(($B$5:$B$68=$B73)*$K$5:$K$68),IFERROR(SUMPRODUCT(($C$5:$C$68=$B73)*J$5:J$68,$K$5:$K$68)/SUM(($C$5:$C$68=$B73)*$K$5:$K$68),IFERROR(SUMPRODUCT(($D$5:$D$68=$B73)*J$5:J$68,$K$5:$K$68)/SUM(($D$5:$D$68=$B73)*$K$5:$K$68),SUMPRODUCT(($E$5:$E$68=$B73)*J$5:J$68,$K$5:$K$68)/SUM(($E$5:$E$68=$B73)*$K$5:$K$68))))</f>
        <v>0.6864801988122935</v>
      </c>
      <c r="P73" s="18"/>
      <c r="Q73" s="28">
        <f t="shared" si="2"/>
        <v>16.110086253876464</v>
      </c>
      <c r="R73" s="15" cm="1">
        <f t="array" ref="R73">IFERROR(SUMPRODUCT(($B$5:$B$68=$B73)*R$5:R$68,$P$5:$P$68)/SUM(($B$5:$B$68=$B73)*$P$5:$P$68),IFERROR(SUMPRODUCT(($C$5:$C$68=$B73)*R$5:R$68,$P$5:$P$68)/SUM(($C$5:$C$68=$B73)*$P$5:$P$68),IFERROR(SUMPRODUCT(($D$5:$D$68=$B73)*R$5:R$68,$P$5:$P$68)/SUM(($D$5:$D$68=$B73)*$P$5:$P$68),SUMPRODUCT(($E$5:$E$68=$B73)*R$5:R$68,$P$5:$P$68)/SUM(($E$5:$E$68=$B73)*$P$5:$P$68))))</f>
        <v>2.1991404818942466</v>
      </c>
      <c r="S73" s="15" cm="1">
        <f t="array" ref="S73">IFERROR(SUMPRODUCT(($B$5:$B$68=$B73)*S$5:S$68,$P$5:$P$68)/SUM(($B$5:$B$68=$B73)*$P$5:$P$68),IFERROR(SUMPRODUCT(($C$5:$C$68=$B73)*S$5:S$68,$P$5:$P$68)/SUM(($C$5:$C$68=$B73)*$P$5:$P$68),IFERROR(SUMPRODUCT(($D$5:$D$68=$B73)*S$5:S$68,$P$5:$P$68)/SUM(($D$5:$D$68=$B73)*$P$5:$P$68),SUMPRODUCT(($E$5:$E$68=$B73)*S$5:S$68,$P$5:$P$68)/SUM(($E$5:$E$68=$B73)*$P$5:$P$68))))</f>
        <v>40.412685922642247</v>
      </c>
      <c r="U73" s="15" cm="1">
        <f t="array" ref="U73">IFERROR(SUMPRODUCT(($B$5:$B$68=$B73)*U$5:U$68,$P$5:$P$68)/SUM(($B$5:$B$68=$B73)*$P$5:$P$68),IFERROR(SUMPRODUCT(($C$5:$C$68=$B73)*U$5:U$68,$P$5:$P$68)/SUM(($C$5:$C$68=$B73)*$P$5:$P$68),IFERROR(SUMPRODUCT(($D$5:$D$68=$B73)*U$5:U$68,$P$5:$P$68)/SUM(($D$5:$D$68=$B73)*$P$5:$P$68),SUMPRODUCT(($E$5:$E$68=$B73)*U$5:U$68,$P$5:$P$68)/SUM(($E$5:$E$68=$B73)*$P$5:$P$68))))</f>
        <v>0.84137119305744434</v>
      </c>
      <c r="V73" s="15" cm="1">
        <f t="array" ref="V73">IFERROR(SUMPRODUCT(($B$5:$B$68=$B73)*V$5:V$68,$P$5:$P$68)/SUM(($B$5:$B$68=$B73)*$P$5:$P$68),IFERROR(SUMPRODUCT(($C$5:$C$68=$B73)*V$5:V$68,$P$5:$P$68)/SUM(($C$5:$C$68=$B73)*$P$5:$P$68),IFERROR(SUMPRODUCT(($D$5:$D$68=$B73)*V$5:V$68,$P$5:$P$68)/SUM(($D$5:$D$68=$B73)*$P$5:$P$68),SUMPRODUCT(($E$5:$E$68=$B73)*V$5:V$68,$P$5:$P$68)/SUM(($E$5:$E$68=$B73)*$P$5:$P$68))))</f>
        <v>0.86357922057787184</v>
      </c>
      <c r="W73" s="28"/>
    </row>
    <row r="74" spans="1:23" x14ac:dyDescent="0.15">
      <c r="A74" s="5" t="s">
        <v>335</v>
      </c>
      <c r="B74" s="6" t="s">
        <v>372</v>
      </c>
      <c r="G74" s="15" cm="1">
        <f t="array" ref="G74">IFERROR(SUMPRODUCT(($B$5:$B$68=$B74)*G$5:G$68,$H$5:$H$68)/SUM(($B$5:$B$68=$B74)*$H$5:$H$68),IFERROR(SUMPRODUCT(($C$5:$C$68=$B74)*G$5:G$68,$H$5:$H$68)/SUM(($C$5:$C$68=$B74)*$H$5:$H$68),IFERROR(SUMPRODUCT(($D$5:$D$68=$B74)*G$5:G$68,$H$5:$H$68)/SUM(($D$5:$D$68=$B74)*$H$5:$H$68),SUMPRODUCT(($E$5:$E$68=$B74)*G$5:G$68,$H$5:$H$68)/SUM(($E$5:$E$68=$B74)*$H$5:$H$68))))</f>
        <v>0.49494039340491602</v>
      </c>
      <c r="J74" s="15" cm="1">
        <f t="array" ref="J74">IFERROR(SUMPRODUCT(($B$5:$B$68=$B74)*J$5:J$68,$K$5:$K$68)/SUM(($B$5:$B$68=$B74)*$K$5:$K$68),IFERROR(SUMPRODUCT(($C$5:$C$68=$B74)*J$5:J$68,$K$5:$K$68)/SUM(($C$5:$C$68=$B74)*$K$5:$K$68),IFERROR(SUMPRODUCT(($D$5:$D$68=$B74)*J$5:J$68,$K$5:$K$68)/SUM(($D$5:$D$68=$B74)*$K$5:$K$68),SUMPRODUCT(($E$5:$E$68=$B74)*J$5:J$68,$K$5:$K$68)/SUM(($E$5:$E$68=$B74)*$K$5:$K$68))))</f>
        <v>0.76276347235126118</v>
      </c>
      <c r="P74" s="18"/>
      <c r="Q74" s="28">
        <f t="shared" si="2"/>
        <v>125.60277030661825</v>
      </c>
      <c r="R74" s="15" cm="1">
        <f t="array" ref="R74">IFERROR(SUMPRODUCT(($B$5:$B$68=$B74)*R$5:R$68,$P$5:$P$68)/SUM(($B$5:$B$68=$B74)*$P$5:$P$68),IFERROR(SUMPRODUCT(($C$5:$C$68=$B74)*R$5:R$68,$P$5:$P$68)/SUM(($C$5:$C$68=$B74)*$P$5:$P$68),IFERROR(SUMPRODUCT(($D$5:$D$68=$B74)*R$5:R$68,$P$5:$P$68)/SUM(($D$5:$D$68=$B74)*$P$5:$P$68),SUMPRODUCT(($E$5:$E$68=$B74)*R$5:R$68,$P$5:$P$68)/SUM(($E$5:$E$68=$B74)*$P$5:$P$68))))</f>
        <v>6.0728236366858992</v>
      </c>
      <c r="S74" s="15" cm="1">
        <f t="array" ref="S74">IFERROR(SUMPRODUCT(($B$5:$B$68=$B74)*S$5:S$68,$P$5:$P$68)/SUM(($B$5:$B$68=$B74)*$P$5:$P$68),IFERROR(SUMPRODUCT(($C$5:$C$68=$B74)*S$5:S$68,$P$5:$P$68)/SUM(($C$5:$C$68=$B74)*$P$5:$P$68),IFERROR(SUMPRODUCT(($D$5:$D$68=$B74)*S$5:S$68,$P$5:$P$68)/SUM(($D$5:$D$68=$B74)*$P$5:$P$68),SUMPRODUCT(($E$5:$E$68=$B74)*S$5:S$68,$P$5:$P$68)/SUM(($E$5:$E$68=$B74)*$P$5:$P$68))))</f>
        <v>0</v>
      </c>
      <c r="U74" s="15" cm="1">
        <f t="array" ref="U74">IFERROR(SUMPRODUCT(($B$5:$B$68=$B74)*U$5:U$68,$P$5:$P$68)/SUM(($B$5:$B$68=$B74)*$P$5:$P$68),IFERROR(SUMPRODUCT(($C$5:$C$68=$B74)*U$5:U$68,$P$5:$P$68)/SUM(($C$5:$C$68=$B74)*$P$5:$P$68),IFERROR(SUMPRODUCT(($D$5:$D$68=$B74)*U$5:U$68,$P$5:$P$68)/SUM(($D$5:$D$68=$B74)*$P$5:$P$68),SUMPRODUCT(($E$5:$E$68=$B74)*U$5:U$68,$P$5:$P$68)/SUM(($E$5:$E$68=$B74)*$P$5:$P$68))))</f>
        <v>0.84137119305744412</v>
      </c>
      <c r="V74" s="15" cm="1">
        <f t="array" ref="V74">IFERROR(SUMPRODUCT(($B$5:$B$68=$B74)*V$5:V$68,$P$5:$P$68)/SUM(($B$5:$B$68=$B74)*$P$5:$P$68),IFERROR(SUMPRODUCT(($C$5:$C$68=$B74)*V$5:V$68,$P$5:$P$68)/SUM(($C$5:$C$68=$B74)*$P$5:$P$68),IFERROR(SUMPRODUCT(($D$5:$D$68=$B74)*V$5:V$68,$P$5:$P$68)/SUM(($D$5:$D$68=$B74)*$P$5:$P$68),SUMPRODUCT(($E$5:$E$68=$B74)*V$5:V$68,$P$5:$P$68)/SUM(($E$5:$E$68=$B74)*$P$5:$P$68))))</f>
        <v>0.86357922057787206</v>
      </c>
      <c r="W74" s="28"/>
    </row>
    <row r="75" spans="1:23" x14ac:dyDescent="0.15">
      <c r="A75" s="5" t="s">
        <v>338</v>
      </c>
      <c r="B75" s="6" t="s">
        <v>95</v>
      </c>
      <c r="G75" s="15" cm="1">
        <f t="array" ref="G75">IFERROR(SUMPRODUCT(($B$5:$B$68=$B75)*G$5:G$68,$H$5:$H$68)/SUM(($B$5:$B$68=$B75)*$H$5:$H$68),IFERROR(SUMPRODUCT(($C$5:$C$68=$B75)*G$5:G$68,$H$5:$H$68)/SUM(($C$5:$C$68=$B75)*$H$5:$H$68),IFERROR(SUMPRODUCT(($D$5:$D$68=$B75)*G$5:G$68,$H$5:$H$68)/SUM(($D$5:$D$68=$B75)*$H$5:$H$68),SUMPRODUCT(($E$5:$E$68=$B75)*G$5:G$68,$H$5:$H$68)/SUM(($E$5:$E$68=$B75)*$H$5:$H$68))))</f>
        <v>1.1838611017829463</v>
      </c>
      <c r="J75" s="15" cm="1">
        <f t="array" ref="J75">IFERROR(SUMPRODUCT(($B$5:$B$68=$B75)*J$5:J$68,$K$5:$K$68)/SUM(($B$5:$B$68=$B75)*$K$5:$K$68),IFERROR(SUMPRODUCT(($C$5:$C$68=$B75)*J$5:J$68,$K$5:$K$68)/SUM(($C$5:$C$68=$B75)*$K$5:$K$68),IFERROR(SUMPRODUCT(($D$5:$D$68=$B75)*J$5:J$68,$K$5:$K$68)/SUM(($D$5:$D$68=$B75)*$K$5:$K$68),SUMPRODUCT(($E$5:$E$68=$B75)*J$5:J$68,$K$5:$K$68)/SUM(($E$5:$E$68=$B75)*$K$5:$K$68))))</f>
        <v>1.0013516184567537</v>
      </c>
      <c r="P75" s="18"/>
      <c r="Q75" s="28">
        <f t="shared" si="2"/>
        <v>33.615107772482908</v>
      </c>
      <c r="R75" s="15" cm="1">
        <f t="array" ref="R75">IFERROR(SUMPRODUCT(($B$5:$B$68=$B75)*R$5:R$68,$P$5:$P$68)/SUM(($B$5:$B$68=$B75)*$P$5:$P$68),IFERROR(SUMPRODUCT(($C$5:$C$68=$B75)*R$5:R$68,$P$5:$P$68)/SUM(($C$5:$C$68=$B75)*$P$5:$P$68),IFERROR(SUMPRODUCT(($D$5:$D$68=$B75)*R$5:R$68,$P$5:$P$68)/SUM(($D$5:$D$68=$B75)*$P$5:$P$68),SUMPRODUCT(($E$5:$E$68=$B75)*R$5:R$68,$P$5:$P$68)/SUM(($E$5:$E$68=$B75)*$P$5:$P$68))))</f>
        <v>2.6802340811720051</v>
      </c>
      <c r="S75" s="15" cm="1">
        <f t="array" ref="S75">IFERROR(SUMPRODUCT(($B$5:$B$68=$B75)*S$5:S$68,$P$5:$P$68)/SUM(($B$5:$B$68=$B75)*$P$5:$P$68),IFERROR(SUMPRODUCT(($C$5:$C$68=$B75)*S$5:S$68,$P$5:$P$68)/SUM(($C$5:$C$68=$B75)*$P$5:$P$68),IFERROR(SUMPRODUCT(($D$5:$D$68=$B75)*S$5:S$68,$P$5:$P$68)/SUM(($D$5:$D$68=$B75)*$P$5:$P$68),SUMPRODUCT(($E$5:$E$68=$B75)*S$5:S$68,$P$5:$P$68)/SUM(($E$5:$E$68=$B75)*$P$5:$P$68))))</f>
        <v>27.108503329226927</v>
      </c>
      <c r="U75" s="15" cm="1">
        <f t="array" ref="U75">IFERROR(SUMPRODUCT(($B$5:$B$68=$B75)*U$5:U$68,$P$5:$P$68)/SUM(($B$5:$B$68=$B75)*$P$5:$P$68),IFERROR(SUMPRODUCT(($C$5:$C$68=$B75)*U$5:U$68,$P$5:$P$68)/SUM(($C$5:$C$68=$B75)*$P$5:$P$68),IFERROR(SUMPRODUCT(($D$5:$D$68=$B75)*U$5:U$68,$P$5:$P$68)/SUM(($D$5:$D$68=$B75)*$P$5:$P$68),SUMPRODUCT(($E$5:$E$68=$B75)*U$5:U$68,$P$5:$P$68)/SUM(($E$5:$E$68=$B75)*$P$5:$P$68))))</f>
        <v>0.84137119305744423</v>
      </c>
      <c r="V75" s="15" cm="1">
        <f t="array" ref="V75">IFERROR(SUMPRODUCT(($B$5:$B$68=$B75)*V$5:V$68,$P$5:$P$68)/SUM(($B$5:$B$68=$B75)*$P$5:$P$68),IFERROR(SUMPRODUCT(($C$5:$C$68=$B75)*V$5:V$68,$P$5:$P$68)/SUM(($C$5:$C$68=$B75)*$P$5:$P$68),IFERROR(SUMPRODUCT(($D$5:$D$68=$B75)*V$5:V$68,$P$5:$P$68)/SUM(($D$5:$D$68=$B75)*$P$5:$P$68),SUMPRODUCT(($E$5:$E$68=$B75)*V$5:V$68,$P$5:$P$68)/SUM(($E$5:$E$68=$B75)*$P$5:$P$68))))</f>
        <v>0.86357922057787206</v>
      </c>
      <c r="W75" s="28"/>
    </row>
    <row r="76" spans="1:23" x14ac:dyDescent="0.15">
      <c r="A76" s="5" t="s">
        <v>339</v>
      </c>
      <c r="B76" s="6" t="s">
        <v>455</v>
      </c>
      <c r="G76" s="15" cm="1">
        <f t="array" ref="G76">IFERROR(SUMPRODUCT(($B$5:$B$68=$B76)*G$5:G$68,$H$5:$H$68)/SUM(($B$5:$B$68=$B76)*$H$5:$H$68),IFERROR(SUMPRODUCT(($C$5:$C$68=$B76)*G$5:G$68,$H$5:$H$68)/SUM(($C$5:$C$68=$B76)*$H$5:$H$68),IFERROR(SUMPRODUCT(($D$5:$D$68=$B76)*G$5:G$68,$H$5:$H$68)/SUM(($D$5:$D$68=$B76)*$H$5:$H$68),SUMPRODUCT(($E$5:$E$68=$B76)*G$5:G$68,$H$5:$H$68)/SUM(($E$5:$E$68=$B76)*$H$5:$H$68))))</f>
        <v>8.4591606470324017</v>
      </c>
      <c r="J76" s="15" cm="1">
        <f t="array" ref="J76">IFERROR(SUMPRODUCT(($B$5:$B$68=$B76)*J$5:J$68,$K$5:$K$68)/SUM(($B$5:$B$68=$B76)*$K$5:$K$68),IFERROR(SUMPRODUCT(($C$5:$C$68=$B76)*J$5:J$68,$K$5:$K$68)/SUM(($C$5:$C$68=$B76)*$K$5:$K$68),IFERROR(SUMPRODUCT(($D$5:$D$68=$B76)*J$5:J$68,$K$5:$K$68)/SUM(($D$5:$D$68=$B76)*$K$5:$K$68),SUMPRODUCT(($E$5:$E$68=$B76)*J$5:J$68,$K$5:$K$68)/SUM(($E$5:$E$68=$B76)*$K$5:$K$68))))</f>
        <v>6.4483962143983575</v>
      </c>
      <c r="P76" s="18"/>
      <c r="Q76" s="28">
        <f t="shared" si="2"/>
        <v>53.715140465938319</v>
      </c>
      <c r="R76" s="15" cm="1">
        <f t="array" ref="R76">IFERROR(SUMPRODUCT(($B$5:$B$68=$B76)*R$5:R$68,$P$5:$P$68)/SUM(($B$5:$B$68=$B76)*$P$5:$P$68),IFERROR(SUMPRODUCT(($C$5:$C$68=$B76)*R$5:R$68,$P$5:$P$68)/SUM(($C$5:$C$68=$B76)*$P$5:$P$68),IFERROR(SUMPRODUCT(($D$5:$D$68=$B76)*R$5:R$68,$P$5:$P$68)/SUM(($D$5:$D$68=$B76)*$P$5:$P$68),SUMPRODUCT(($E$5:$E$68=$B76)*R$5:R$68,$P$5:$P$68)/SUM(($E$5:$E$68=$B76)*$P$5:$P$68))))</f>
        <v>0</v>
      </c>
      <c r="S76" s="15" cm="1">
        <f t="array" ref="S76">IFERROR(SUMPRODUCT(($B$5:$B$68=$B76)*S$5:S$68,$P$5:$P$68)/SUM(($B$5:$B$68=$B76)*$P$5:$P$68),IFERROR(SUMPRODUCT(($C$5:$C$68=$B76)*S$5:S$68,$P$5:$P$68)/SUM(($C$5:$C$68=$B76)*$P$5:$P$68),IFERROR(SUMPRODUCT(($D$5:$D$68=$B76)*S$5:S$68,$P$5:$P$68)/SUM(($D$5:$D$68=$B76)*$P$5:$P$68),SUMPRODUCT(($E$5:$E$68=$B76)*S$5:S$68,$P$5:$P$68)/SUM(($E$5:$E$68=$B76)*$P$5:$P$68))))</f>
        <v>120.04801920768308</v>
      </c>
      <c r="U76" s="15" cm="1">
        <f t="array" ref="U76">IFERROR(SUMPRODUCT(($B$5:$B$68=$B76)*U$5:U$68,$P$5:$P$68)/SUM(($B$5:$B$68=$B76)*$P$5:$P$68),IFERROR(SUMPRODUCT(($C$5:$C$68=$B76)*U$5:U$68,$P$5:$P$68)/SUM(($C$5:$C$68=$B76)*$P$5:$P$68),IFERROR(SUMPRODUCT(($D$5:$D$68=$B76)*U$5:U$68,$P$5:$P$68)/SUM(($D$5:$D$68=$B76)*$P$5:$P$68),SUMPRODUCT(($E$5:$E$68=$B76)*U$5:U$68,$P$5:$P$68)/SUM(($E$5:$E$68=$B76)*$P$5:$P$68))))</f>
        <v>0.84137119305744423</v>
      </c>
      <c r="V76" s="15" cm="1">
        <f t="array" ref="V76">IFERROR(SUMPRODUCT(($B$5:$B$68=$B76)*V$5:V$68,$P$5:$P$68)/SUM(($B$5:$B$68=$B76)*$P$5:$P$68),IFERROR(SUMPRODUCT(($C$5:$C$68=$B76)*V$5:V$68,$P$5:$P$68)/SUM(($C$5:$C$68=$B76)*$P$5:$P$68),IFERROR(SUMPRODUCT(($D$5:$D$68=$B76)*V$5:V$68,$P$5:$P$68)/SUM(($D$5:$D$68=$B76)*$P$5:$P$68),SUMPRODUCT(($E$5:$E$68=$B76)*V$5:V$68,$P$5:$P$68)/SUM(($E$5:$E$68=$B76)*$P$5:$P$68))))</f>
        <v>0.86357922057787195</v>
      </c>
      <c r="W76" s="28"/>
    </row>
    <row r="77" spans="1:23" x14ac:dyDescent="0.15">
      <c r="A77" s="5" t="s">
        <v>377</v>
      </c>
      <c r="B77" s="6" t="s">
        <v>460</v>
      </c>
      <c r="G77" s="15" cm="1">
        <f t="array" ref="G77">IFERROR(SUMPRODUCT(($B$5:$B$68=$B77)*G$5:G$68,$H$5:$H$68)/SUM(($B$5:$B$68=$B77)*$H$5:$H$68),IFERROR(SUMPRODUCT(($C$5:$C$68=$B77)*G$5:G$68,$H$5:$H$68)/SUM(($C$5:$C$68=$B77)*$H$5:$H$68),IFERROR(SUMPRODUCT(($D$5:$D$68=$B77)*G$5:G$68,$H$5:$H$68)/SUM(($D$5:$D$68=$B77)*$H$5:$H$68),SUMPRODUCT(($E$5:$E$68=$B77)*G$5:G$68,$H$5:$H$68)/SUM(($E$5:$E$68=$B77)*$H$5:$H$68))))</f>
        <v>1.4950000000000001</v>
      </c>
      <c r="J77" s="15" cm="1">
        <f t="array" ref="J77">IFERROR(SUMPRODUCT(($B$5:$B$68=$B77)*J$5:J$68,$K$5:$K$68)/SUM(($B$5:$B$68=$B77)*$K$5:$K$68),IFERROR(SUMPRODUCT(($C$5:$C$68=$B77)*J$5:J$68,$K$5:$K$68)/SUM(($C$5:$C$68=$B77)*$K$5:$K$68),IFERROR(SUMPRODUCT(($D$5:$D$68=$B77)*J$5:J$68,$K$5:$K$68)/SUM(($D$5:$D$68=$B77)*$K$5:$K$68),SUMPRODUCT(($E$5:$E$68=$B77)*J$5:J$68,$K$5:$K$68)/SUM(($E$5:$E$68=$B77)*$K$5:$K$68))))</f>
        <v>1.288</v>
      </c>
      <c r="P77" s="18"/>
      <c r="Q77" s="28">
        <f t="shared" si="2"/>
        <v>59.13682277318641</v>
      </c>
      <c r="R77" s="15" cm="1">
        <f t="array" ref="R77">IFERROR(SUMPRODUCT(($B$5:$B$68=$B77)*R$5:R$68,$P$5:$P$68)/SUM(($B$5:$B$68=$B77)*$P$5:$P$68),IFERROR(SUMPRODUCT(($C$5:$C$68=$B77)*R$5:R$68,$P$5:$P$68)/SUM(($C$5:$C$68=$B77)*$P$5:$P$68),IFERROR(SUMPRODUCT(($D$5:$D$68=$B77)*R$5:R$68,$P$5:$P$68)/SUM(($D$5:$D$68=$B77)*$P$5:$P$68),SUMPRODUCT(($E$5:$E$68=$B77)*R$5:R$68,$P$5:$P$68)/SUM(($E$5:$E$68=$B77)*$P$5:$P$68))))</f>
        <v>14.976000000000001</v>
      </c>
      <c r="S77" s="15" cm="1">
        <f t="array" ref="S77">IFERROR(SUMPRODUCT(($B$5:$B$68=$B77)*S$5:S$68,$P$5:$P$68)/SUM(($B$5:$B$68=$B77)*$P$5:$P$68),IFERROR(SUMPRODUCT(($C$5:$C$68=$B77)*S$5:S$68,$P$5:$P$68)/SUM(($C$5:$C$68=$B77)*$P$5:$P$68),IFERROR(SUMPRODUCT(($D$5:$D$68=$B77)*S$5:S$68,$P$5:$P$68)/SUM(($D$5:$D$68=$B77)*$P$5:$P$68),SUMPRODUCT(($E$5:$E$68=$B77)*S$5:S$68,$P$5:$P$68)/SUM(($E$5:$E$68=$B77)*$P$5:$P$68))))</f>
        <v>6.8039999999999985</v>
      </c>
      <c r="U77" s="15" cm="1">
        <f t="array" ref="U77">IFERROR(SUMPRODUCT(($B$5:$B$68=$B77)*U$5:U$68,$P$5:$P$68)/SUM(($B$5:$B$68=$B77)*$P$5:$P$68),IFERROR(SUMPRODUCT(($C$5:$C$68=$B77)*U$5:U$68,$P$5:$P$68)/SUM(($C$5:$C$68=$B77)*$P$5:$P$68),IFERROR(SUMPRODUCT(($D$5:$D$68=$B77)*U$5:U$68,$P$5:$P$68)/SUM(($D$5:$D$68=$B77)*$P$5:$P$68),SUMPRODUCT(($E$5:$E$68=$B77)*U$5:U$68,$P$5:$P$68)/SUM(($E$5:$E$68=$B77)*$P$5:$P$68))))</f>
        <v>0.55465092775711555</v>
      </c>
      <c r="V77" s="15" cm="1">
        <f t="array" ref="V77">IFERROR(SUMPRODUCT(($B$5:$B$68=$B77)*V$5:V$68,$P$5:$P$68)/SUM(($B$5:$B$68=$B77)*$P$5:$P$68),IFERROR(SUMPRODUCT(($C$5:$C$68=$B77)*V$5:V$68,$P$5:$P$68)/SUM(($C$5:$C$68=$B77)*$P$5:$P$68),IFERROR(SUMPRODUCT(($D$5:$D$68=$B77)*V$5:V$68,$P$5:$P$68)/SUM(($D$5:$D$68=$B77)*$P$5:$P$68),SUMPRODUCT(($E$5:$E$68=$B77)*V$5:V$68,$P$5:$P$68)/SUM(($E$5:$E$68=$B77)*$P$5:$P$68))))</f>
        <v>0.43306202258392729</v>
      </c>
      <c r="W77" s="28"/>
    </row>
    <row r="78" spans="1:23" x14ac:dyDescent="0.15">
      <c r="A78" s="5" t="s">
        <v>440</v>
      </c>
      <c r="B78" s="6" t="s">
        <v>461</v>
      </c>
      <c r="G78" s="15" cm="1">
        <f t="array" ref="G78">IFERROR(SUMPRODUCT(($B$5:$B$68=$B78)*G$5:G$68,$H$5:$H$68)/SUM(($B$5:$B$68=$B78)*$H$5:$H$68),IFERROR(SUMPRODUCT(($C$5:$C$68=$B78)*G$5:G$68,$H$5:$H$68)/SUM(($C$5:$C$68=$B78)*$H$5:$H$68),IFERROR(SUMPRODUCT(($D$5:$D$68=$B78)*G$5:G$68,$H$5:$H$68)/SUM(($D$5:$D$68=$B78)*$H$5:$H$68),SUMPRODUCT(($E$5:$E$68=$B78)*G$5:G$68,$H$5:$H$68)/SUM(($E$5:$E$68=$B78)*$H$5:$H$68))))</f>
        <v>0.28693460797283676</v>
      </c>
      <c r="J78" s="15" cm="1">
        <f t="array" ref="J78">IFERROR(SUMPRODUCT(($B$5:$B$68=$B78)*J$5:J$68,$K$5:$K$68)/SUM(($B$5:$B$68=$B78)*$K$5:$K$68),IFERROR(SUMPRODUCT(($C$5:$C$68=$B78)*J$5:J$68,$K$5:$K$68)/SUM(($C$5:$C$68=$B78)*$K$5:$K$68),IFERROR(SUMPRODUCT(($D$5:$D$68=$B78)*J$5:J$68,$K$5:$K$68)/SUM(($D$5:$D$68=$B78)*$K$5:$K$68),SUMPRODUCT(($E$5:$E$68=$B78)*J$5:J$68,$K$5:$K$68)/SUM(($E$5:$E$68=$B78)*$K$5:$K$68))))</f>
        <v>0.24234523094630439</v>
      </c>
      <c r="P78" s="18"/>
      <c r="Q78" s="28">
        <f t="shared" si="2"/>
        <v>97.846104225736582</v>
      </c>
      <c r="R78" s="15" cm="1">
        <f t="array" ref="R78">IFERROR(SUMPRODUCT(($B$5:$B$68=$B78)*R$5:R$68,$P$5:$P$68)/SUM(($B$5:$B$68=$B78)*$P$5:$P$68),IFERROR(SUMPRODUCT(($C$5:$C$68=$B78)*R$5:R$68,$P$5:$P$68)/SUM(($C$5:$C$68=$B78)*$P$5:$P$68),IFERROR(SUMPRODUCT(($D$5:$D$68=$B78)*R$5:R$68,$P$5:$P$68)/SUM(($D$5:$D$68=$B78)*$P$5:$P$68),SUMPRODUCT(($E$5:$E$68=$B78)*R$5:R$68,$P$5:$P$68)/SUM(($E$5:$E$68=$B78)*$P$5:$P$68))))</f>
        <v>2.4768000000000003</v>
      </c>
      <c r="S78" s="15" cm="1">
        <f t="array" ref="S78">IFERROR(SUMPRODUCT(($B$5:$B$68=$B78)*S$5:S$68,$P$5:$P$68)/SUM(($B$5:$B$68=$B78)*$P$5:$P$68),IFERROR(SUMPRODUCT(($C$5:$C$68=$B78)*S$5:S$68,$P$5:$P$68)/SUM(($C$5:$C$68=$B78)*$P$5:$P$68),IFERROR(SUMPRODUCT(($D$5:$D$68=$B78)*S$5:S$68,$P$5:$P$68)/SUM(($D$5:$D$68=$B78)*$P$5:$P$68),SUMPRODUCT(($E$5:$E$68=$B78)*S$5:S$68,$P$5:$P$68)/SUM(($E$5:$E$68=$B78)*$P$5:$P$68))))</f>
        <v>0</v>
      </c>
      <c r="U78" s="15" cm="1">
        <f t="array" ref="U78">IFERROR(SUMPRODUCT(($B$5:$B$68=$B78)*U$5:U$68,$P$5:$P$68)/SUM(($B$5:$B$68=$B78)*$P$5:$P$68),IFERROR(SUMPRODUCT(($C$5:$C$68=$B78)*U$5:U$68,$P$5:$P$68)/SUM(($C$5:$C$68=$B78)*$P$5:$P$68),IFERROR(SUMPRODUCT(($D$5:$D$68=$B78)*U$5:U$68,$P$5:$P$68)/SUM(($D$5:$D$68=$B78)*$P$5:$P$68),SUMPRODUCT(($E$5:$E$68=$B78)*U$5:U$68,$P$5:$P$68)/SUM(($E$5:$E$68=$B78)*$P$5:$P$68))))</f>
        <v>0.55465092775711555</v>
      </c>
      <c r="V78" s="15" cm="1">
        <f t="array" ref="V78">IFERROR(SUMPRODUCT(($B$5:$B$68=$B78)*V$5:V$68,$P$5:$P$68)/SUM(($B$5:$B$68=$B78)*$P$5:$P$68),IFERROR(SUMPRODUCT(($C$5:$C$68=$B78)*V$5:V$68,$P$5:$P$68)/SUM(($C$5:$C$68=$B78)*$P$5:$P$68),IFERROR(SUMPRODUCT(($D$5:$D$68=$B78)*V$5:V$68,$P$5:$P$68)/SUM(($D$5:$D$68=$B78)*$P$5:$P$68),SUMPRODUCT(($E$5:$E$68=$B78)*V$5:V$68,$P$5:$P$68)/SUM(($E$5:$E$68=$B78)*$P$5:$P$68))))</f>
        <v>0.43306202258392729</v>
      </c>
      <c r="W78" s="28"/>
    </row>
    <row r="79" spans="1:23" x14ac:dyDescent="0.15">
      <c r="A79" s="5" t="s">
        <v>327</v>
      </c>
      <c r="B79" s="6" t="s">
        <v>106</v>
      </c>
      <c r="G79" s="15" cm="1">
        <f t="array" ref="G79">IFERROR(SUMPRODUCT(($B$5:$B$68=$B79)*G$5:G$68,$H$5:$H$68)/SUM(($B$5:$B$68=$B79)*$H$5:$H$68),IFERROR(SUMPRODUCT(($C$5:$C$68=$B79)*G$5:G$68,$H$5:$H$68)/SUM(($C$5:$C$68=$B79)*$H$5:$H$68),IFERROR(SUMPRODUCT(($D$5:$D$68=$B79)*G$5:G$68,$H$5:$H$68)/SUM(($D$5:$D$68=$B79)*$H$5:$H$68),SUMPRODUCT(($E$5:$E$68=$B79)*G$5:G$68,$H$5:$H$68)/SUM(($E$5:$E$68=$B79)*$H$5:$H$68))))</f>
        <v>0.81745070728588098</v>
      </c>
      <c r="J79" s="15" cm="1">
        <f t="array" ref="J79">IFERROR(SUMPRODUCT(($B$5:$B$68=$B79)*J$5:J$68,$K$5:$K$68)/SUM(($B$5:$B$68=$B79)*$K$5:$K$68),IFERROR(SUMPRODUCT(($C$5:$C$68=$B79)*J$5:J$68,$K$5:$K$68)/SUM(($C$5:$C$68=$B79)*$K$5:$K$68),IFERROR(SUMPRODUCT(($D$5:$D$68=$B79)*J$5:J$68,$K$5:$K$68)/SUM(($D$5:$D$68=$B79)*$K$5:$K$68),SUMPRODUCT(($E$5:$E$68=$B79)*J$5:J$68,$K$5:$K$68)/SUM(($E$5:$E$68=$B79)*$K$5:$K$68))))</f>
        <v>0.6991394038416423</v>
      </c>
      <c r="P79" s="18"/>
      <c r="Q79" s="28">
        <f t="shared" si="2"/>
        <v>161.83782496334302</v>
      </c>
      <c r="R79" s="15" cm="1">
        <f t="array" ref="R79">IFERROR(SUMPRODUCT(($B$5:$B$68=$B79)*R$5:R$68,$P$5:$P$68)/SUM(($B$5:$B$68=$B79)*$P$5:$P$68),IFERROR(SUMPRODUCT(($C$5:$C$68=$B79)*R$5:R$68,$P$5:$P$68)/SUM(($C$5:$C$68=$B79)*$P$5:$P$68),IFERROR(SUMPRODUCT(($D$5:$D$68=$B79)*R$5:R$68,$P$5:$P$68)/SUM(($D$5:$D$68=$B79)*$P$5:$P$68),SUMPRODUCT(($E$5:$E$68=$B79)*R$5:R$68,$P$5:$P$68)/SUM(($E$5:$E$68=$B79)*$P$5:$P$68))))</f>
        <v>4.3200000000000021</v>
      </c>
      <c r="S79" s="15" cm="1">
        <f t="array" ref="S79">IFERROR(SUMPRODUCT(($B$5:$B$68=$B79)*S$5:S$68,$P$5:$P$68)/SUM(($B$5:$B$68=$B79)*$P$5:$P$68),IFERROR(SUMPRODUCT(($C$5:$C$68=$B79)*S$5:S$68,$P$5:$P$68)/SUM(($C$5:$C$68=$B79)*$P$5:$P$68),IFERROR(SUMPRODUCT(($D$5:$D$68=$B79)*S$5:S$68,$P$5:$P$68)/SUM(($D$5:$D$68=$B79)*$P$5:$P$68),SUMPRODUCT(($E$5:$E$68=$B79)*S$5:S$68,$P$5:$P$68)/SUM(($E$5:$E$68=$B79)*$P$5:$P$68))))</f>
        <v>0</v>
      </c>
      <c r="U79" s="15" cm="1">
        <f t="array" ref="U79">IFERROR(SUMPRODUCT(($B$5:$B$68=$B79)*U$5:U$68,$P$5:$P$68)/SUM(($B$5:$B$68=$B79)*$P$5:$P$68),IFERROR(SUMPRODUCT(($C$5:$C$68=$B79)*U$5:U$68,$P$5:$P$68)/SUM(($C$5:$C$68=$B79)*$P$5:$P$68),IFERROR(SUMPRODUCT(($D$5:$D$68=$B79)*U$5:U$68,$P$5:$P$68)/SUM(($D$5:$D$68=$B79)*$P$5:$P$68),SUMPRODUCT(($E$5:$E$68=$B79)*U$5:U$68,$P$5:$P$68)/SUM(($E$5:$E$68=$B79)*$P$5:$P$68))))</f>
        <v>0.66884534593017986</v>
      </c>
      <c r="V79" s="15" cm="1">
        <f t="array" ref="V79">IFERROR(SUMPRODUCT(($B$5:$B$68=$B79)*V$5:V$68,$P$5:$P$68)/SUM(($B$5:$B$68=$B79)*$P$5:$P$68),IFERROR(SUMPRODUCT(($C$5:$C$68=$B79)*V$5:V$68,$P$5:$P$68)/SUM(($C$5:$C$68=$B79)*$P$5:$P$68),IFERROR(SUMPRODUCT(($D$5:$D$68=$B79)*V$5:V$68,$P$5:$P$68)/SUM(($D$5:$D$68=$B79)*$P$5:$P$68),SUMPRODUCT(($E$5:$E$68=$B79)*V$5:V$68,$P$5:$P$68)/SUM(($E$5:$E$68=$B79)*$P$5:$P$68))))</f>
        <v>0.58742624959688228</v>
      </c>
      <c r="W79" s="28"/>
    </row>
    <row r="80" spans="1:23" x14ac:dyDescent="0.15">
      <c r="A80" s="5" t="s">
        <v>326</v>
      </c>
      <c r="B80" s="6" t="s">
        <v>101</v>
      </c>
      <c r="G80" s="15" cm="1">
        <f t="array" ref="G80">IFERROR(SUMPRODUCT(($B$5:$B$68=$B80)*G$5:G$68,$H$5:$H$68)/SUM(($B$5:$B$68=$B80)*$H$5:$H$68),IFERROR(SUMPRODUCT(($C$5:$C$68=$B80)*G$5:G$68,$H$5:$H$68)/SUM(($C$5:$C$68=$B80)*$H$5:$H$68),IFERROR(SUMPRODUCT(($D$5:$D$68=$B80)*G$5:G$68,$H$5:$H$68)/SUM(($D$5:$D$68=$B80)*$H$5:$H$68),SUMPRODUCT(($E$5:$E$68=$B80)*G$5:G$68,$H$5:$H$68)/SUM(($E$5:$E$68=$B80)*$H$5:$H$68))))</f>
        <v>0.12876363322314929</v>
      </c>
      <c r="J80" s="15" cm="1">
        <f t="array" ref="J80">IFERROR(SUMPRODUCT(($B$5:$B$68=$B80)*J$5:J$68,$K$5:$K$68)/SUM(($B$5:$B$68=$B80)*$K$5:$K$68),IFERROR(SUMPRODUCT(($C$5:$C$68=$B80)*J$5:J$68,$K$5:$K$68)/SUM(($C$5:$C$68=$B80)*$K$5:$K$68),IFERROR(SUMPRODUCT(($D$5:$D$68=$B80)*J$5:J$68,$K$5:$K$68)/SUM(($D$5:$D$68=$B80)*$K$5:$K$68),SUMPRODUCT(($E$5:$E$68=$B80)*J$5:J$68,$K$5:$K$68)/SUM(($E$5:$E$68=$B80)*$K$5:$K$68))))</f>
        <v>9.509036148184509E-2</v>
      </c>
      <c r="P80" s="18"/>
      <c r="Q80" s="28">
        <f t="shared" si="2"/>
        <v>30.926905195050697</v>
      </c>
      <c r="R80" s="15" cm="1">
        <f t="array" ref="R80">IFERROR(SUMPRODUCT(($B$5:$B$68=$B80)*R$5:R$68,$P$5:$P$68)/SUM(($B$5:$B$68=$B80)*$P$5:$P$68),IFERROR(SUMPRODUCT(($C$5:$C$68=$B80)*R$5:R$68,$P$5:$P$68)/SUM(($C$5:$C$68=$B80)*$P$5:$P$68),IFERROR(SUMPRODUCT(($D$5:$D$68=$B80)*R$5:R$68,$P$5:$P$68)/SUM(($D$5:$D$68=$B80)*$P$5:$P$68),SUMPRODUCT(($E$5:$E$68=$B80)*R$5:R$68,$P$5:$P$68)/SUM(($E$5:$E$68=$B80)*$P$5:$P$68))))</f>
        <v>3.0746807959647584</v>
      </c>
      <c r="S80" s="15" cm="1">
        <f t="array" ref="S80">IFERROR(SUMPRODUCT(($B$5:$B$68=$B80)*S$5:S$68,$P$5:$P$68)/SUM(($B$5:$B$68=$B80)*$P$5:$P$68),IFERROR(SUMPRODUCT(($C$5:$C$68=$B80)*S$5:S$68,$P$5:$P$68)/SUM(($C$5:$C$68=$B80)*$P$5:$P$68),IFERROR(SUMPRODUCT(($D$5:$D$68=$B80)*S$5:S$68,$P$5:$P$68)/SUM(($D$5:$D$68=$B80)*$P$5:$P$68),SUMPRODUCT(($E$5:$E$68=$B80)*S$5:S$68,$P$5:$P$68)/SUM(($E$5:$E$68=$B80)*$P$5:$P$68))))</f>
        <v>0</v>
      </c>
      <c r="U80" s="15" cm="1">
        <f t="array" ref="U80">IFERROR(SUMPRODUCT(($B$5:$B$68=$B80)*U$5:U$68,$P$5:$P$68)/SUM(($B$5:$B$68=$B80)*$P$5:$P$68),IFERROR(SUMPRODUCT(($C$5:$C$68=$B80)*U$5:U$68,$P$5:$P$68)/SUM(($C$5:$C$68=$B80)*$P$5:$P$68),IFERROR(SUMPRODUCT(($D$5:$D$68=$B80)*U$5:U$68,$P$5:$P$68)/SUM(($D$5:$D$68=$B80)*$P$5:$P$68),SUMPRODUCT(($E$5:$E$68=$B80)*U$5:U$68,$P$5:$P$68)/SUM(($E$5:$E$68=$B80)*$P$5:$P$68))))</f>
        <v>0.66884534593017986</v>
      </c>
      <c r="V80" s="15" cm="1">
        <f t="array" ref="V80">IFERROR(SUMPRODUCT(($B$5:$B$68=$B80)*V$5:V$68,$P$5:$P$68)/SUM(($B$5:$B$68=$B80)*$P$5:$P$68),IFERROR(SUMPRODUCT(($C$5:$C$68=$B80)*V$5:V$68,$P$5:$P$68)/SUM(($C$5:$C$68=$B80)*$P$5:$P$68),IFERROR(SUMPRODUCT(($D$5:$D$68=$B80)*V$5:V$68,$P$5:$P$68)/SUM(($D$5:$D$68=$B80)*$P$5:$P$68),SUMPRODUCT(($E$5:$E$68=$B80)*V$5:V$68,$P$5:$P$68)/SUM(($E$5:$E$68=$B80)*$P$5:$P$68))))</f>
        <v>0.58742624959688228</v>
      </c>
      <c r="W80" s="28"/>
    </row>
    <row r="81" spans="1:23" x14ac:dyDescent="0.15">
      <c r="A81" s="5" t="s">
        <v>336</v>
      </c>
      <c r="B81" s="6" t="s">
        <v>390</v>
      </c>
      <c r="G81" s="15" cm="1">
        <f t="array" ref="G81">IFERROR(SUMPRODUCT(($B$5:$B$68=$B81)*G$5:G$68,$H$5:$H$68)/SUM(($B$5:$B$68=$B81)*$H$5:$H$68),IFERROR(SUMPRODUCT(($C$5:$C$68=$B81)*G$5:G$68,$H$5:$H$68)/SUM(($C$5:$C$68=$B81)*$H$5:$H$68),IFERROR(SUMPRODUCT(($D$5:$D$68=$B81)*G$5:G$68,$H$5:$H$68)/SUM(($D$5:$D$68=$B81)*$H$5:$H$68),SUMPRODUCT(($E$5:$E$68=$B81)*G$5:G$68,$H$5:$H$68)/SUM(($E$5:$E$68=$B81)*$H$5:$H$68))))</f>
        <v>3.5629026621767576E-2</v>
      </c>
      <c r="J81" s="15" cm="1">
        <f t="array" ref="J81">IFERROR(SUMPRODUCT(($B$5:$B$68=$B81)*J$5:J$68,$K$5:$K$68)/SUM(($B$5:$B$68=$B81)*$K$5:$K$68),IFERROR(SUMPRODUCT(($C$5:$C$68=$B81)*J$5:J$68,$K$5:$K$68)/SUM(($C$5:$C$68=$B81)*$K$5:$K$68),IFERROR(SUMPRODUCT(($D$5:$D$68=$B81)*J$5:J$68,$K$5:$K$68)/SUM(($D$5:$D$68=$B81)*$K$5:$K$68),SUMPRODUCT(($E$5:$E$68=$B81)*J$5:J$68,$K$5:$K$68)/SUM(($E$5:$E$68=$B81)*$K$5:$K$68))))</f>
        <v>3.1972106510782264E-2</v>
      </c>
      <c r="P81" s="18"/>
      <c r="Q81" s="28">
        <f t="shared" si="2"/>
        <v>29.603802324798377</v>
      </c>
      <c r="R81" s="15" cm="1">
        <f t="array" ref="R81">IFERROR(SUMPRODUCT(($B$5:$B$68=$B81)*R$5:R$68,$P$5:$P$68)/SUM(($B$5:$B$68=$B81)*$P$5:$P$68),IFERROR(SUMPRODUCT(($C$5:$C$68=$B81)*R$5:R$68,$P$5:$P$68)/SUM(($C$5:$C$68=$B81)*$P$5:$P$68),IFERROR(SUMPRODUCT(($D$5:$D$68=$B81)*R$5:R$68,$P$5:$P$68)/SUM(($D$5:$D$68=$B81)*$P$5:$P$68),SUMPRODUCT(($E$5:$E$68=$B81)*R$5:R$68,$P$5:$P$68)/SUM(($E$5:$E$68=$B81)*$P$5:$P$68))))</f>
        <v>1.0800000000000005</v>
      </c>
      <c r="S81" s="15" cm="1">
        <f t="array" ref="S81">IFERROR(SUMPRODUCT(($B$5:$B$68=$B81)*S$5:S$68,$P$5:$P$68)/SUM(($B$5:$B$68=$B81)*$P$5:$P$68),IFERROR(SUMPRODUCT(($C$5:$C$68=$B81)*S$5:S$68,$P$5:$P$68)/SUM(($C$5:$C$68=$B81)*$P$5:$P$68),IFERROR(SUMPRODUCT(($D$5:$D$68=$B81)*S$5:S$68,$P$5:$P$68)/SUM(($D$5:$D$68=$B81)*$P$5:$P$68),SUMPRODUCT(($E$5:$E$68=$B81)*S$5:S$68,$P$5:$P$68)/SUM(($E$5:$E$68=$B81)*$P$5:$P$68))))</f>
        <v>0</v>
      </c>
      <c r="U81" s="15" cm="1">
        <f t="array" ref="U81">IFERROR(SUMPRODUCT(($B$5:$B$68=$B81)*U$5:U$68,$P$5:$P$68)/SUM(($B$5:$B$68=$B81)*$P$5:$P$68),IFERROR(SUMPRODUCT(($C$5:$C$68=$B81)*U$5:U$68,$P$5:$P$68)/SUM(($C$5:$C$68=$B81)*$P$5:$P$68),IFERROR(SUMPRODUCT(($D$5:$D$68=$B81)*U$5:U$68,$P$5:$P$68)/SUM(($D$5:$D$68=$B81)*$P$5:$P$68),SUMPRODUCT(($E$5:$E$68=$B81)*U$5:U$68,$P$5:$P$68)/SUM(($E$5:$E$68=$B81)*$P$5:$P$68))))</f>
        <v>0.66884534593017986</v>
      </c>
      <c r="V81" s="15" cm="1">
        <f t="array" ref="V81">IFERROR(SUMPRODUCT(($B$5:$B$68=$B81)*V$5:V$68,$P$5:$P$68)/SUM(($B$5:$B$68=$B81)*$P$5:$P$68),IFERROR(SUMPRODUCT(($C$5:$C$68=$B81)*V$5:V$68,$P$5:$P$68)/SUM(($C$5:$C$68=$B81)*$P$5:$P$68),IFERROR(SUMPRODUCT(($D$5:$D$68=$B81)*V$5:V$68,$P$5:$P$68)/SUM(($D$5:$D$68=$B81)*$P$5:$P$68),SUMPRODUCT(($E$5:$E$68=$B81)*V$5:V$68,$P$5:$P$68)/SUM(($E$5:$E$68=$B81)*$P$5:$P$68))))</f>
        <v>0.58742624959688228</v>
      </c>
      <c r="W81" s="28"/>
    </row>
    <row r="82" spans="1:23" x14ac:dyDescent="0.15">
      <c r="A82" s="5" t="s">
        <v>351</v>
      </c>
      <c r="B82" s="6" t="s">
        <v>82</v>
      </c>
      <c r="G82" s="15" cm="1">
        <f t="array" ref="G82">IFERROR(SUMPRODUCT(($B$5:$B$68=$B82)*G$5:G$68,$H$5:$H$68)/SUM(($B$5:$B$68=$B82)*$H$5:$H$68),IFERROR(SUMPRODUCT(($C$5:$C$68=$B82)*G$5:G$68,$H$5:$H$68)/SUM(($C$5:$C$68=$B82)*$H$5:$H$68),IFERROR(SUMPRODUCT(($D$5:$D$68=$B82)*G$5:G$68,$H$5:$H$68)/SUM(($D$5:$D$68=$B82)*$H$5:$H$68),SUMPRODUCT(($E$5:$E$68=$B82)*G$5:G$68,$H$5:$H$68)/SUM(($E$5:$E$68=$B82)*$H$5:$H$68))))</f>
        <v>0.44693420519106453</v>
      </c>
      <c r="J82" s="15" cm="1">
        <f t="array" ref="J82">IFERROR(SUMPRODUCT(($B$5:$B$68=$B82)*J$5:J$68,$K$5:$K$68)/SUM(($B$5:$B$68=$B82)*$K$5:$K$68),IFERROR(SUMPRODUCT(($C$5:$C$68=$B82)*J$5:J$68,$K$5:$K$68)/SUM(($C$5:$C$68=$B82)*$K$5:$K$68),IFERROR(SUMPRODUCT(($D$5:$D$68=$B82)*J$5:J$68,$K$5:$K$68)/SUM(($D$5:$D$68=$B82)*$K$5:$K$68),SUMPRODUCT(($E$5:$E$68=$B82)*J$5:J$68,$K$5:$K$68)/SUM(($E$5:$E$68=$B82)*$K$5:$K$68))))</f>
        <v>0.32449753999236403</v>
      </c>
      <c r="P82" s="18"/>
      <c r="Q82" s="28">
        <f t="shared" si="2"/>
        <v>38.698948901712598</v>
      </c>
      <c r="R82" s="15" cm="1">
        <f t="array" ref="R82">IFERROR(SUMPRODUCT(($B$5:$B$68=$B82)*R$5:R$68,$P$5:$P$68)/SUM(($B$5:$B$68=$B82)*$P$5:$P$68),IFERROR(SUMPRODUCT(($C$5:$C$68=$B82)*R$5:R$68,$P$5:$P$68)/SUM(($C$5:$C$68=$B82)*$P$5:$P$68),IFERROR(SUMPRODUCT(($D$5:$D$68=$B82)*R$5:R$68,$P$5:$P$68)/SUM(($D$5:$D$68=$B82)*$P$5:$P$68),SUMPRODUCT(($E$5:$E$68=$B82)*R$5:R$68,$P$5:$P$68)/SUM(($E$5:$E$68=$B82)*$P$5:$P$68))))</f>
        <v>8.3851770965800991</v>
      </c>
      <c r="S82" s="15" cm="1">
        <f t="array" ref="S82">IFERROR(SUMPRODUCT(($B$5:$B$68=$B82)*S$5:S$68,$P$5:$P$68)/SUM(($B$5:$B$68=$B82)*$P$5:$P$68),IFERROR(SUMPRODUCT(($C$5:$C$68=$B82)*S$5:S$68,$P$5:$P$68)/SUM(($C$5:$C$68=$B82)*$P$5:$P$68),IFERROR(SUMPRODUCT(($D$5:$D$68=$B82)*S$5:S$68,$P$5:$P$68)/SUM(($D$5:$D$68=$B82)*$P$5:$P$68),SUMPRODUCT(($E$5:$E$68=$B82)*S$5:S$68,$P$5:$P$68)/SUM(($E$5:$E$68=$B82)*$P$5:$P$68))))</f>
        <v>0</v>
      </c>
      <c r="U82" s="15" cm="1">
        <f t="array" ref="U82">IFERROR(SUMPRODUCT(($B$5:$B$68=$B82)*U$5:U$68,$P$5:$P$68)/SUM(($B$5:$B$68=$B82)*$P$5:$P$68),IFERROR(SUMPRODUCT(($C$5:$C$68=$B82)*U$5:U$68,$P$5:$P$68)/SUM(($C$5:$C$68=$B82)*$P$5:$P$68),IFERROR(SUMPRODUCT(($D$5:$D$68=$B82)*U$5:U$68,$P$5:$P$68)/SUM(($D$5:$D$68=$B82)*$P$5:$P$68),SUMPRODUCT(($E$5:$E$68=$B82)*U$5:U$68,$P$5:$P$68)/SUM(($E$5:$E$68=$B82)*$P$5:$P$68))))</f>
        <v>0.66884534593017986</v>
      </c>
      <c r="V82" s="15" cm="1">
        <f t="array" ref="V82">IFERROR(SUMPRODUCT(($B$5:$B$68=$B82)*V$5:V$68,$P$5:$P$68)/SUM(($B$5:$B$68=$B82)*$P$5:$P$68),IFERROR(SUMPRODUCT(($C$5:$C$68=$B82)*V$5:V$68,$P$5:$P$68)/SUM(($C$5:$C$68=$B82)*$P$5:$P$68),IFERROR(SUMPRODUCT(($D$5:$D$68=$B82)*V$5:V$68,$P$5:$P$68)/SUM(($D$5:$D$68=$B82)*$P$5:$P$68),SUMPRODUCT(($E$5:$E$68=$B82)*V$5:V$68,$P$5:$P$68)/SUM(($E$5:$E$68=$B82)*$P$5:$P$68))))</f>
        <v>0.58742624959688217</v>
      </c>
      <c r="W82" s="28"/>
    </row>
    <row r="83" spans="1:23" x14ac:dyDescent="0.15">
      <c r="A83" s="5" t="s">
        <v>337</v>
      </c>
      <c r="B83" s="6" t="s">
        <v>380</v>
      </c>
      <c r="G83" s="15" cm="1">
        <f t="array" ref="G83">IFERROR(SUMPRODUCT(($B$5:$B$68=$B83)*G$5:G$68,$H$5:$H$68)/SUM(($B$5:$B$68=$B83)*$H$5:$H$68),IFERROR(SUMPRODUCT(($C$5:$C$68=$B83)*G$5:G$68,$H$5:$H$68)/SUM(($C$5:$C$68=$B83)*$H$5:$H$68),IFERROR(SUMPRODUCT(($D$5:$D$68=$B83)*G$5:G$68,$H$5:$H$68)/SUM(($D$5:$D$68=$B83)*$H$5:$H$68),SUMPRODUCT(($E$5:$E$68=$B83)*G$5:G$68,$H$5:$H$68)/SUM(($E$5:$E$68=$B83)*$H$5:$H$68))))</f>
        <v>1.0858855073623837</v>
      </c>
      <c r="J83" s="15" cm="1">
        <f t="array" ref="J83">IFERROR(SUMPRODUCT(($B$5:$B$68=$B83)*J$5:J$68,$K$5:$K$68)/SUM(($B$5:$B$68=$B83)*$K$5:$K$68),IFERROR(SUMPRODUCT(($C$5:$C$68=$B83)*J$5:J$68,$K$5:$K$68)/SUM(($C$5:$C$68=$B83)*$K$5:$K$68),IFERROR(SUMPRODUCT(($D$5:$D$68=$B83)*J$5:J$68,$K$5:$K$68)/SUM(($D$5:$D$68=$B83)*$K$5:$K$68),SUMPRODUCT(($E$5:$E$68=$B83)*J$5:J$68,$K$5:$K$68)/SUM(($E$5:$E$68=$B83)*$K$5:$K$68))))</f>
        <v>0.76053043758401917</v>
      </c>
      <c r="P83" s="18"/>
      <c r="Q83" s="28">
        <f t="shared" si="2"/>
        <v>205.10529600432017</v>
      </c>
      <c r="R83" s="15" cm="1">
        <f t="array" ref="R83">IFERROR(SUMPRODUCT(($B$5:$B$68=$B83)*R$5:R$68,$P$5:$P$68)/SUM(($B$5:$B$68=$B83)*$P$5:$P$68),IFERROR(SUMPRODUCT(($C$5:$C$68=$B83)*R$5:R$68,$P$5:$P$68)/SUM(($C$5:$C$68=$B83)*$P$5:$P$68),IFERROR(SUMPRODUCT(($D$5:$D$68=$B83)*R$5:R$68,$P$5:$P$68)/SUM(($D$5:$D$68=$B83)*$P$5:$P$68),SUMPRODUCT(($E$5:$E$68=$B83)*R$5:R$68,$P$5:$P$68)/SUM(($E$5:$E$68=$B83)*$P$5:$P$68))))</f>
        <v>3.7079999999999997</v>
      </c>
      <c r="S83" s="15" cm="1">
        <f t="array" ref="S83">IFERROR(SUMPRODUCT(($B$5:$B$68=$B83)*S$5:S$68,$P$5:$P$68)/SUM(($B$5:$B$68=$B83)*$P$5:$P$68),IFERROR(SUMPRODUCT(($C$5:$C$68=$B83)*S$5:S$68,$P$5:$P$68)/SUM(($C$5:$C$68=$B83)*$P$5:$P$68),IFERROR(SUMPRODUCT(($D$5:$D$68=$B83)*S$5:S$68,$P$5:$P$68)/SUM(($D$5:$D$68=$B83)*$P$5:$P$68),SUMPRODUCT(($E$5:$E$68=$B83)*S$5:S$68,$P$5:$P$68)/SUM(($E$5:$E$68=$B83)*$P$5:$P$68))))</f>
        <v>0</v>
      </c>
      <c r="U83" s="15" cm="1">
        <f t="array" ref="U83">IFERROR(SUMPRODUCT(($B$5:$B$68=$B83)*U$5:U$68,$P$5:$P$68)/SUM(($B$5:$B$68=$B83)*$P$5:$P$68),IFERROR(SUMPRODUCT(($C$5:$C$68=$B83)*U$5:U$68,$P$5:$P$68)/SUM(($C$5:$C$68=$B83)*$P$5:$P$68),IFERROR(SUMPRODUCT(($D$5:$D$68=$B83)*U$5:U$68,$P$5:$P$68)/SUM(($D$5:$D$68=$B83)*$P$5:$P$68),SUMPRODUCT(($E$5:$E$68=$B83)*U$5:U$68,$P$5:$P$68)/SUM(($E$5:$E$68=$B83)*$P$5:$P$68))))</f>
        <v>0.66884534593017986</v>
      </c>
      <c r="V83" s="15" cm="1">
        <f t="array" ref="V83">IFERROR(SUMPRODUCT(($B$5:$B$68=$B83)*V$5:V$68,$P$5:$P$68)/SUM(($B$5:$B$68=$B83)*$P$5:$P$68),IFERROR(SUMPRODUCT(($C$5:$C$68=$B83)*V$5:V$68,$P$5:$P$68)/SUM(($C$5:$C$68=$B83)*$P$5:$P$68),IFERROR(SUMPRODUCT(($D$5:$D$68=$B83)*V$5:V$68,$P$5:$P$68)/SUM(($D$5:$D$68=$B83)*$P$5:$P$68),SUMPRODUCT(($E$5:$E$68=$B83)*V$5:V$68,$P$5:$P$68)/SUM(($E$5:$E$68=$B83)*$P$5:$P$68))))</f>
        <v>0.58742624959688228</v>
      </c>
      <c r="W83" s="28"/>
    </row>
    <row r="84" spans="1:23" x14ac:dyDescent="0.15">
      <c r="A84" s="5" t="s">
        <v>350</v>
      </c>
      <c r="B84" s="6" t="s">
        <v>462</v>
      </c>
      <c r="G84" s="15" cm="1">
        <f t="array" ref="G84">IFERROR(SUMPRODUCT(($B$5:$B$68=$B84)*G$5:G$68,$H$5:$H$68)/SUM(($B$5:$B$68=$B84)*$H$5:$H$68),IFERROR(SUMPRODUCT(($C$5:$C$68=$B84)*G$5:G$68,$H$5:$H$68)/SUM(($C$5:$C$68=$B84)*$H$5:$H$68),IFERROR(SUMPRODUCT(($D$5:$D$68=$B84)*G$5:G$68,$H$5:$H$68)/SUM(($D$5:$D$68=$B84)*$H$5:$H$68),SUMPRODUCT(($E$5:$E$68=$B84)*G$5:G$68,$H$5:$H$68)/SUM(($E$5:$E$68=$B84)*$H$5:$H$68))))</f>
        <v>0.73925352948672385</v>
      </c>
      <c r="J84" s="15" cm="1">
        <f t="array" ref="J84">IFERROR(SUMPRODUCT(($B$5:$B$68=$B84)*J$5:J$68,$K$5:$K$68)/SUM(($B$5:$B$68=$B84)*$K$5:$K$68),IFERROR(SUMPRODUCT(($C$5:$C$68=$B84)*J$5:J$68,$K$5:$K$68)/SUM(($C$5:$C$68=$B84)*$K$5:$K$68),IFERROR(SUMPRODUCT(($D$5:$D$68=$B84)*J$5:J$68,$K$5:$K$68)/SUM(($D$5:$D$68=$B84)*$K$5:$K$68),SUMPRODUCT(($E$5:$E$68=$B84)*J$5:J$68,$K$5:$K$68)/SUM(($E$5:$E$68=$B84)*$K$5:$K$68))))</f>
        <v>0.50052641550481702</v>
      </c>
      <c r="P84" s="18"/>
      <c r="Q84" s="28">
        <f t="shared" si="2"/>
        <v>101.48548570657279</v>
      </c>
      <c r="R84" s="15" cm="1">
        <f t="array" ref="R84">IFERROR(SUMPRODUCT(($B$5:$B$68=$B84)*R$5:R$68,$P$5:$P$68)/SUM(($B$5:$B$68=$B84)*$P$5:$P$68),IFERROR(SUMPRODUCT(($C$5:$C$68=$B84)*R$5:R$68,$P$5:$P$68)/SUM(($C$5:$C$68=$B84)*$P$5:$P$68),IFERROR(SUMPRODUCT(($D$5:$D$68=$B84)*R$5:R$68,$P$5:$P$68)/SUM(($D$5:$D$68=$B84)*$P$5:$P$68),SUMPRODUCT(($E$5:$E$68=$B84)*R$5:R$68,$P$5:$P$68)/SUM(($E$5:$E$68=$B84)*$P$5:$P$68))))</f>
        <v>4.9320000000000004</v>
      </c>
      <c r="S84" s="15" cm="1">
        <f t="array" ref="S84">IFERROR(SUMPRODUCT(($B$5:$B$68=$B84)*S$5:S$68,$P$5:$P$68)/SUM(($B$5:$B$68=$B84)*$P$5:$P$68),IFERROR(SUMPRODUCT(($C$5:$C$68=$B84)*S$5:S$68,$P$5:$P$68)/SUM(($C$5:$C$68=$B84)*$P$5:$P$68),IFERROR(SUMPRODUCT(($D$5:$D$68=$B84)*S$5:S$68,$P$5:$P$68)/SUM(($D$5:$D$68=$B84)*$P$5:$P$68),SUMPRODUCT(($E$5:$E$68=$B84)*S$5:S$68,$P$5:$P$68)/SUM(($E$5:$E$68=$B84)*$P$5:$P$68))))</f>
        <v>0</v>
      </c>
      <c r="U84" s="15" cm="1">
        <f t="array" ref="U84">IFERROR(SUMPRODUCT(($B$5:$B$68=$B84)*U$5:U$68,$P$5:$P$68)/SUM(($B$5:$B$68=$B84)*$P$5:$P$68),IFERROR(SUMPRODUCT(($C$5:$C$68=$B84)*U$5:U$68,$P$5:$P$68)/SUM(($C$5:$C$68=$B84)*$P$5:$P$68),IFERROR(SUMPRODUCT(($D$5:$D$68=$B84)*U$5:U$68,$P$5:$P$68)/SUM(($D$5:$D$68=$B84)*$P$5:$P$68),SUMPRODUCT(($E$5:$E$68=$B84)*U$5:U$68,$P$5:$P$68)/SUM(($E$5:$E$68=$B84)*$P$5:$P$68))))</f>
        <v>0.66884534593017975</v>
      </c>
      <c r="V84" s="15" cm="1">
        <f t="array" ref="V84">IFERROR(SUMPRODUCT(($B$5:$B$68=$B84)*V$5:V$68,$P$5:$P$68)/SUM(($B$5:$B$68=$B84)*$P$5:$P$68),IFERROR(SUMPRODUCT(($C$5:$C$68=$B84)*V$5:V$68,$P$5:$P$68)/SUM(($C$5:$C$68=$B84)*$P$5:$P$68),IFERROR(SUMPRODUCT(($D$5:$D$68=$B84)*V$5:V$68,$P$5:$P$68)/SUM(($D$5:$D$68=$B84)*$P$5:$P$68),SUMPRODUCT(($E$5:$E$68=$B84)*V$5:V$68,$P$5:$P$68)/SUM(($E$5:$E$68=$B84)*$P$5:$P$68))))</f>
        <v>0.58742624959688228</v>
      </c>
      <c r="W84" s="28"/>
    </row>
    <row r="85" spans="1:23" x14ac:dyDescent="0.15">
      <c r="A85" s="5" t="s">
        <v>357</v>
      </c>
      <c r="B85" s="6" t="s">
        <v>409</v>
      </c>
      <c r="G85" s="15" cm="1">
        <f t="array" ref="G85">IFERROR(SUMPRODUCT(($B$5:$B$68=$B85)*G$5:G$68,$H$5:$H$68)/SUM(($B$5:$B$68=$B85)*$H$5:$H$68),IFERROR(SUMPRODUCT(($C$5:$C$68=$B85)*G$5:G$68,$H$5:$H$68)/SUM(($C$5:$C$68=$B85)*$H$5:$H$68),IFERROR(SUMPRODUCT(($D$5:$D$68=$B85)*G$5:G$68,$H$5:$H$68)/SUM(($D$5:$D$68=$B85)*$H$5:$H$68),SUMPRODUCT(($E$5:$E$68=$B85)*G$5:G$68,$H$5:$H$68)/SUM(($E$5:$E$68=$B85)*$H$5:$H$68))))</f>
        <v>0.805852417888692</v>
      </c>
      <c r="J85" s="15" cm="1">
        <f t="array" ref="J85">IFERROR(SUMPRODUCT(($B$5:$B$68=$B85)*J$5:J$68,$K$5:$K$68)/SUM(($B$5:$B$68=$B85)*$K$5:$K$68),IFERROR(SUMPRODUCT(($C$5:$C$68=$B85)*J$5:J$68,$K$5:$K$68)/SUM(($C$5:$C$68=$B85)*$K$5:$K$68),IFERROR(SUMPRODUCT(($D$5:$D$68=$B85)*J$5:J$68,$K$5:$K$68)/SUM(($D$5:$D$68=$B85)*$K$5:$K$68),SUMPRODUCT(($E$5:$E$68=$B85)*J$5:J$68,$K$5:$K$68)/SUM(($E$5:$E$68=$B85)*$K$5:$K$68))))</f>
        <v>0.66291615790238245</v>
      </c>
      <c r="P85" s="18"/>
      <c r="Q85" s="28">
        <f t="shared" si="2"/>
        <v>146.16533788514602</v>
      </c>
      <c r="R85" s="15" cm="1">
        <f t="array" ref="R85">IFERROR(SUMPRODUCT(($B$5:$B$68=$B85)*R$5:R$68,$P$5:$P$68)/SUM(($B$5:$B$68=$B85)*$P$5:$P$68),IFERROR(SUMPRODUCT(($C$5:$C$68=$B85)*R$5:R$68,$P$5:$P$68)/SUM(($C$5:$C$68=$B85)*$P$5:$P$68),IFERROR(SUMPRODUCT(($D$5:$D$68=$B85)*R$5:R$68,$P$5:$P$68)/SUM(($D$5:$D$68=$B85)*$P$5:$P$68),SUMPRODUCT(($E$5:$E$68=$B85)*R$5:R$68,$P$5:$P$68)/SUM(($E$5:$E$68=$B85)*$P$5:$P$68))))</f>
        <v>4.5353855263775982</v>
      </c>
      <c r="S85" s="15" cm="1">
        <f t="array" ref="S85">IFERROR(SUMPRODUCT(($B$5:$B$68=$B85)*S$5:S$68,$P$5:$P$68)/SUM(($B$5:$B$68=$B85)*$P$5:$P$68),IFERROR(SUMPRODUCT(($C$5:$C$68=$B85)*S$5:S$68,$P$5:$P$68)/SUM(($C$5:$C$68=$B85)*$P$5:$P$68),IFERROR(SUMPRODUCT(($D$5:$D$68=$B85)*S$5:S$68,$P$5:$P$68)/SUM(($D$5:$D$68=$B85)*$P$5:$P$68),SUMPRODUCT(($E$5:$E$68=$B85)*S$5:S$68,$P$5:$P$68)/SUM(($E$5:$E$68=$B85)*$P$5:$P$68))))</f>
        <v>0</v>
      </c>
      <c r="U85" s="15" cm="1">
        <f t="array" ref="U85">IFERROR(SUMPRODUCT(($B$5:$B$68=$B85)*U$5:U$68,$P$5:$P$68)/SUM(($B$5:$B$68=$B85)*$P$5:$P$68),IFERROR(SUMPRODUCT(($C$5:$C$68=$B85)*U$5:U$68,$P$5:$P$68)/SUM(($C$5:$C$68=$B85)*$P$5:$P$68),IFERROR(SUMPRODUCT(($D$5:$D$68=$B85)*U$5:U$68,$P$5:$P$68)/SUM(($D$5:$D$68=$B85)*$P$5:$P$68),SUMPRODUCT(($E$5:$E$68=$B85)*U$5:U$68,$P$5:$P$68)/SUM(($E$5:$E$68=$B85)*$P$5:$P$68))))</f>
        <v>0.66884534593018008</v>
      </c>
      <c r="V85" s="15" cm="1">
        <f t="array" ref="V85">IFERROR(SUMPRODUCT(($B$5:$B$68=$B85)*V$5:V$68,$P$5:$P$68)/SUM(($B$5:$B$68=$B85)*$P$5:$P$68),IFERROR(SUMPRODUCT(($C$5:$C$68=$B85)*V$5:V$68,$P$5:$P$68)/SUM(($C$5:$C$68=$B85)*$P$5:$P$68),IFERROR(SUMPRODUCT(($D$5:$D$68=$B85)*V$5:V$68,$P$5:$P$68)/SUM(($D$5:$D$68=$B85)*$P$5:$P$68),SUMPRODUCT(($E$5:$E$68=$B85)*V$5:V$68,$P$5:$P$68)/SUM(($E$5:$E$68=$B85)*$P$5:$P$68))))</f>
        <v>0.58742624959688239</v>
      </c>
      <c r="W85" s="28"/>
    </row>
    <row r="86" spans="1:23" x14ac:dyDescent="0.15">
      <c r="A86" s="5" t="s">
        <v>330</v>
      </c>
      <c r="B86" s="6" t="s">
        <v>221</v>
      </c>
      <c r="G86" s="15" cm="1">
        <f t="array" ref="G86">IFERROR(SUMPRODUCT(($B$5:$B$68=$B86)*G$5:G$68,$H$5:$H$68)/SUM(($B$5:$B$68=$B86)*$H$5:$H$68),IFERROR(SUMPRODUCT(($C$5:$C$68=$B86)*G$5:G$68,$H$5:$H$68)/SUM(($C$5:$C$68=$B86)*$H$5:$H$68),IFERROR(SUMPRODUCT(($D$5:$D$68=$B86)*G$5:G$68,$H$5:$H$68)/SUM(($D$5:$D$68=$B86)*$H$5:$H$68),SUMPRODUCT(($E$5:$E$68=$B86)*G$5:G$68,$H$5:$H$68)/SUM(($E$5:$E$68=$B86)*$H$5:$H$68))))</f>
        <v>7.0004406322813018E-2</v>
      </c>
      <c r="J86" s="15" cm="1">
        <f t="array" ref="J86">IFERROR(SUMPRODUCT(($B$5:$B$68=$B86)*J$5:J$68,$K$5:$K$68)/SUM(($B$5:$B$68=$B86)*$K$5:$K$68),IFERROR(SUMPRODUCT(($C$5:$C$68=$B86)*J$5:J$68,$K$5:$K$68)/SUM(($C$5:$C$68=$B86)*$K$5:$K$68),IFERROR(SUMPRODUCT(($D$5:$D$68=$B86)*J$5:J$68,$K$5:$K$68)/SUM(($D$5:$D$68=$B86)*$K$5:$K$68),SUMPRODUCT(($E$5:$E$68=$B86)*J$5:J$68,$K$5:$K$68)/SUM(($E$5:$E$68=$B86)*$K$5:$K$68))))</f>
        <v>4.658929294687298E-2</v>
      </c>
      <c r="P86" s="18"/>
      <c r="Q86" s="28">
        <f t="shared" si="2"/>
        <v>14.298819713845171</v>
      </c>
      <c r="R86" s="15" cm="1">
        <f t="array" ref="R86">IFERROR(SUMPRODUCT(($B$5:$B$68=$B86)*R$5:R$68,$P$5:$P$68)/SUM(($B$5:$B$68=$B86)*$P$5:$P$68),IFERROR(SUMPRODUCT(($C$5:$C$68=$B86)*R$5:R$68,$P$5:$P$68)/SUM(($C$5:$C$68=$B86)*$P$5:$P$68),IFERROR(SUMPRODUCT(($D$5:$D$68=$B86)*R$5:R$68,$P$5:$P$68)/SUM(($D$5:$D$68=$B86)*$P$5:$P$68),SUMPRODUCT(($E$5:$E$68=$B86)*R$5:R$68,$P$5:$P$68)/SUM(($E$5:$E$68=$B86)*$P$5:$P$68))))</f>
        <v>3.2582614424994669</v>
      </c>
      <c r="S86" s="15" cm="1">
        <f t="array" ref="S86">IFERROR(SUMPRODUCT(($B$5:$B$68=$B86)*S$5:S$68,$P$5:$P$68)/SUM(($B$5:$B$68=$B86)*$P$5:$P$68),IFERROR(SUMPRODUCT(($C$5:$C$68=$B86)*S$5:S$68,$P$5:$P$68)/SUM(($C$5:$C$68=$B86)*$P$5:$P$68),IFERROR(SUMPRODUCT(($D$5:$D$68=$B86)*S$5:S$68,$P$5:$P$68)/SUM(($D$5:$D$68=$B86)*$P$5:$P$68),SUMPRODUCT(($E$5:$E$68=$B86)*S$5:S$68,$P$5:$P$68)/SUM(($E$5:$E$68=$B86)*$P$5:$P$68))))</f>
        <v>0</v>
      </c>
      <c r="U86" s="15" cm="1">
        <f t="array" ref="U86">IFERROR(SUMPRODUCT(($B$5:$B$68=$B86)*U$5:U$68,$P$5:$P$68)/SUM(($B$5:$B$68=$B86)*$P$5:$P$68),IFERROR(SUMPRODUCT(($C$5:$C$68=$B86)*U$5:U$68,$P$5:$P$68)/SUM(($C$5:$C$68=$B86)*$P$5:$P$68),IFERROR(SUMPRODUCT(($D$5:$D$68=$B86)*U$5:U$68,$P$5:$P$68)/SUM(($D$5:$D$68=$B86)*$P$5:$P$68),SUMPRODUCT(($E$5:$E$68=$B86)*U$5:U$68,$P$5:$P$68)/SUM(($E$5:$E$68=$B86)*$P$5:$P$68))))</f>
        <v>0.81657744124826959</v>
      </c>
      <c r="V86" s="15" cm="1">
        <f t="array" ref="V86">IFERROR(SUMPRODUCT(($B$5:$B$68=$B86)*V$5:V$68,$P$5:$P$68)/SUM(($B$5:$B$68=$B86)*$P$5:$P$68),IFERROR(SUMPRODUCT(($C$5:$C$68=$B86)*V$5:V$68,$P$5:$P$68)/SUM(($C$5:$C$68=$B86)*$P$5:$P$68),IFERROR(SUMPRODUCT(($D$5:$D$68=$B86)*V$5:V$68,$P$5:$P$68)/SUM(($D$5:$D$68=$B86)*$P$5:$P$68),SUMPRODUCT(($E$5:$E$68=$B86)*V$5:V$68,$P$5:$P$68)/SUM(($E$5:$E$68=$B86)*$P$5:$P$68))))</f>
        <v>0.94441452831676742</v>
      </c>
      <c r="W86" s="28"/>
    </row>
    <row r="87" spans="1:23" x14ac:dyDescent="0.15">
      <c r="A87" s="5" t="s">
        <v>356</v>
      </c>
      <c r="B87" s="6" t="s">
        <v>173</v>
      </c>
      <c r="G87" s="15" cm="1">
        <f t="array" ref="G87">IFERROR(SUMPRODUCT(($B$5:$B$68=$B87)*G$5:G$68,$H$5:$H$68)/SUM(($B$5:$B$68=$B87)*$H$5:$H$68),IFERROR(SUMPRODUCT(($C$5:$C$68=$B87)*G$5:G$68,$H$5:$H$68)/SUM(($C$5:$C$68=$B87)*$H$5:$H$68),IFERROR(SUMPRODUCT(($D$5:$D$68=$B87)*G$5:G$68,$H$5:$H$68)/SUM(($D$5:$D$68=$B87)*$H$5:$H$68),SUMPRODUCT(($E$5:$E$68=$B87)*G$5:G$68,$H$5:$H$68)/SUM(($E$5:$E$68=$B87)*$H$5:$H$68))))</f>
        <v>0.2201185822484337</v>
      </c>
      <c r="J87" s="15" cm="1">
        <f t="array" ref="J87">IFERROR(SUMPRODUCT(($B$5:$B$68=$B87)*J$5:J$68,$K$5:$K$68)/SUM(($B$5:$B$68=$B87)*$K$5:$K$68),IFERROR(SUMPRODUCT(($C$5:$C$68=$B87)*J$5:J$68,$K$5:$K$68)/SUM(($C$5:$C$68=$B87)*$K$5:$K$68),IFERROR(SUMPRODUCT(($D$5:$D$68=$B87)*J$5:J$68,$K$5:$K$68)/SUM(($D$5:$D$68=$B87)*$K$5:$K$68),SUMPRODUCT(($E$5:$E$68=$B87)*J$5:J$68,$K$5:$K$68)/SUM(($E$5:$E$68=$B87)*$K$5:$K$68))))</f>
        <v>0.22144473697589778</v>
      </c>
      <c r="P87" s="18"/>
      <c r="Q87" s="28">
        <f t="shared" si="2"/>
        <v>36.25966000255238</v>
      </c>
      <c r="R87" s="15" cm="1">
        <f t="array" ref="R87">IFERROR(SUMPRODUCT(($B$5:$B$68=$B87)*R$5:R$68,$P$5:$P$68)/SUM(($B$5:$B$68=$B87)*$P$5:$P$68),IFERROR(SUMPRODUCT(($C$5:$C$68=$B87)*R$5:R$68,$P$5:$P$68)/SUM(($C$5:$C$68=$B87)*$P$5:$P$68),IFERROR(SUMPRODUCT(($D$5:$D$68=$B87)*R$5:R$68,$P$5:$P$68)/SUM(($D$5:$D$68=$B87)*$P$5:$P$68),SUMPRODUCT(($E$5:$E$68=$B87)*R$5:R$68,$P$5:$P$68)/SUM(($E$5:$E$68=$B87)*$P$5:$P$68))))</f>
        <v>6.1071928683366004</v>
      </c>
      <c r="S87" s="15" cm="1">
        <f t="array" ref="S87">IFERROR(SUMPRODUCT(($B$5:$B$68=$B87)*S$5:S$68,$P$5:$P$68)/SUM(($B$5:$B$68=$B87)*$P$5:$P$68),IFERROR(SUMPRODUCT(($C$5:$C$68=$B87)*S$5:S$68,$P$5:$P$68)/SUM(($C$5:$C$68=$B87)*$P$5:$P$68),IFERROR(SUMPRODUCT(($D$5:$D$68=$B87)*S$5:S$68,$P$5:$P$68)/SUM(($D$5:$D$68=$B87)*$P$5:$P$68),SUMPRODUCT(($E$5:$E$68=$B87)*S$5:S$68,$P$5:$P$68)/SUM(($E$5:$E$68=$B87)*$P$5:$P$68))))</f>
        <v>0</v>
      </c>
      <c r="U87" s="15" cm="1">
        <f t="array" ref="U87">IFERROR(SUMPRODUCT(($B$5:$B$68=$B87)*U$5:U$68,$P$5:$P$68)/SUM(($B$5:$B$68=$B87)*$P$5:$P$68),IFERROR(SUMPRODUCT(($C$5:$C$68=$B87)*U$5:U$68,$P$5:$P$68)/SUM(($C$5:$C$68=$B87)*$P$5:$P$68),IFERROR(SUMPRODUCT(($D$5:$D$68=$B87)*U$5:U$68,$P$5:$P$68)/SUM(($D$5:$D$68=$B87)*$P$5:$P$68),SUMPRODUCT(($E$5:$E$68=$B87)*U$5:U$68,$P$5:$P$68)/SUM(($E$5:$E$68=$B87)*$P$5:$P$68))))</f>
        <v>0.8165774412482697</v>
      </c>
      <c r="V87" s="15" cm="1">
        <f t="array" ref="V87">IFERROR(SUMPRODUCT(($B$5:$B$68=$B87)*V$5:V$68,$P$5:$P$68)/SUM(($B$5:$B$68=$B87)*$P$5:$P$68),IFERROR(SUMPRODUCT(($C$5:$C$68=$B87)*V$5:V$68,$P$5:$P$68)/SUM(($C$5:$C$68=$B87)*$P$5:$P$68),IFERROR(SUMPRODUCT(($D$5:$D$68=$B87)*V$5:V$68,$P$5:$P$68)/SUM(($D$5:$D$68=$B87)*$P$5:$P$68),SUMPRODUCT(($E$5:$E$68=$B87)*V$5:V$68,$P$5:$P$68)/SUM(($E$5:$E$68=$B87)*$P$5:$P$68))))</f>
        <v>0.94441452831676753</v>
      </c>
      <c r="W87" s="28"/>
    </row>
    <row r="88" spans="1:23" x14ac:dyDescent="0.15">
      <c r="A88" s="5" t="s">
        <v>328</v>
      </c>
      <c r="B88" s="6" t="s">
        <v>434</v>
      </c>
      <c r="G88" s="15" cm="1">
        <f t="array" ref="G88">IFERROR(SUMPRODUCT(($B$5:$B$68=$B88)*G$5:G$68,$H$5:$H$68)/SUM(($B$5:$B$68=$B88)*$H$5:$H$68),IFERROR(SUMPRODUCT(($C$5:$C$68=$B88)*G$5:G$68,$H$5:$H$68)/SUM(($C$5:$C$68=$B88)*$H$5:$H$68),IFERROR(SUMPRODUCT(($D$5:$D$68=$B88)*G$5:G$68,$H$5:$H$68)/SUM(($D$5:$D$68=$B88)*$H$5:$H$68),SUMPRODUCT(($E$5:$E$68=$B88)*G$5:G$68,$H$5:$H$68)/SUM(($E$5:$E$68=$B88)*$H$5:$H$68))))</f>
        <v>0.20263440019098061</v>
      </c>
      <c r="J88" s="15" cm="1">
        <f t="array" ref="J88">IFERROR(SUMPRODUCT(($B$5:$B$68=$B88)*J$5:J$68,$K$5:$K$68)/SUM(($B$5:$B$68=$B88)*$K$5:$K$68),IFERROR(SUMPRODUCT(($C$5:$C$68=$B88)*J$5:J$68,$K$5:$K$68)/SUM(($C$5:$C$68=$B88)*$K$5:$K$68),IFERROR(SUMPRODUCT(($D$5:$D$68=$B88)*J$5:J$68,$K$5:$K$68)/SUM(($D$5:$D$68=$B88)*$K$5:$K$68),SUMPRODUCT(($E$5:$E$68=$B88)*J$5:J$68,$K$5:$K$68)/SUM(($E$5:$E$68=$B88)*$K$5:$K$68))))</f>
        <v>0.19255330027571974</v>
      </c>
      <c r="P88" s="18"/>
      <c r="Q88" s="28">
        <f t="shared" si="2"/>
        <v>38.758715836497529</v>
      </c>
      <c r="R88" s="15" cm="1">
        <f t="array" ref="R88">IFERROR(SUMPRODUCT(($B$5:$B$68=$B88)*R$5:R$68,$P$5:$P$68)/SUM(($B$5:$B$68=$B88)*$P$5:$P$68),IFERROR(SUMPRODUCT(($C$5:$C$68=$B88)*R$5:R$68,$P$5:$P$68)/SUM(($C$5:$C$68=$B88)*$P$5:$P$68),IFERROR(SUMPRODUCT(($D$5:$D$68=$B88)*R$5:R$68,$P$5:$P$68)/SUM(($D$5:$D$68=$B88)*$P$5:$P$68),SUMPRODUCT(($E$5:$E$68=$B88)*R$5:R$68,$P$5:$P$68)/SUM(($E$5:$E$68=$B88)*$P$5:$P$68))))</f>
        <v>4.968</v>
      </c>
      <c r="S88" s="15" cm="1">
        <f t="array" ref="S88">IFERROR(SUMPRODUCT(($B$5:$B$68=$B88)*S$5:S$68,$P$5:$P$68)/SUM(($B$5:$B$68=$B88)*$P$5:$P$68),IFERROR(SUMPRODUCT(($C$5:$C$68=$B88)*S$5:S$68,$P$5:$P$68)/SUM(($C$5:$C$68=$B88)*$P$5:$P$68),IFERROR(SUMPRODUCT(($D$5:$D$68=$B88)*S$5:S$68,$P$5:$P$68)/SUM(($D$5:$D$68=$B88)*$P$5:$P$68),SUMPRODUCT(($E$5:$E$68=$B88)*S$5:S$68,$P$5:$P$68)/SUM(($E$5:$E$68=$B88)*$P$5:$P$68))))</f>
        <v>0</v>
      </c>
      <c r="U88" s="15" cm="1">
        <f t="array" ref="U88">IFERROR(SUMPRODUCT(($B$5:$B$68=$B88)*U$5:U$68,$P$5:$P$68)/SUM(($B$5:$B$68=$B88)*$P$5:$P$68),IFERROR(SUMPRODUCT(($C$5:$C$68=$B88)*U$5:U$68,$P$5:$P$68)/SUM(($C$5:$C$68=$B88)*$P$5:$P$68),IFERROR(SUMPRODUCT(($D$5:$D$68=$B88)*U$5:U$68,$P$5:$P$68)/SUM(($D$5:$D$68=$B88)*$P$5:$P$68),SUMPRODUCT(($E$5:$E$68=$B88)*U$5:U$68,$P$5:$P$68)/SUM(($E$5:$E$68=$B88)*$P$5:$P$68))))</f>
        <v>0.81657744124826948</v>
      </c>
      <c r="V88" s="15" cm="1">
        <f t="array" ref="V88">IFERROR(SUMPRODUCT(($B$5:$B$68=$B88)*V$5:V$68,$P$5:$P$68)/SUM(($B$5:$B$68=$B88)*$P$5:$P$68),IFERROR(SUMPRODUCT(($C$5:$C$68=$B88)*V$5:V$68,$P$5:$P$68)/SUM(($C$5:$C$68=$B88)*$P$5:$P$68),IFERROR(SUMPRODUCT(($D$5:$D$68=$B88)*V$5:V$68,$P$5:$P$68)/SUM(($D$5:$D$68=$B88)*$P$5:$P$68),SUMPRODUCT(($E$5:$E$68=$B88)*V$5:V$68,$P$5:$P$68)/SUM(($E$5:$E$68=$B88)*$P$5:$P$68))))</f>
        <v>0.94441452831676742</v>
      </c>
      <c r="W88" s="28"/>
    </row>
    <row r="89" spans="1:23" x14ac:dyDescent="0.15">
      <c r="A89" s="5" t="s">
        <v>405</v>
      </c>
      <c r="B89" s="6" t="s">
        <v>463</v>
      </c>
      <c r="G89" s="15" cm="1">
        <f t="array" ref="G89">IFERROR(SUMPRODUCT(($B$5:$B$68=$B89)*G$5:G$68,$H$5:$H$68)/SUM(($B$5:$B$68=$B89)*$H$5:$H$68),IFERROR(SUMPRODUCT(($C$5:$C$68=$B89)*G$5:G$68,$H$5:$H$68)/SUM(($C$5:$C$68=$B89)*$H$5:$H$68),IFERROR(SUMPRODUCT(($D$5:$D$68=$B89)*G$5:G$68,$H$5:$H$68)/SUM(($D$5:$D$68=$B89)*$H$5:$H$68),SUMPRODUCT(($E$5:$E$68=$B89)*G$5:G$68,$H$5:$H$68)/SUM(($E$5:$E$68=$B89)*$H$5:$H$68))))</f>
        <v>0.19771476467585747</v>
      </c>
      <c r="J89" s="15" cm="1">
        <f t="array" ref="J89">IFERROR(SUMPRODUCT(($B$5:$B$68=$B89)*J$5:J$68,$K$5:$K$68)/SUM(($B$5:$B$68=$B89)*$K$5:$K$68),IFERROR(SUMPRODUCT(($C$5:$C$68=$B89)*J$5:J$68,$K$5:$K$68)/SUM(($C$5:$C$68=$B89)*$K$5:$K$68),IFERROR(SUMPRODUCT(($D$5:$D$68=$B89)*J$5:J$68,$K$5:$K$68)/SUM(($D$5:$D$68=$B89)*$K$5:$K$68),SUMPRODUCT(($E$5:$E$68=$B89)*J$5:J$68,$K$5:$K$68)/SUM(($E$5:$E$68=$B89)*$K$5:$K$68))))</f>
        <v>0.20319123541476034</v>
      </c>
      <c r="P89" s="18"/>
      <c r="Q89" s="28">
        <f t="shared" si="2"/>
        <v>40.955553083970223</v>
      </c>
      <c r="R89" s="15" cm="1">
        <f t="array" ref="R89">IFERROR(SUMPRODUCT(($B$5:$B$68=$B89)*R$5:R$68,$P$5:$P$68)/SUM(($B$5:$B$68=$B89)*$P$5:$P$68),IFERROR(SUMPRODUCT(($C$5:$C$68=$B89)*R$5:R$68,$P$5:$P$68)/SUM(($C$5:$C$68=$B89)*$P$5:$P$68),IFERROR(SUMPRODUCT(($D$5:$D$68=$B89)*R$5:R$68,$P$5:$P$68)/SUM(($D$5:$D$68=$B89)*$P$5:$P$68),SUMPRODUCT(($E$5:$E$68=$B89)*R$5:R$68,$P$5:$P$68)/SUM(($E$5:$E$68=$B89)*$P$5:$P$68))))</f>
        <v>4.9612621516345303</v>
      </c>
      <c r="S89" s="15" cm="1">
        <f t="array" ref="S89">IFERROR(SUMPRODUCT(($B$5:$B$68=$B89)*S$5:S$68,$P$5:$P$68)/SUM(($B$5:$B$68=$B89)*$P$5:$P$68),IFERROR(SUMPRODUCT(($C$5:$C$68=$B89)*S$5:S$68,$P$5:$P$68)/SUM(($C$5:$C$68=$B89)*$P$5:$P$68),IFERROR(SUMPRODUCT(($D$5:$D$68=$B89)*S$5:S$68,$P$5:$P$68)/SUM(($D$5:$D$68=$B89)*$P$5:$P$68),SUMPRODUCT(($E$5:$E$68=$B89)*S$5:S$68,$P$5:$P$68)/SUM(($E$5:$E$68=$B89)*$P$5:$P$68))))</f>
        <v>0</v>
      </c>
      <c r="U89" s="15" cm="1">
        <f t="array" ref="U89">IFERROR(SUMPRODUCT(($B$5:$B$68=$B89)*U$5:U$68,$P$5:$P$68)/SUM(($B$5:$B$68=$B89)*$P$5:$P$68),IFERROR(SUMPRODUCT(($C$5:$C$68=$B89)*U$5:U$68,$P$5:$P$68)/SUM(($C$5:$C$68=$B89)*$P$5:$P$68),IFERROR(SUMPRODUCT(($D$5:$D$68=$B89)*U$5:U$68,$P$5:$P$68)/SUM(($D$5:$D$68=$B89)*$P$5:$P$68),SUMPRODUCT(($E$5:$E$68=$B89)*U$5:U$68,$P$5:$P$68)/SUM(($E$5:$E$68=$B89)*$P$5:$P$68))))</f>
        <v>0.81657744124826959</v>
      </c>
      <c r="V89" s="15" cm="1">
        <f t="array" ref="V89">IFERROR(SUMPRODUCT(($B$5:$B$68=$B89)*V$5:V$68,$P$5:$P$68)/SUM(($B$5:$B$68=$B89)*$P$5:$P$68),IFERROR(SUMPRODUCT(($C$5:$C$68=$B89)*V$5:V$68,$P$5:$P$68)/SUM(($C$5:$C$68=$B89)*$P$5:$P$68),IFERROR(SUMPRODUCT(($D$5:$D$68=$B89)*V$5:V$68,$P$5:$P$68)/SUM(($D$5:$D$68=$B89)*$P$5:$P$68),SUMPRODUCT(($E$5:$E$68=$B89)*V$5:V$68,$P$5:$P$68)/SUM(($E$5:$E$68=$B89)*$P$5:$P$68))))</f>
        <v>0.94441452831676731</v>
      </c>
      <c r="W89" s="28"/>
    </row>
    <row r="90" spans="1:23" x14ac:dyDescent="0.15">
      <c r="P90" s="18"/>
    </row>
    <row r="91" spans="1:23" x14ac:dyDescent="0.15">
      <c r="P91" s="18"/>
    </row>
    <row r="92" spans="1:23" x14ac:dyDescent="0.15">
      <c r="P92" s="18"/>
    </row>
  </sheetData>
  <conditionalFormatting sqref="M2:M69">
    <cfRule type="cellIs" dxfId="1" priority="1" operator="equal">
      <formula>"Check"</formula>
    </cfRule>
    <cfRule type="cellIs" dxfId="0" priority="2" operator="equal">
      <formula>"Confirmed"</formula>
    </cfRule>
  </conditionalFormatting>
  <hyperlinks>
    <hyperlink ref="Q25" r:id="rId1" xr:uid="{BDA5FADF-839C-4DE7-82CE-86E6A836DDC0}"/>
    <hyperlink ref="Q24" r:id="rId2" xr:uid="{04FFADA7-4EBD-425B-844D-D2078A4361DF}"/>
  </hyperlinks>
  <pageMargins left="0.7" right="0.7" top="0.75" bottom="0.75" header="0.3" footer="0.3"/>
  <pageSetup paperSize="9" orientation="portrait" verticalDpi="0"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529B1-990E-4A36-A39E-CB671DA8004D}">
  <dimension ref="A1:N492"/>
  <sheetViews>
    <sheetView zoomScale="115" workbookViewId="0">
      <selection activeCell="J1" sqref="J1"/>
    </sheetView>
  </sheetViews>
  <sheetFormatPr baseColWidth="10" defaultColWidth="8.83203125" defaultRowHeight="15" x14ac:dyDescent="0.2"/>
  <cols>
    <col min="1" max="1" width="63.5" customWidth="1"/>
    <col min="2" max="2" width="56.5" customWidth="1"/>
    <col min="3" max="5" width="21.83203125" customWidth="1"/>
    <col min="7" max="7" width="52.1640625" customWidth="1"/>
    <col min="12" max="12" width="118" customWidth="1"/>
    <col min="13" max="13" width="11.1640625" customWidth="1"/>
    <col min="14" max="14" width="13.6640625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29" t="s">
        <v>492</v>
      </c>
      <c r="E1" s="1" t="s">
        <v>322</v>
      </c>
      <c r="F1" s="1" t="s">
        <v>3</v>
      </c>
      <c r="G1" s="1" t="s">
        <v>323</v>
      </c>
      <c r="H1" s="1" t="s">
        <v>404</v>
      </c>
      <c r="I1" s="1" t="s">
        <v>411</v>
      </c>
      <c r="J1" s="1" t="s">
        <v>406</v>
      </c>
      <c r="K1" s="1" t="s">
        <v>407</v>
      </c>
      <c r="L1" s="1" t="s">
        <v>408</v>
      </c>
      <c r="M1" s="3" t="s">
        <v>414</v>
      </c>
      <c r="N1" s="3" t="s">
        <v>415</v>
      </c>
    </row>
    <row r="2" spans="1:14" x14ac:dyDescent="0.2">
      <c r="A2" t="s">
        <v>11</v>
      </c>
      <c r="B2" t="s">
        <v>5</v>
      </c>
      <c r="C2" t="s">
        <v>6</v>
      </c>
      <c r="D2" t="s">
        <v>256</v>
      </c>
      <c r="E2" t="s">
        <v>7</v>
      </c>
      <c r="F2">
        <v>4</v>
      </c>
      <c r="G2" s="30" t="s">
        <v>324</v>
      </c>
      <c r="H2" s="2">
        <f>INDEX('Data sources'!G:G,MATCH(G2,'Data sources'!A:A,0),1)</f>
        <v>1.641</v>
      </c>
      <c r="I2" s="2">
        <f>INDEX('Data sources'!J:J,MATCH(G2,'Data sources'!A:A,0),1)</f>
        <v>1.464</v>
      </c>
      <c r="J2" s="2">
        <f>INDEX('Data sources'!R:R,MATCH(G2,'Data sources'!A:A,0),1)</f>
        <v>12.024000000000001</v>
      </c>
      <c r="K2" s="2">
        <f>INDEX('Data sources'!S:S,MATCH(G2,'Data sources'!A:A,0),1)</f>
        <v>0</v>
      </c>
      <c r="L2" t="str">
        <f t="shared" ref="L2:L65" si="0">IF(B2="",A2,A2&amp;"_"&amp;B2)</f>
        <v>Combustion installations with a rated thermal input exceeding 20 MW_Aluminium production</v>
      </c>
      <c r="M2">
        <f>INDEX('Data sources'!U:U,MATCH($G2,'Data sources'!$A:$A,0),1)</f>
        <v>0.83923856134650876</v>
      </c>
      <c r="N2">
        <f>INDEX('Data sources'!V:V,MATCH($G2,'Data sources'!$A:$A,0),1)</f>
        <v>0.99183492762409997</v>
      </c>
    </row>
    <row r="3" spans="1:14" x14ac:dyDescent="0.2">
      <c r="A3" t="s">
        <v>11</v>
      </c>
      <c r="B3" t="s">
        <v>105</v>
      </c>
      <c r="C3" t="s">
        <v>81</v>
      </c>
      <c r="D3" t="s">
        <v>409</v>
      </c>
      <c r="E3" t="s">
        <v>106</v>
      </c>
      <c r="F3">
        <v>1</v>
      </c>
      <c r="G3" s="30" t="s">
        <v>327</v>
      </c>
      <c r="H3" s="2">
        <f>INDEX('Data sources'!G:G,MATCH(G3,'Data sources'!A:A,0),1)</f>
        <v>0.81745070728588098</v>
      </c>
      <c r="I3" s="2">
        <f>INDEX('Data sources'!J:J,MATCH(G3,'Data sources'!A:A,0),1)</f>
        <v>0.6991394038416423</v>
      </c>
      <c r="J3" s="2">
        <f>INDEX('Data sources'!R:R,MATCH(G3,'Data sources'!A:A,0),1)</f>
        <v>4.3200000000000021</v>
      </c>
      <c r="K3" s="2">
        <f>INDEX('Data sources'!S:S,MATCH(G3,'Data sources'!A:A,0),1)</f>
        <v>0</v>
      </c>
      <c r="L3" t="str">
        <f t="shared" si="0"/>
        <v>Combustion installations with a rated thermal input exceeding 20 MW_Manufacture of cement</v>
      </c>
      <c r="M3">
        <f>INDEX('Data sources'!U:U,MATCH($G3,'Data sources'!$A:$A,0),1)</f>
        <v>0.66884534593017986</v>
      </c>
      <c r="N3">
        <f>INDEX('Data sources'!V:V,MATCH($G3,'Data sources'!$A:$A,0),1)</f>
        <v>0.58742624959688228</v>
      </c>
    </row>
    <row r="4" spans="1:14" x14ac:dyDescent="0.2">
      <c r="A4" t="s">
        <v>11</v>
      </c>
      <c r="B4" t="s">
        <v>119</v>
      </c>
      <c r="C4" t="s">
        <v>81</v>
      </c>
      <c r="D4" t="s">
        <v>409</v>
      </c>
      <c r="E4" t="s">
        <v>106</v>
      </c>
      <c r="F4">
        <v>1</v>
      </c>
      <c r="G4" s="30" t="s">
        <v>327</v>
      </c>
      <c r="H4" s="2">
        <f>INDEX('Data sources'!G:G,MATCH(G4,'Data sources'!A:A,0),1)</f>
        <v>0.81745070728588098</v>
      </c>
      <c r="I4" s="2">
        <f>INDEX('Data sources'!J:J,MATCH(G4,'Data sources'!A:A,0),1)</f>
        <v>0.6991394038416423</v>
      </c>
      <c r="J4" s="2">
        <f>INDEX('Data sources'!R:R,MATCH(G4,'Data sources'!A:A,0),1)</f>
        <v>4.3200000000000021</v>
      </c>
      <c r="K4" s="2">
        <f>INDEX('Data sources'!S:S,MATCH(G4,'Data sources'!A:A,0),1)</f>
        <v>0</v>
      </c>
      <c r="L4" t="str">
        <f t="shared" si="0"/>
        <v>Combustion installations with a rated thermal input exceeding 20 MW_Manufacture of concrete products for construction purposes</v>
      </c>
      <c r="M4">
        <f>INDEX('Data sources'!U:U,MATCH($G4,'Data sources'!$A:$A,0),1)</f>
        <v>0.66884534593017986</v>
      </c>
      <c r="N4">
        <f>INDEX('Data sources'!V:V,MATCH($G4,'Data sources'!$A:$A,0),1)</f>
        <v>0.58742624959688228</v>
      </c>
    </row>
    <row r="5" spans="1:14" x14ac:dyDescent="0.2">
      <c r="A5" t="s">
        <v>11</v>
      </c>
      <c r="B5" t="s">
        <v>137</v>
      </c>
      <c r="C5" t="s">
        <v>81</v>
      </c>
      <c r="D5" t="s">
        <v>409</v>
      </c>
      <c r="E5" t="s">
        <v>106</v>
      </c>
      <c r="F5">
        <v>1</v>
      </c>
      <c r="G5" s="30" t="s">
        <v>327</v>
      </c>
      <c r="H5" s="2">
        <f>INDEX('Data sources'!G:G,MATCH(G5,'Data sources'!A:A,0),1)</f>
        <v>0.81745070728588098</v>
      </c>
      <c r="I5" s="2">
        <f>INDEX('Data sources'!J:J,MATCH(G5,'Data sources'!A:A,0),1)</f>
        <v>0.6991394038416423</v>
      </c>
      <c r="J5" s="2">
        <f>INDEX('Data sources'!R:R,MATCH(G5,'Data sources'!A:A,0),1)</f>
        <v>4.3200000000000021</v>
      </c>
      <c r="K5" s="2">
        <f>INDEX('Data sources'!S:S,MATCH(G5,'Data sources'!A:A,0),1)</f>
        <v>0</v>
      </c>
      <c r="L5" t="str">
        <f t="shared" si="0"/>
        <v>Combustion installations with a rated thermal input exceeding 20 MW_Manufacture of fibre cement</v>
      </c>
      <c r="M5">
        <f>INDEX('Data sources'!U:U,MATCH($G5,'Data sources'!$A:$A,0),1)</f>
        <v>0.66884534593017986</v>
      </c>
      <c r="N5">
        <f>INDEX('Data sources'!V:V,MATCH($G5,'Data sources'!$A:$A,0),1)</f>
        <v>0.58742624959688228</v>
      </c>
    </row>
    <row r="6" spans="1:14" x14ac:dyDescent="0.2">
      <c r="A6" t="s">
        <v>11</v>
      </c>
      <c r="B6" t="s">
        <v>100</v>
      </c>
      <c r="C6" t="s">
        <v>81</v>
      </c>
      <c r="D6" t="s">
        <v>409</v>
      </c>
      <c r="E6" t="s">
        <v>101</v>
      </c>
      <c r="F6">
        <v>3</v>
      </c>
      <c r="G6" s="30" t="s">
        <v>326</v>
      </c>
      <c r="H6" s="2">
        <f>INDEX('Data sources'!G:G,MATCH(G6,'Data sources'!A:A,0),1)</f>
        <v>0.12876363322314929</v>
      </c>
      <c r="I6" s="2">
        <f>INDEX('Data sources'!J:J,MATCH(G6,'Data sources'!A:A,0),1)</f>
        <v>9.509036148184509E-2</v>
      </c>
      <c r="J6" s="2">
        <f>INDEX('Data sources'!R:R,MATCH(G6,'Data sources'!A:A,0),1)</f>
        <v>3.0746807959647584</v>
      </c>
      <c r="K6" s="2">
        <f>INDEX('Data sources'!S:S,MATCH(G6,'Data sources'!A:A,0),1)</f>
        <v>0</v>
      </c>
      <c r="L6" t="str">
        <f t="shared" si="0"/>
        <v>Combustion installations with a rated thermal input exceeding 20 MW_Manufacture of bricks, tiles and construction products, in baked clay</v>
      </c>
      <c r="M6">
        <f>INDEX('Data sources'!U:U,MATCH($G6,'Data sources'!$A:$A,0),1)</f>
        <v>0.66884534593017986</v>
      </c>
      <c r="N6">
        <f>INDEX('Data sources'!V:V,MATCH($G6,'Data sources'!$A:$A,0),1)</f>
        <v>0.58742624959688228</v>
      </c>
    </row>
    <row r="7" spans="1:14" x14ac:dyDescent="0.2">
      <c r="A7" t="s">
        <v>11</v>
      </c>
      <c r="B7" t="s">
        <v>108</v>
      </c>
      <c r="C7" t="s">
        <v>81</v>
      </c>
      <c r="D7" t="s">
        <v>409</v>
      </c>
      <c r="E7" t="s">
        <v>101</v>
      </c>
      <c r="F7">
        <v>4</v>
      </c>
      <c r="G7" s="30" t="s">
        <v>326</v>
      </c>
      <c r="H7" s="2">
        <f>INDEX('Data sources'!G:G,MATCH(G7,'Data sources'!A:A,0),1)</f>
        <v>0.12876363322314929</v>
      </c>
      <c r="I7" s="2">
        <f>INDEX('Data sources'!J:J,MATCH(G7,'Data sources'!A:A,0),1)</f>
        <v>9.509036148184509E-2</v>
      </c>
      <c r="J7" s="2">
        <f>INDEX('Data sources'!R:R,MATCH(G7,'Data sources'!A:A,0),1)</f>
        <v>3.0746807959647584</v>
      </c>
      <c r="K7" s="2">
        <f>INDEX('Data sources'!S:S,MATCH(G7,'Data sources'!A:A,0),1)</f>
        <v>0</v>
      </c>
      <c r="L7" t="str">
        <f t="shared" si="0"/>
        <v>Combustion installations with a rated thermal input exceeding 20 MW_Manufacture of ceramic household and ornamental articles</v>
      </c>
      <c r="M7">
        <f>INDEX('Data sources'!U:U,MATCH($G7,'Data sources'!$A:$A,0),1)</f>
        <v>0.66884534593017986</v>
      </c>
      <c r="N7">
        <f>INDEX('Data sources'!V:V,MATCH($G7,'Data sources'!$A:$A,0),1)</f>
        <v>0.58742624959688228</v>
      </c>
    </row>
    <row r="8" spans="1:14" x14ac:dyDescent="0.2">
      <c r="A8" t="s">
        <v>11</v>
      </c>
      <c r="B8" t="s">
        <v>110</v>
      </c>
      <c r="C8" t="s">
        <v>81</v>
      </c>
      <c r="D8" t="s">
        <v>409</v>
      </c>
      <c r="E8" t="s">
        <v>101</v>
      </c>
      <c r="F8">
        <v>1</v>
      </c>
      <c r="G8" s="30" t="s">
        <v>326</v>
      </c>
      <c r="H8" s="2">
        <f>INDEX('Data sources'!G:G,MATCH(G8,'Data sources'!A:A,0),1)</f>
        <v>0.12876363322314929</v>
      </c>
      <c r="I8" s="2">
        <f>INDEX('Data sources'!J:J,MATCH(G8,'Data sources'!A:A,0),1)</f>
        <v>9.509036148184509E-2</v>
      </c>
      <c r="J8" s="2">
        <f>INDEX('Data sources'!R:R,MATCH(G8,'Data sources'!A:A,0),1)</f>
        <v>3.0746807959647584</v>
      </c>
      <c r="K8" s="2">
        <f>INDEX('Data sources'!S:S,MATCH(G8,'Data sources'!A:A,0),1)</f>
        <v>0</v>
      </c>
      <c r="L8" t="str">
        <f t="shared" si="0"/>
        <v>Combustion installations with a rated thermal input exceeding 20 MW_Manufacture of ceramic sanitary fixtures</v>
      </c>
      <c r="M8">
        <f>INDEX('Data sources'!U:U,MATCH($G8,'Data sources'!$A:$A,0),1)</f>
        <v>0.66884534593017986</v>
      </c>
      <c r="N8">
        <f>INDEX('Data sources'!V:V,MATCH($G8,'Data sources'!$A:$A,0),1)</f>
        <v>0.58742624959688228</v>
      </c>
    </row>
    <row r="9" spans="1:14" x14ac:dyDescent="0.2">
      <c r="A9" t="s">
        <v>11</v>
      </c>
      <c r="B9" t="s">
        <v>199</v>
      </c>
      <c r="C9" t="s">
        <v>81</v>
      </c>
      <c r="D9" t="s">
        <v>409</v>
      </c>
      <c r="E9" t="s">
        <v>101</v>
      </c>
      <c r="F9">
        <v>1</v>
      </c>
      <c r="G9" s="30" t="s">
        <v>326</v>
      </c>
      <c r="H9" s="2">
        <f>INDEX('Data sources'!G:G,MATCH(G9,'Data sources'!A:A,0),1)</f>
        <v>0.12876363322314929</v>
      </c>
      <c r="I9" s="2">
        <f>INDEX('Data sources'!J:J,MATCH(G9,'Data sources'!A:A,0),1)</f>
        <v>9.509036148184509E-2</v>
      </c>
      <c r="J9" s="2">
        <f>INDEX('Data sources'!R:R,MATCH(G9,'Data sources'!A:A,0),1)</f>
        <v>3.0746807959647584</v>
      </c>
      <c r="K9" s="2">
        <f>INDEX('Data sources'!S:S,MATCH(G9,'Data sources'!A:A,0),1)</f>
        <v>0</v>
      </c>
      <c r="L9" t="str">
        <f t="shared" si="0"/>
        <v>Combustion installations with a rated thermal input exceeding 20 MW_Manufacture of other porcelain and ceramic products</v>
      </c>
      <c r="M9">
        <f>INDEX('Data sources'!U:U,MATCH($G9,'Data sources'!$A:$A,0),1)</f>
        <v>0.66884534593017986</v>
      </c>
      <c r="N9">
        <f>INDEX('Data sources'!V:V,MATCH($G9,'Data sources'!$A:$A,0),1)</f>
        <v>0.58742624959688228</v>
      </c>
    </row>
    <row r="10" spans="1:14" x14ac:dyDescent="0.2">
      <c r="A10" t="s">
        <v>11</v>
      </c>
      <c r="B10" t="s">
        <v>281</v>
      </c>
      <c r="C10" t="s">
        <v>81</v>
      </c>
      <c r="D10" t="s">
        <v>409</v>
      </c>
      <c r="E10" t="s">
        <v>101</v>
      </c>
      <c r="F10">
        <v>1</v>
      </c>
      <c r="G10" s="30" t="s">
        <v>326</v>
      </c>
      <c r="H10" s="2">
        <f>INDEX('Data sources'!G:G,MATCH(G10,'Data sources'!A:A,0),1)</f>
        <v>0.12876363322314929</v>
      </c>
      <c r="I10" s="2">
        <f>INDEX('Data sources'!J:J,MATCH(G10,'Data sources'!A:A,0),1)</f>
        <v>9.509036148184509E-2</v>
      </c>
      <c r="J10" s="2">
        <f>INDEX('Data sources'!R:R,MATCH(G10,'Data sources'!A:A,0),1)</f>
        <v>3.0746807959647584</v>
      </c>
      <c r="K10" s="2">
        <f>INDEX('Data sources'!S:S,MATCH(G10,'Data sources'!A:A,0),1)</f>
        <v>0</v>
      </c>
      <c r="L10" t="str">
        <f t="shared" si="0"/>
        <v>Combustion installations with a rated thermal input exceeding 20 MW_Production of abrasive products</v>
      </c>
      <c r="M10">
        <f>INDEX('Data sources'!U:U,MATCH($G10,'Data sources'!$A:$A,0),1)</f>
        <v>0.66884534593017986</v>
      </c>
      <c r="N10">
        <f>INDEX('Data sources'!V:V,MATCH($G10,'Data sources'!$A:$A,0),1)</f>
        <v>0.58742624959688228</v>
      </c>
    </row>
    <row r="11" spans="1:14" x14ac:dyDescent="0.2">
      <c r="A11" t="s">
        <v>11</v>
      </c>
      <c r="B11" t="s">
        <v>93</v>
      </c>
      <c r="C11" t="s">
        <v>94</v>
      </c>
      <c r="D11" t="s">
        <v>95</v>
      </c>
      <c r="E11" t="s">
        <v>94</v>
      </c>
      <c r="F11">
        <v>1</v>
      </c>
      <c r="G11" s="30" t="s">
        <v>342</v>
      </c>
      <c r="H11" s="2">
        <f>INDEX('Data sources'!G:G,MATCH(G11,'Data sources'!A:A,0),1)</f>
        <v>0.38529467763961761</v>
      </c>
      <c r="I11" s="2">
        <f>INDEX('Data sources'!J:J,MATCH(G11,'Data sources'!A:A,0),1)</f>
        <v>0.65015695160798492</v>
      </c>
      <c r="J11" s="2">
        <f>INDEX('Data sources'!R:R,MATCH(G11,'Data sources'!A:A,0),1)</f>
        <v>0.99664158109543011</v>
      </c>
      <c r="K11" s="2">
        <f>INDEX('Data sources'!S:S,MATCH(G11,'Data sources'!A:A,0),1)</f>
        <v>5.2249389559964285</v>
      </c>
      <c r="L11" t="str">
        <f t="shared" si="0"/>
        <v>Combustion installations with a rated thermal input exceeding 20 MW_Manufacture of basic pharmaceutical products</v>
      </c>
      <c r="M11">
        <f>INDEX('Data sources'!U:U,MATCH($G11,'Data sources'!$A:$A,0),1)</f>
        <v>0.84137119305744412</v>
      </c>
      <c r="N11">
        <f>INDEX('Data sources'!V:V,MATCH($G11,'Data sources'!$A:$A,0),1)</f>
        <v>0.86357922057787184</v>
      </c>
    </row>
    <row r="12" spans="1:14" x14ac:dyDescent="0.2">
      <c r="A12" t="s">
        <v>11</v>
      </c>
      <c r="B12" t="s">
        <v>125</v>
      </c>
      <c r="C12" t="s">
        <v>95</v>
      </c>
      <c r="D12" t="s">
        <v>95</v>
      </c>
      <c r="E12" t="s">
        <v>95</v>
      </c>
      <c r="F12">
        <v>1</v>
      </c>
      <c r="G12" s="30" t="s">
        <v>338</v>
      </c>
      <c r="H12" s="2">
        <f>INDEX('Data sources'!G:G,MATCH(G12,'Data sources'!A:A,0),1)</f>
        <v>1.1838611017829463</v>
      </c>
      <c r="I12" s="2">
        <f>INDEX('Data sources'!J:J,MATCH(G12,'Data sources'!A:A,0),1)</f>
        <v>1.0013516184567537</v>
      </c>
      <c r="J12" s="2">
        <f>INDEX('Data sources'!R:R,MATCH(G12,'Data sources'!A:A,0),1)</f>
        <v>2.6802340811720051</v>
      </c>
      <c r="K12" s="2">
        <f>INDEX('Data sources'!S:S,MATCH(G12,'Data sources'!A:A,0),1)</f>
        <v>27.108503329226927</v>
      </c>
      <c r="L12" t="str">
        <f t="shared" si="0"/>
        <v>Combustion installations with a rated thermal input exceeding 20 MW_Manufacture of dyes and pigments</v>
      </c>
      <c r="M12">
        <f>INDEX('Data sources'!U:U,MATCH($G12,'Data sources'!$A:$A,0),1)</f>
        <v>0.84137119305744423</v>
      </c>
      <c r="N12">
        <f>INDEX('Data sources'!V:V,MATCH($G12,'Data sources'!$A:$A,0),1)</f>
        <v>0.86357922057787206</v>
      </c>
    </row>
    <row r="13" spans="1:14" x14ac:dyDescent="0.2">
      <c r="A13" t="s">
        <v>11</v>
      </c>
      <c r="B13" t="s">
        <v>152</v>
      </c>
      <c r="C13" t="s">
        <v>95</v>
      </c>
      <c r="D13" t="s">
        <v>95</v>
      </c>
      <c r="E13" t="s">
        <v>95</v>
      </c>
      <c r="F13">
        <v>3</v>
      </c>
      <c r="G13" s="30" t="s">
        <v>339</v>
      </c>
      <c r="H13" s="2">
        <f>INDEX('Data sources'!G:G,MATCH(G13,'Data sources'!A:A,0),1)</f>
        <v>8.4591606470324017</v>
      </c>
      <c r="I13" s="2">
        <f>INDEX('Data sources'!J:J,MATCH(G13,'Data sources'!A:A,0),1)</f>
        <v>6.4483962143983575</v>
      </c>
      <c r="J13" s="2">
        <f>INDEX('Data sources'!R:R,MATCH(G13,'Data sources'!A:A,0),1)</f>
        <v>0</v>
      </c>
      <c r="K13" s="2">
        <f>INDEX('Data sources'!S:S,MATCH(G13,'Data sources'!A:A,0),1)</f>
        <v>120.04801920768308</v>
      </c>
      <c r="L13" t="str">
        <f t="shared" si="0"/>
        <v>Combustion installations with a rated thermal input exceeding 20 MW_Manufacture of industrial gases</v>
      </c>
      <c r="M13">
        <f>INDEX('Data sources'!U:U,MATCH($G13,'Data sources'!$A:$A,0),1)</f>
        <v>0.84137119305744423</v>
      </c>
      <c r="N13">
        <f>INDEX('Data sources'!V:V,MATCH($G13,'Data sources'!$A:$A,0),1)</f>
        <v>0.86357922057787195</v>
      </c>
    </row>
    <row r="14" spans="1:14" x14ac:dyDescent="0.2">
      <c r="A14" t="s">
        <v>11</v>
      </c>
      <c r="B14" t="s">
        <v>162</v>
      </c>
      <c r="C14" t="s">
        <v>95</v>
      </c>
      <c r="D14" t="s">
        <v>95</v>
      </c>
      <c r="E14" t="s">
        <v>95</v>
      </c>
      <c r="F14">
        <v>2</v>
      </c>
      <c r="G14" s="30" t="s">
        <v>335</v>
      </c>
      <c r="H14" s="2">
        <f>INDEX('Data sources'!G:G,MATCH(G14,'Data sources'!A:A,0),1)</f>
        <v>0.49494039340491602</v>
      </c>
      <c r="I14" s="2">
        <f>INDEX('Data sources'!J:J,MATCH(G14,'Data sources'!A:A,0),1)</f>
        <v>0.76276347235126118</v>
      </c>
      <c r="J14" s="2">
        <f>INDEX('Data sources'!R:R,MATCH(G14,'Data sources'!A:A,0),1)</f>
        <v>6.0728236366858992</v>
      </c>
      <c r="K14" s="2">
        <f>INDEX('Data sources'!S:S,MATCH(G14,'Data sources'!A:A,0),1)</f>
        <v>0</v>
      </c>
      <c r="L14" t="str">
        <f t="shared" si="0"/>
        <v>Combustion installations with a rated thermal input exceeding 20 MW_Manufacture of man-made fibres</v>
      </c>
      <c r="M14">
        <f>INDEX('Data sources'!U:U,MATCH($G14,'Data sources'!$A:$A,0),1)</f>
        <v>0.84137119305744412</v>
      </c>
      <c r="N14">
        <f>INDEX('Data sources'!V:V,MATCH($G14,'Data sources'!$A:$A,0),1)</f>
        <v>0.86357922057787206</v>
      </c>
    </row>
    <row r="15" spans="1:14" x14ac:dyDescent="0.2">
      <c r="A15" t="s">
        <v>11</v>
      </c>
      <c r="B15" t="s">
        <v>177</v>
      </c>
      <c r="C15" t="s">
        <v>95</v>
      </c>
      <c r="D15" t="s">
        <v>95</v>
      </c>
      <c r="E15" t="s">
        <v>95</v>
      </c>
      <c r="F15">
        <v>5</v>
      </c>
      <c r="G15" s="30" t="s">
        <v>338</v>
      </c>
      <c r="H15" s="2">
        <f>INDEX('Data sources'!G:G,MATCH(G15,'Data sources'!A:A,0),1)</f>
        <v>1.1838611017829463</v>
      </c>
      <c r="I15" s="2">
        <f>INDEX('Data sources'!J:J,MATCH(G15,'Data sources'!A:A,0),1)</f>
        <v>1.0013516184567537</v>
      </c>
      <c r="J15" s="2">
        <f>INDEX('Data sources'!R:R,MATCH(G15,'Data sources'!A:A,0),1)</f>
        <v>2.6802340811720051</v>
      </c>
      <c r="K15" s="2">
        <f>INDEX('Data sources'!S:S,MATCH(G15,'Data sources'!A:A,0),1)</f>
        <v>27.108503329226927</v>
      </c>
      <c r="L15" t="str">
        <f t="shared" si="0"/>
        <v>Combustion installations with a rated thermal input exceeding 20 MW_Manufacture of other chemical products n.e.c.</v>
      </c>
      <c r="M15">
        <f>INDEX('Data sources'!U:U,MATCH($G15,'Data sources'!$A:$A,0),1)</f>
        <v>0.84137119305744423</v>
      </c>
      <c r="N15">
        <f>INDEX('Data sources'!V:V,MATCH($G15,'Data sources'!$A:$A,0),1)</f>
        <v>0.86357922057787206</v>
      </c>
    </row>
    <row r="16" spans="1:14" x14ac:dyDescent="0.2">
      <c r="A16" t="s">
        <v>11</v>
      </c>
      <c r="B16" t="s">
        <v>185</v>
      </c>
      <c r="C16" t="s">
        <v>95</v>
      </c>
      <c r="D16" t="s">
        <v>95</v>
      </c>
      <c r="E16" t="s">
        <v>95</v>
      </c>
      <c r="F16">
        <v>5</v>
      </c>
      <c r="G16" s="30" t="s">
        <v>349</v>
      </c>
      <c r="H16" s="2">
        <f>INDEX('Data sources'!G:G,MATCH(G16,'Data sources'!A:A,0),1)</f>
        <v>1.5967631163208207</v>
      </c>
      <c r="I16" s="2">
        <f>INDEX('Data sources'!J:J,MATCH(G16,'Data sources'!A:A,0),1)</f>
        <v>1.2656396050839946</v>
      </c>
      <c r="J16" s="2">
        <f>INDEX('Data sources'!R:R,MATCH(G16,'Data sources'!A:A,0),1)</f>
        <v>3.2911730425008185</v>
      </c>
      <c r="K16" s="2">
        <f>INDEX('Data sources'!S:S,MATCH(G16,'Data sources'!A:A,0),1)</f>
        <v>10.213571642020407</v>
      </c>
      <c r="L16" t="str">
        <f t="shared" si="0"/>
        <v>Combustion installations with a rated thermal input exceeding 20 MW_Manufacture of other inorganic basic chemicals</v>
      </c>
      <c r="M16">
        <f>INDEX('Data sources'!U:U,MATCH($G16,'Data sources'!$A:$A,0),1)</f>
        <v>0.84137119305744423</v>
      </c>
      <c r="N16">
        <f>INDEX('Data sources'!V:V,MATCH($G16,'Data sources'!$A:$A,0),1)</f>
        <v>0.86357922057787195</v>
      </c>
    </row>
    <row r="17" spans="1:14" x14ac:dyDescent="0.2">
      <c r="A17" t="s">
        <v>11</v>
      </c>
      <c r="B17" t="s">
        <v>191</v>
      </c>
      <c r="C17" t="s">
        <v>95</v>
      </c>
      <c r="D17" t="s">
        <v>95</v>
      </c>
      <c r="E17" t="s">
        <v>95</v>
      </c>
      <c r="F17">
        <v>9</v>
      </c>
      <c r="G17" s="30" t="s">
        <v>348</v>
      </c>
      <c r="H17" s="2">
        <f>INDEX('Data sources'!G:G,MATCH(G17,'Data sources'!A:A,0),1)</f>
        <v>0.7451576638020061</v>
      </c>
      <c r="I17" s="2">
        <f>INDEX('Data sources'!J:J,MATCH(G17,'Data sources'!A:A,0),1)</f>
        <v>0.6864801988122935</v>
      </c>
      <c r="J17" s="2">
        <f>INDEX('Data sources'!R:R,MATCH(G17,'Data sources'!A:A,0),1)</f>
        <v>2.1991404818942466</v>
      </c>
      <c r="K17" s="2">
        <f>INDEX('Data sources'!S:S,MATCH(G17,'Data sources'!A:A,0),1)</f>
        <v>40.412685922642247</v>
      </c>
      <c r="L17" t="str">
        <f t="shared" si="0"/>
        <v>Combustion installations with a rated thermal input exceeding 20 MW_Manufacture of other organic basic chemicals</v>
      </c>
      <c r="M17">
        <f>INDEX('Data sources'!U:U,MATCH($G17,'Data sources'!$A:$A,0),1)</f>
        <v>0.84137119305744434</v>
      </c>
      <c r="N17">
        <f>INDEX('Data sources'!V:V,MATCH($G17,'Data sources'!$A:$A,0),1)</f>
        <v>0.86357922057787184</v>
      </c>
    </row>
    <row r="18" spans="1:14" x14ac:dyDescent="0.2">
      <c r="A18" t="s">
        <v>11</v>
      </c>
      <c r="B18" t="s">
        <v>209</v>
      </c>
      <c r="C18" t="s">
        <v>95</v>
      </c>
      <c r="D18" t="s">
        <v>95</v>
      </c>
      <c r="E18" t="s">
        <v>95</v>
      </c>
      <c r="F18">
        <v>1</v>
      </c>
      <c r="G18" s="30" t="s">
        <v>348</v>
      </c>
      <c r="H18" s="2">
        <f>INDEX('Data sources'!G:G,MATCH(G18,'Data sources'!A:A,0),1)</f>
        <v>0.7451576638020061</v>
      </c>
      <c r="I18" s="2">
        <f>INDEX('Data sources'!J:J,MATCH(G18,'Data sources'!A:A,0),1)</f>
        <v>0.6864801988122935</v>
      </c>
      <c r="J18" s="2">
        <f>INDEX('Data sources'!R:R,MATCH(G18,'Data sources'!A:A,0),1)</f>
        <v>2.1991404818942466</v>
      </c>
      <c r="K18" s="2">
        <f>INDEX('Data sources'!S:S,MATCH(G18,'Data sources'!A:A,0),1)</f>
        <v>40.412685922642247</v>
      </c>
      <c r="L18" t="str">
        <f t="shared" si="0"/>
        <v>Combustion installations with a rated thermal input exceeding 20 MW_Manufacture of perfumes and toilet preparations</v>
      </c>
      <c r="M18">
        <f>INDEX('Data sources'!U:U,MATCH($G18,'Data sources'!$A:$A,0),1)</f>
        <v>0.84137119305744434</v>
      </c>
      <c r="N18">
        <f>INDEX('Data sources'!V:V,MATCH($G18,'Data sources'!$A:$A,0),1)</f>
        <v>0.86357922057787184</v>
      </c>
    </row>
    <row r="19" spans="1:14" x14ac:dyDescent="0.2">
      <c r="A19" t="s">
        <v>11</v>
      </c>
      <c r="B19" t="s">
        <v>210</v>
      </c>
      <c r="C19" t="s">
        <v>95</v>
      </c>
      <c r="D19" t="s">
        <v>95</v>
      </c>
      <c r="E19" t="s">
        <v>95</v>
      </c>
      <c r="F19">
        <v>1</v>
      </c>
      <c r="G19" s="30" t="s">
        <v>343</v>
      </c>
      <c r="H19" s="2">
        <f>INDEX('Data sources'!G:G,MATCH(G19,'Data sources'!A:A,0),1)</f>
        <v>1.7186343172225256</v>
      </c>
      <c r="I19" s="2">
        <f>INDEX('Data sources'!J:J,MATCH(G19,'Data sources'!A:A,0),1)</f>
        <v>1.3535743777501814</v>
      </c>
      <c r="J19" s="2">
        <f>INDEX('Data sources'!R:R,MATCH(G19,'Data sources'!A:A,0),1)</f>
        <v>0</v>
      </c>
      <c r="K19" s="2">
        <f>INDEX('Data sources'!S:S,MATCH(G19,'Data sources'!A:A,0),1)</f>
        <v>12.596122450268965</v>
      </c>
      <c r="L19" t="str">
        <f t="shared" si="0"/>
        <v>Combustion installations with a rated thermal input exceeding 20 MW_Manufacture of pesticides and other agrochemical products</v>
      </c>
      <c r="M19">
        <f>INDEX('Data sources'!U:U,MATCH($G19,'Data sources'!$A:$A,0),1)</f>
        <v>0.84137119305744423</v>
      </c>
      <c r="N19">
        <f>INDEX('Data sources'!V:V,MATCH($G19,'Data sources'!$A:$A,0),1)</f>
        <v>0.86357922057787195</v>
      </c>
    </row>
    <row r="20" spans="1:14" x14ac:dyDescent="0.2">
      <c r="A20" t="s">
        <v>11</v>
      </c>
      <c r="B20" t="s">
        <v>216</v>
      </c>
      <c r="C20" t="s">
        <v>95</v>
      </c>
      <c r="D20" t="s">
        <v>95</v>
      </c>
      <c r="E20" t="s">
        <v>95</v>
      </c>
      <c r="F20">
        <v>2</v>
      </c>
      <c r="G20" s="30" t="s">
        <v>335</v>
      </c>
      <c r="H20" s="2">
        <f>INDEX('Data sources'!G:G,MATCH(G20,'Data sources'!A:A,0),1)</f>
        <v>0.49494039340491602</v>
      </c>
      <c r="I20" s="2">
        <f>INDEX('Data sources'!J:J,MATCH(G20,'Data sources'!A:A,0),1)</f>
        <v>0.76276347235126118</v>
      </c>
      <c r="J20" s="2">
        <f>INDEX('Data sources'!R:R,MATCH(G20,'Data sources'!A:A,0),1)</f>
        <v>6.0728236366858992</v>
      </c>
      <c r="K20" s="2">
        <f>INDEX('Data sources'!S:S,MATCH(G20,'Data sources'!A:A,0),1)</f>
        <v>0</v>
      </c>
      <c r="L20" t="str">
        <f t="shared" si="0"/>
        <v>Combustion installations with a rated thermal input exceeding 20 MW_Manufacture of plastics in primary forms</v>
      </c>
      <c r="M20">
        <f>INDEX('Data sources'!U:U,MATCH($G20,'Data sources'!$A:$A,0),1)</f>
        <v>0.84137119305744412</v>
      </c>
      <c r="N20">
        <f>INDEX('Data sources'!V:V,MATCH($G20,'Data sources'!$A:$A,0),1)</f>
        <v>0.86357922057787206</v>
      </c>
    </row>
    <row r="21" spans="1:14" x14ac:dyDescent="0.2">
      <c r="A21" t="s">
        <v>11</v>
      </c>
      <c r="B21" t="s">
        <v>228</v>
      </c>
      <c r="C21" t="s">
        <v>95</v>
      </c>
      <c r="D21" t="s">
        <v>95</v>
      </c>
      <c r="E21" t="s">
        <v>95</v>
      </c>
      <c r="F21">
        <v>1</v>
      </c>
      <c r="G21" s="30" t="s">
        <v>338</v>
      </c>
      <c r="H21" s="2">
        <f>INDEX('Data sources'!G:G,MATCH(G21,'Data sources'!A:A,0),1)</f>
        <v>1.1838611017829463</v>
      </c>
      <c r="I21" s="2">
        <f>INDEX('Data sources'!J:J,MATCH(G21,'Data sources'!A:A,0),1)</f>
        <v>1.0013516184567537</v>
      </c>
      <c r="J21" s="2">
        <f>INDEX('Data sources'!R:R,MATCH(G21,'Data sources'!A:A,0),1)</f>
        <v>2.6802340811720051</v>
      </c>
      <c r="K21" s="2">
        <f>INDEX('Data sources'!S:S,MATCH(G21,'Data sources'!A:A,0),1)</f>
        <v>27.108503329226927</v>
      </c>
      <c r="L21" t="str">
        <f t="shared" si="0"/>
        <v>Combustion installations with a rated thermal input exceeding 20 MW_Manufacture of soap and detergents, cleaning and polishing preparations</v>
      </c>
      <c r="M21">
        <f>INDEX('Data sources'!U:U,MATCH($G21,'Data sources'!$A:$A,0),1)</f>
        <v>0.84137119305744423</v>
      </c>
      <c r="N21">
        <f>INDEX('Data sources'!V:V,MATCH($G21,'Data sources'!$A:$A,0),1)</f>
        <v>0.86357922057787206</v>
      </c>
    </row>
    <row r="22" spans="1:14" x14ac:dyDescent="0.2">
      <c r="A22" t="s">
        <v>11</v>
      </c>
      <c r="B22" t="s">
        <v>29</v>
      </c>
      <c r="C22" t="s">
        <v>6</v>
      </c>
      <c r="D22" t="s">
        <v>256</v>
      </c>
      <c r="E22" t="s">
        <v>30</v>
      </c>
      <c r="F22">
        <v>2</v>
      </c>
      <c r="G22" s="30" t="s">
        <v>417</v>
      </c>
      <c r="H22" s="2">
        <f>INDEX('Data sources'!G:G,MATCH(G22,'Data sources'!A:A,0),1)</f>
        <v>1.4</v>
      </c>
      <c r="I22" s="2">
        <f>INDEX('Data sources'!J:J,MATCH(G22,'Data sources'!A:A,0),1)</f>
        <v>1.4</v>
      </c>
      <c r="J22" s="2">
        <f>INDEX('Data sources'!R:R,MATCH(G22,'Data sources'!A:A,0),1)</f>
        <v>8.0280000000000005</v>
      </c>
      <c r="K22" s="2">
        <f>INDEX('Data sources'!S:S,MATCH(G22,'Data sources'!A:A,0),1)</f>
        <v>0</v>
      </c>
      <c r="L22" t="str">
        <f t="shared" si="0"/>
        <v>Combustion installations with a rated thermal input exceeding 20 MW_Copper production</v>
      </c>
      <c r="M22">
        <f>INDEX('Data sources'!U:U,MATCH($G22,'Data sources'!$A:$A,0),1)</f>
        <v>0.83923856134650876</v>
      </c>
      <c r="N22">
        <f>INDEX('Data sources'!V:V,MATCH($G22,'Data sources'!$A:$A,0),1)</f>
        <v>0.99183492762409997</v>
      </c>
    </row>
    <row r="23" spans="1:14" x14ac:dyDescent="0.2">
      <c r="A23" t="s">
        <v>11</v>
      </c>
      <c r="B23" t="s">
        <v>121</v>
      </c>
      <c r="C23" t="s">
        <v>122</v>
      </c>
      <c r="D23" t="s">
        <v>410</v>
      </c>
      <c r="E23" t="s">
        <v>123</v>
      </c>
      <c r="F23">
        <v>1</v>
      </c>
      <c r="G23" s="30" t="s">
        <v>328</v>
      </c>
      <c r="H23" s="2">
        <f>INDEX('Data sources'!G:G,MATCH(G23,'Data sources'!A:A,0),1)</f>
        <v>0.20263440019098061</v>
      </c>
      <c r="I23" s="2">
        <f>INDEX('Data sources'!J:J,MATCH(G23,'Data sources'!A:A,0),1)</f>
        <v>0.19255330027571974</v>
      </c>
      <c r="J23" s="2">
        <f>INDEX('Data sources'!R:R,MATCH(G23,'Data sources'!A:A,0),1)</f>
        <v>4.968</v>
      </c>
      <c r="K23" s="2">
        <f>INDEX('Data sources'!S:S,MATCH(G23,'Data sources'!A:A,0),1)</f>
        <v>0</v>
      </c>
      <c r="L23" t="str">
        <f t="shared" si="0"/>
        <v>Combustion installations with a rated thermal input exceeding 20 MW_Manufacture of corrugated paper and paperboard and of containers of paper and paperboard</v>
      </c>
      <c r="M23">
        <f>INDEX('Data sources'!U:U,MATCH($G23,'Data sources'!$A:$A,0),1)</f>
        <v>0.81657744124826948</v>
      </c>
      <c r="N23">
        <f>INDEX('Data sources'!V:V,MATCH($G23,'Data sources'!$A:$A,0),1)</f>
        <v>0.94441452831676742</v>
      </c>
    </row>
    <row r="24" spans="1:14" x14ac:dyDescent="0.2">
      <c r="A24" t="s">
        <v>11</v>
      </c>
      <c r="B24" t="s">
        <v>53</v>
      </c>
      <c r="C24" t="s">
        <v>54</v>
      </c>
      <c r="D24" t="s">
        <v>403</v>
      </c>
      <c r="E24" t="s">
        <v>55</v>
      </c>
      <c r="F24">
        <v>7</v>
      </c>
      <c r="G24" s="30" t="s">
        <v>325</v>
      </c>
      <c r="H24" s="2">
        <f>INDEX('Data sources'!G:G,MATCH(G24,'Data sources'!A:A,0),1)</f>
        <v>5.79E-2</v>
      </c>
      <c r="I24" s="2">
        <f>INDEX('Data sources'!J:J,MATCH(G24,'Data sources'!A:A,0),1)</f>
        <v>4.2599999999999999E-2</v>
      </c>
      <c r="J24" s="2">
        <f>INDEX('Data sources'!R:R,MATCH(G24,'Data sources'!A:A,0),1)</f>
        <v>1</v>
      </c>
      <c r="K24" s="2">
        <f>INDEX('Data sources'!S:S,MATCH(G24,'Data sources'!A:A,0),1)</f>
        <v>0</v>
      </c>
      <c r="L24" t="str">
        <f t="shared" si="0"/>
        <v>Combustion installations with a rated thermal input exceeding 20 MW_Extraction of crude petroleum</v>
      </c>
      <c r="M24">
        <f>INDEX('Data sources'!U:U,MATCH($G24,'Data sources'!$A:$A,0),1)</f>
        <v>0.78416348147957027</v>
      </c>
      <c r="N24">
        <f>INDEX('Data sources'!V:V,MATCH($G24,'Data sources'!$A:$A,0),1)</f>
        <v>0.72535139859924458</v>
      </c>
    </row>
    <row r="25" spans="1:14" x14ac:dyDescent="0.2">
      <c r="A25" t="s">
        <v>11</v>
      </c>
      <c r="B25" t="s">
        <v>56</v>
      </c>
      <c r="C25" t="s">
        <v>54</v>
      </c>
      <c r="D25" t="s">
        <v>403</v>
      </c>
      <c r="E25" t="s">
        <v>55</v>
      </c>
      <c r="F25">
        <v>13</v>
      </c>
      <c r="G25" s="30" t="s">
        <v>325</v>
      </c>
      <c r="H25" s="2">
        <f>INDEX('Data sources'!G:G,MATCH(G25,'Data sources'!A:A,0),1)</f>
        <v>5.79E-2</v>
      </c>
      <c r="I25" s="2">
        <f>INDEX('Data sources'!J:J,MATCH(G25,'Data sources'!A:A,0),1)</f>
        <v>4.2599999999999999E-2</v>
      </c>
      <c r="J25" s="2">
        <f>INDEX('Data sources'!R:R,MATCH(G25,'Data sources'!A:A,0),1)</f>
        <v>1</v>
      </c>
      <c r="K25" s="2">
        <f>INDEX('Data sources'!S:S,MATCH(G25,'Data sources'!A:A,0),1)</f>
        <v>0</v>
      </c>
      <c r="L25" t="str">
        <f t="shared" si="0"/>
        <v>Combustion installations with a rated thermal input exceeding 20 MW_Extraction of natural gas</v>
      </c>
      <c r="M25">
        <f>INDEX('Data sources'!U:U,MATCH($G25,'Data sources'!$A:$A,0),1)</f>
        <v>0.78416348147957027</v>
      </c>
      <c r="N25">
        <f>INDEX('Data sources'!V:V,MATCH($G25,'Data sources'!$A:$A,0),1)</f>
        <v>0.72535139859924458</v>
      </c>
    </row>
    <row r="26" spans="1:14" x14ac:dyDescent="0.2">
      <c r="A26" t="s">
        <v>11</v>
      </c>
      <c r="B26" t="s">
        <v>64</v>
      </c>
      <c r="C26" t="s">
        <v>65</v>
      </c>
      <c r="D26" t="s">
        <v>237</v>
      </c>
      <c r="E26" t="s">
        <v>237</v>
      </c>
      <c r="F26">
        <v>1</v>
      </c>
      <c r="G26" s="31" t="s">
        <v>440</v>
      </c>
      <c r="H26" s="2">
        <f>INDEX('Data sources'!G:G,MATCH(G26,'Data sources'!A:A,0),1)</f>
        <v>0.28693460797283676</v>
      </c>
      <c r="I26" s="2">
        <f>INDEX('Data sources'!J:J,MATCH(G26,'Data sources'!A:A,0),1)</f>
        <v>0.24234523094630439</v>
      </c>
      <c r="J26" s="2">
        <f>INDEX('Data sources'!R:R,MATCH(G26,'Data sources'!A:A,0),1)</f>
        <v>2.4768000000000003</v>
      </c>
      <c r="K26" s="2">
        <f>INDEX('Data sources'!S:S,MATCH(G26,'Data sources'!A:A,0),1)</f>
        <v>0</v>
      </c>
      <c r="L26" t="str">
        <f t="shared" si="0"/>
        <v>Combustion installations with a rated thermal input exceeding 20 MW_Forging, pressing, stamping and roll-forming of metal</v>
      </c>
      <c r="M26">
        <f>INDEX('Data sources'!U:U,MATCH($G26,'Data sources'!$A:$A,0),1)</f>
        <v>0.55465092775711555</v>
      </c>
      <c r="N26">
        <f>INDEX('Data sources'!V:V,MATCH($G26,'Data sources'!$A:$A,0),1)</f>
        <v>0.43306202258392729</v>
      </c>
    </row>
    <row r="27" spans="1:14" x14ac:dyDescent="0.2">
      <c r="A27" t="s">
        <v>11</v>
      </c>
      <c r="B27" t="s">
        <v>207</v>
      </c>
      <c r="C27" t="s">
        <v>95</v>
      </c>
      <c r="D27" t="s">
        <v>409</v>
      </c>
      <c r="E27" t="s">
        <v>82</v>
      </c>
      <c r="F27">
        <v>1</v>
      </c>
      <c r="G27" s="30" t="s">
        <v>351</v>
      </c>
      <c r="H27" s="2">
        <f>INDEX('Data sources'!G:G,MATCH(G27,'Data sources'!A:A,0),1)</f>
        <v>0.44693420519106453</v>
      </c>
      <c r="I27" s="2">
        <f>INDEX('Data sources'!J:J,MATCH(G27,'Data sources'!A:A,0),1)</f>
        <v>0.32449753999236403</v>
      </c>
      <c r="J27" s="2">
        <f>INDEX('Data sources'!R:R,MATCH(G27,'Data sources'!A:A,0),1)</f>
        <v>8.3851770965800991</v>
      </c>
      <c r="K27" s="2">
        <f>INDEX('Data sources'!S:S,MATCH(G27,'Data sources'!A:A,0),1)</f>
        <v>0</v>
      </c>
      <c r="L27" t="str">
        <f t="shared" si="0"/>
        <v>Combustion installations with a rated thermal input exceeding 20 MW_Manufacture of paints, varnishes and similar coatings, printing ink and mastics</v>
      </c>
      <c r="M27">
        <f>INDEX('Data sources'!U:U,MATCH($G27,'Data sources'!$A:$A,0),1)</f>
        <v>0.66884534593017986</v>
      </c>
      <c r="N27">
        <f>INDEX('Data sources'!V:V,MATCH($G27,'Data sources'!$A:$A,0),1)</f>
        <v>0.58742624959688217</v>
      </c>
    </row>
    <row r="28" spans="1:14" x14ac:dyDescent="0.2">
      <c r="A28" t="s">
        <v>11</v>
      </c>
      <c r="B28" t="s">
        <v>90</v>
      </c>
      <c r="C28" t="s">
        <v>6</v>
      </c>
      <c r="D28" t="s">
        <v>237</v>
      </c>
      <c r="E28" t="s">
        <v>237</v>
      </c>
      <c r="F28">
        <v>2</v>
      </c>
      <c r="G28" s="31" t="s">
        <v>377</v>
      </c>
      <c r="H28" s="2">
        <f>INDEX('Data sources'!G:G,MATCH(G28,'Data sources'!A:A,0),1)</f>
        <v>1.4950000000000001</v>
      </c>
      <c r="I28" s="2">
        <f>INDEX('Data sources'!J:J,MATCH(G28,'Data sources'!A:A,0),1)</f>
        <v>1.288</v>
      </c>
      <c r="J28" s="2">
        <f>INDEX('Data sources'!R:R,MATCH(G28,'Data sources'!A:A,0),1)</f>
        <v>14.976000000000001</v>
      </c>
      <c r="K28" s="2">
        <f>INDEX('Data sources'!S:S,MATCH(G28,'Data sources'!A:A,0),1)</f>
        <v>6.8039999999999985</v>
      </c>
      <c r="L28" t="str">
        <f t="shared" si="0"/>
        <v>Combustion installations with a rated thermal input exceeding 20 MW_Manufacture of basic iron and steel and of ferro-alloys</v>
      </c>
      <c r="M28">
        <f>INDEX('Data sources'!U:U,MATCH($G28,'Data sources'!$A:$A,0),1)</f>
        <v>0.55465092775711555</v>
      </c>
      <c r="N28">
        <f>INDEX('Data sources'!V:V,MATCH($G28,'Data sources'!$A:$A,0),1)</f>
        <v>0.43306202258392729</v>
      </c>
    </row>
    <row r="29" spans="1:14" x14ac:dyDescent="0.2">
      <c r="A29" t="s">
        <v>11</v>
      </c>
      <c r="B29" t="s">
        <v>236</v>
      </c>
      <c r="C29" t="s">
        <v>6</v>
      </c>
      <c r="D29" t="s">
        <v>237</v>
      </c>
      <c r="E29" t="s">
        <v>237</v>
      </c>
      <c r="F29">
        <v>1</v>
      </c>
      <c r="G29" s="31" t="s">
        <v>440</v>
      </c>
      <c r="H29" s="2">
        <f>INDEX('Data sources'!G:G,MATCH(G29,'Data sources'!A:A,0),1)</f>
        <v>0.28693460797283676</v>
      </c>
      <c r="I29" s="2">
        <f>INDEX('Data sources'!J:J,MATCH(G29,'Data sources'!A:A,0),1)</f>
        <v>0.24234523094630439</v>
      </c>
      <c r="J29" s="2">
        <f>INDEX('Data sources'!R:R,MATCH(G29,'Data sources'!A:A,0),1)</f>
        <v>2.4768000000000003</v>
      </c>
      <c r="K29" s="2">
        <f>INDEX('Data sources'!S:S,MATCH(G29,'Data sources'!A:A,0),1)</f>
        <v>0</v>
      </c>
      <c r="L29" t="str">
        <f t="shared" si="0"/>
        <v>Combustion installations with a rated thermal input exceeding 20 MW_Manufacture of tubes, pipes, hollow profiles and related fittings, of steel</v>
      </c>
      <c r="M29">
        <f>INDEX('Data sources'!U:U,MATCH($G29,'Data sources'!$A:$A,0),1)</f>
        <v>0.55465092775711555</v>
      </c>
      <c r="N29">
        <f>INDEX('Data sources'!V:V,MATCH($G29,'Data sources'!$A:$A,0),1)</f>
        <v>0.43306202258392729</v>
      </c>
    </row>
    <row r="30" spans="1:14" x14ac:dyDescent="0.2">
      <c r="A30" t="s">
        <v>11</v>
      </c>
      <c r="B30" t="s">
        <v>75</v>
      </c>
      <c r="C30" t="s">
        <v>6</v>
      </c>
      <c r="D30" t="s">
        <v>256</v>
      </c>
      <c r="E30" t="s">
        <v>76</v>
      </c>
      <c r="F30">
        <v>1</v>
      </c>
      <c r="G30" s="30" t="s">
        <v>353</v>
      </c>
      <c r="H30" s="2">
        <f>INDEX('Data sources'!G:G,MATCH(G30,'Data sources'!A:A,0),1)</f>
        <v>1.92</v>
      </c>
      <c r="I30" s="2">
        <f>INDEX('Data sources'!J:J,MATCH(G30,'Data sources'!A:A,0),1)</f>
        <v>1.92</v>
      </c>
      <c r="J30" s="2">
        <f>INDEX('Data sources'!R:R,MATCH(G30,'Data sources'!A:A,0),1)</f>
        <v>2.2680000000000002</v>
      </c>
      <c r="K30" s="2">
        <f>INDEX('Data sources'!S:S,MATCH(G30,'Data sources'!A:A,0),1)</f>
        <v>0</v>
      </c>
      <c r="L30" t="str">
        <f t="shared" si="0"/>
        <v>Combustion installations with a rated thermal input exceeding 20 MW_Lead, zinc and tin production</v>
      </c>
      <c r="M30">
        <f>INDEX('Data sources'!U:U,MATCH($G30,'Data sources'!$A:$A,0),1)</f>
        <v>0.83923856134650876</v>
      </c>
      <c r="N30">
        <f>INDEX('Data sources'!V:V,MATCH($G30,'Data sources'!$A:$A,0),1)</f>
        <v>0.99183492762409997</v>
      </c>
    </row>
    <row r="31" spans="1:14" x14ac:dyDescent="0.2">
      <c r="A31" t="s">
        <v>11</v>
      </c>
      <c r="B31" t="s">
        <v>57</v>
      </c>
      <c r="C31" t="s">
        <v>58</v>
      </c>
      <c r="D31" t="s">
        <v>403</v>
      </c>
      <c r="E31" t="s">
        <v>242</v>
      </c>
      <c r="F31">
        <v>1</v>
      </c>
      <c r="G31" s="30" t="s">
        <v>325</v>
      </c>
      <c r="H31" s="2">
        <f>INDEX('Data sources'!G:G,MATCH(G31,'Data sources'!A:A,0),1)</f>
        <v>5.79E-2</v>
      </c>
      <c r="I31" s="2">
        <f>INDEX('Data sources'!J:J,MATCH(G31,'Data sources'!A:A,0),1)</f>
        <v>4.2599999999999999E-2</v>
      </c>
      <c r="J31" s="2">
        <f>INDEX('Data sources'!R:R,MATCH(G31,'Data sources'!A:A,0),1)</f>
        <v>1</v>
      </c>
      <c r="K31" s="2">
        <f>INDEX('Data sources'!S:S,MATCH(G31,'Data sources'!A:A,0),1)</f>
        <v>0</v>
      </c>
      <c r="L31" t="str">
        <f t="shared" si="0"/>
        <v>Combustion installations with a rated thermal input exceeding 20 MW_Extraction of salt</v>
      </c>
      <c r="M31">
        <f>INDEX('Data sources'!U:U,MATCH($G31,'Data sources'!$A:$A,0),1)</f>
        <v>0.78416348147957027</v>
      </c>
      <c r="N31">
        <f>INDEX('Data sources'!V:V,MATCH($G31,'Data sources'!$A:$A,0),1)</f>
        <v>0.72535139859924458</v>
      </c>
    </row>
    <row r="32" spans="1:14" x14ac:dyDescent="0.2">
      <c r="A32" t="s">
        <v>11</v>
      </c>
      <c r="B32" t="s">
        <v>247</v>
      </c>
      <c r="C32" t="s">
        <v>246</v>
      </c>
      <c r="D32" t="s">
        <v>403</v>
      </c>
      <c r="E32" t="s">
        <v>242</v>
      </c>
      <c r="F32">
        <v>1</v>
      </c>
      <c r="G32" s="30" t="s">
        <v>325</v>
      </c>
      <c r="H32" s="2">
        <f>INDEX('Data sources'!G:G,MATCH(G32,'Data sources'!A:A,0),1)</f>
        <v>5.79E-2</v>
      </c>
      <c r="I32" s="2">
        <f>INDEX('Data sources'!J:J,MATCH(G32,'Data sources'!A:A,0),1)</f>
        <v>4.2599999999999999E-2</v>
      </c>
      <c r="J32" s="2">
        <f>INDEX('Data sources'!R:R,MATCH(G32,'Data sources'!A:A,0),1)</f>
        <v>1</v>
      </c>
      <c r="K32" s="2">
        <f>INDEX('Data sources'!S:S,MATCH(G32,'Data sources'!A:A,0),1)</f>
        <v>0</v>
      </c>
      <c r="L32" t="str">
        <f t="shared" si="0"/>
        <v>Combustion installations with a rated thermal input exceeding 20 MW_Mining of uranium and thorium ores</v>
      </c>
      <c r="M32">
        <f>INDEX('Data sources'!U:U,MATCH($G32,'Data sources'!$A:$A,0),1)</f>
        <v>0.78416348147957027</v>
      </c>
      <c r="N32">
        <f>INDEX('Data sources'!V:V,MATCH($G32,'Data sources'!$A:$A,0),1)</f>
        <v>0.72535139859924458</v>
      </c>
    </row>
    <row r="33" spans="1:14" x14ac:dyDescent="0.2">
      <c r="A33" t="s">
        <v>11</v>
      </c>
      <c r="B33" t="s">
        <v>254</v>
      </c>
      <c r="C33" t="s">
        <v>58</v>
      </c>
      <c r="D33" t="s">
        <v>403</v>
      </c>
      <c r="E33" t="s">
        <v>242</v>
      </c>
      <c r="F33">
        <v>1</v>
      </c>
      <c r="G33" s="30" t="s">
        <v>325</v>
      </c>
      <c r="H33" s="2">
        <f>INDEX('Data sources'!G:G,MATCH(G33,'Data sources'!A:A,0),1)</f>
        <v>5.79E-2</v>
      </c>
      <c r="I33" s="2">
        <f>INDEX('Data sources'!J:J,MATCH(G33,'Data sources'!A:A,0),1)</f>
        <v>4.2599999999999999E-2</v>
      </c>
      <c r="J33" s="2">
        <f>INDEX('Data sources'!R:R,MATCH(G33,'Data sources'!A:A,0),1)</f>
        <v>1</v>
      </c>
      <c r="K33" s="2">
        <f>INDEX('Data sources'!S:S,MATCH(G33,'Data sources'!A:A,0),1)</f>
        <v>0</v>
      </c>
      <c r="L33" t="str">
        <f t="shared" si="0"/>
        <v>Combustion installations with a rated thermal input exceeding 20 MW_Other mining and quarrying n.e.c.</v>
      </c>
      <c r="M33">
        <f>INDEX('Data sources'!U:U,MATCH($G33,'Data sources'!$A:$A,0),1)</f>
        <v>0.78416348147957027</v>
      </c>
      <c r="N33">
        <f>INDEX('Data sources'!V:V,MATCH($G33,'Data sources'!$A:$A,0),1)</f>
        <v>0.72535139859924458</v>
      </c>
    </row>
    <row r="34" spans="1:14" x14ac:dyDescent="0.2">
      <c r="A34" t="s">
        <v>11</v>
      </c>
      <c r="B34" t="s">
        <v>22</v>
      </c>
      <c r="C34" t="s">
        <v>6</v>
      </c>
      <c r="D34" t="s">
        <v>256</v>
      </c>
      <c r="E34" t="s">
        <v>256</v>
      </c>
      <c r="F34">
        <v>1</v>
      </c>
      <c r="G34" s="30" t="s">
        <v>354</v>
      </c>
      <c r="H34" s="2">
        <f>INDEX('Data sources'!G:G,MATCH(G34,'Data sources'!A:A,0),1)</f>
        <v>1.6536666666666668</v>
      </c>
      <c r="I34" s="2">
        <f>INDEX('Data sources'!J:J,MATCH(G34,'Data sources'!A:A,0),1)</f>
        <v>1.5946666666666667</v>
      </c>
      <c r="J34" s="2">
        <f>INDEX('Data sources'!R:R,MATCH(G34,'Data sources'!A:A,0),1)</f>
        <v>2.2680000000000002</v>
      </c>
      <c r="K34" s="2">
        <f>INDEX('Data sources'!S:S,MATCH(G34,'Data sources'!A:A,0),1)</f>
        <v>0</v>
      </c>
      <c r="L34" t="str">
        <f t="shared" si="0"/>
        <v>Combustion installations with a rated thermal input exceeding 20 MW_Casting of light metals</v>
      </c>
      <c r="M34">
        <f>INDEX('Data sources'!U:U,MATCH($G34,'Data sources'!$A:$A,0),1)</f>
        <v>0.83923856134650876</v>
      </c>
      <c r="N34">
        <f>INDEX('Data sources'!V:V,MATCH($G34,'Data sources'!$A:$A,0),1)</f>
        <v>0.99183492762409997</v>
      </c>
    </row>
    <row r="35" spans="1:14" x14ac:dyDescent="0.2">
      <c r="A35" t="s">
        <v>11</v>
      </c>
      <c r="B35" t="s">
        <v>189</v>
      </c>
      <c r="C35" t="s">
        <v>81</v>
      </c>
      <c r="D35" t="s">
        <v>409</v>
      </c>
      <c r="E35" t="s">
        <v>190</v>
      </c>
      <c r="F35">
        <v>3</v>
      </c>
      <c r="G35" s="30" t="s">
        <v>357</v>
      </c>
      <c r="H35" s="2">
        <f>INDEX('Data sources'!G:G,MATCH(G35,'Data sources'!A:A,0),1)</f>
        <v>0.805852417888692</v>
      </c>
      <c r="I35" s="2">
        <f>INDEX('Data sources'!J:J,MATCH(G35,'Data sources'!A:A,0),1)</f>
        <v>0.66291615790238245</v>
      </c>
      <c r="J35" s="2">
        <f>INDEX('Data sources'!R:R,MATCH(G35,'Data sources'!A:A,0),1)</f>
        <v>4.5353855263775982</v>
      </c>
      <c r="K35" s="2">
        <f>INDEX('Data sources'!S:S,MATCH(G35,'Data sources'!A:A,0),1)</f>
        <v>0</v>
      </c>
      <c r="L35" t="str">
        <f t="shared" si="0"/>
        <v>Combustion installations with a rated thermal input exceeding 20 MW_Manufacture of other non-metallic mineral products n.e.c.</v>
      </c>
      <c r="M35">
        <f>INDEX('Data sources'!U:U,MATCH($G35,'Data sources'!$A:$A,0),1)</f>
        <v>0.66884534593018008</v>
      </c>
      <c r="N35">
        <f>INDEX('Data sources'!V:V,MATCH($G35,'Data sources'!$A:$A,0),1)</f>
        <v>0.58742624959688239</v>
      </c>
    </row>
    <row r="36" spans="1:14" x14ac:dyDescent="0.2">
      <c r="A36" t="s">
        <v>11</v>
      </c>
      <c r="B36" t="s">
        <v>16</v>
      </c>
      <c r="C36" t="s">
        <v>17</v>
      </c>
      <c r="D36" t="s">
        <v>403</v>
      </c>
      <c r="E36" t="s">
        <v>15</v>
      </c>
      <c r="F36">
        <v>2</v>
      </c>
      <c r="G36" s="30" t="s">
        <v>325</v>
      </c>
      <c r="H36" s="2">
        <f>INDEX('Data sources'!G:G,MATCH(G36,'Data sources'!A:A,0),1)</f>
        <v>5.79E-2</v>
      </c>
      <c r="I36" s="2">
        <f>INDEX('Data sources'!J:J,MATCH(G36,'Data sources'!A:A,0),1)</f>
        <v>4.2599999999999999E-2</v>
      </c>
      <c r="J36" s="2">
        <f>INDEX('Data sources'!R:R,MATCH(G36,'Data sources'!A:A,0),1)</f>
        <v>1</v>
      </c>
      <c r="K36" s="2">
        <f>INDEX('Data sources'!S:S,MATCH(G36,'Data sources'!A:A,0),1)</f>
        <v>0</v>
      </c>
      <c r="L36" t="str">
        <f t="shared" si="0"/>
        <v>Combustion installations with a rated thermal input exceeding 20 MW_Cargo handling</v>
      </c>
      <c r="M36">
        <f>INDEX('Data sources'!U:U,MATCH($G36,'Data sources'!$A:$A,0),1)</f>
        <v>0.78416348147957027</v>
      </c>
      <c r="N36">
        <f>INDEX('Data sources'!V:V,MATCH($G36,'Data sources'!$A:$A,0),1)</f>
        <v>0.72535139859924458</v>
      </c>
    </row>
    <row r="37" spans="1:14" x14ac:dyDescent="0.2">
      <c r="A37" t="s">
        <v>11</v>
      </c>
      <c r="B37" t="s">
        <v>37</v>
      </c>
      <c r="C37" t="s">
        <v>38</v>
      </c>
      <c r="D37" t="s">
        <v>403</v>
      </c>
      <c r="E37" t="s">
        <v>15</v>
      </c>
      <c r="F37">
        <v>2</v>
      </c>
      <c r="G37" s="30" t="s">
        <v>325</v>
      </c>
      <c r="H37" s="2">
        <f>INDEX('Data sources'!G:G,MATCH(G37,'Data sources'!A:A,0),1)</f>
        <v>5.79E-2</v>
      </c>
      <c r="I37" s="2">
        <f>INDEX('Data sources'!J:J,MATCH(G37,'Data sources'!A:A,0),1)</f>
        <v>4.2599999999999999E-2</v>
      </c>
      <c r="J37" s="2">
        <f>INDEX('Data sources'!R:R,MATCH(G37,'Data sources'!A:A,0),1)</f>
        <v>1</v>
      </c>
      <c r="K37" s="2">
        <f>INDEX('Data sources'!S:S,MATCH(G37,'Data sources'!A:A,0),1)</f>
        <v>0</v>
      </c>
      <c r="L37" t="str">
        <f t="shared" si="0"/>
        <v>Combustion installations with a rated thermal input exceeding 20 MW_Defence activities</v>
      </c>
      <c r="M37">
        <f>INDEX('Data sources'!U:U,MATCH($G37,'Data sources'!$A:$A,0),1)</f>
        <v>0.78416348147957027</v>
      </c>
      <c r="N37">
        <f>INDEX('Data sources'!V:V,MATCH($G37,'Data sources'!$A:$A,0),1)</f>
        <v>0.72535139859924458</v>
      </c>
    </row>
    <row r="38" spans="1:14" x14ac:dyDescent="0.2">
      <c r="A38" t="s">
        <v>11</v>
      </c>
      <c r="B38" t="s">
        <v>41</v>
      </c>
      <c r="C38" t="s">
        <v>42</v>
      </c>
      <c r="D38" t="s">
        <v>403</v>
      </c>
      <c r="E38" t="s">
        <v>15</v>
      </c>
      <c r="F38">
        <v>4</v>
      </c>
      <c r="G38" s="30" t="s">
        <v>325</v>
      </c>
      <c r="H38" s="2">
        <f>INDEX('Data sources'!G:G,MATCH(G38,'Data sources'!A:A,0),1)</f>
        <v>5.79E-2</v>
      </c>
      <c r="I38" s="2">
        <f>INDEX('Data sources'!J:J,MATCH(G38,'Data sources'!A:A,0),1)</f>
        <v>4.2599999999999999E-2</v>
      </c>
      <c r="J38" s="2">
        <f>INDEX('Data sources'!R:R,MATCH(G38,'Data sources'!A:A,0),1)</f>
        <v>1</v>
      </c>
      <c r="K38" s="2">
        <f>INDEX('Data sources'!S:S,MATCH(G38,'Data sources'!A:A,0),1)</f>
        <v>0</v>
      </c>
      <c r="L38" t="str">
        <f t="shared" si="0"/>
        <v>Combustion installations with a rated thermal input exceeding 20 MW_Distilling, rectifying and blending of spirits</v>
      </c>
      <c r="M38">
        <f>INDEX('Data sources'!U:U,MATCH($G38,'Data sources'!$A:$A,0),1)</f>
        <v>0.78416348147957027</v>
      </c>
      <c r="N38">
        <f>INDEX('Data sources'!V:V,MATCH($G38,'Data sources'!$A:$A,0),1)</f>
        <v>0.72535139859924458</v>
      </c>
    </row>
    <row r="39" spans="1:14" x14ac:dyDescent="0.2">
      <c r="A39" t="s">
        <v>11</v>
      </c>
      <c r="B39" t="s">
        <v>59</v>
      </c>
      <c r="C39" t="s">
        <v>60</v>
      </c>
      <c r="D39" t="s">
        <v>403</v>
      </c>
      <c r="E39" t="s">
        <v>15</v>
      </c>
      <c r="F39">
        <v>1</v>
      </c>
      <c r="G39" s="30" t="s">
        <v>325</v>
      </c>
      <c r="H39" s="2">
        <f>INDEX('Data sources'!G:G,MATCH(G39,'Data sources'!A:A,0),1)</f>
        <v>5.79E-2</v>
      </c>
      <c r="I39" s="2">
        <f>INDEX('Data sources'!J:J,MATCH(G39,'Data sources'!A:A,0),1)</f>
        <v>4.2599999999999999E-2</v>
      </c>
      <c r="J39" s="2">
        <f>INDEX('Data sources'!R:R,MATCH(G39,'Data sources'!A:A,0),1)</f>
        <v>1</v>
      </c>
      <c r="K39" s="2">
        <f>INDEX('Data sources'!S:S,MATCH(G39,'Data sources'!A:A,0),1)</f>
        <v>0</v>
      </c>
      <c r="L39" t="str">
        <f t="shared" si="0"/>
        <v>Combustion installations with a rated thermal input exceeding 20 MW_Financial leasing</v>
      </c>
      <c r="M39">
        <f>INDEX('Data sources'!U:U,MATCH($G39,'Data sources'!$A:$A,0),1)</f>
        <v>0.78416348147957027</v>
      </c>
      <c r="N39">
        <f>INDEX('Data sources'!V:V,MATCH($G39,'Data sources'!$A:$A,0),1)</f>
        <v>0.72535139859924458</v>
      </c>
    </row>
    <row r="40" spans="1:14" x14ac:dyDescent="0.2">
      <c r="A40" t="s">
        <v>11</v>
      </c>
      <c r="B40" t="s">
        <v>61</v>
      </c>
      <c r="C40" t="s">
        <v>62</v>
      </c>
      <c r="D40" t="s">
        <v>403</v>
      </c>
      <c r="E40" t="s">
        <v>15</v>
      </c>
      <c r="F40">
        <v>6</v>
      </c>
      <c r="G40" s="30" t="s">
        <v>325</v>
      </c>
      <c r="H40" s="2">
        <f>INDEX('Data sources'!G:G,MATCH(G40,'Data sources'!A:A,0),1)</f>
        <v>5.79E-2</v>
      </c>
      <c r="I40" s="2">
        <f>INDEX('Data sources'!J:J,MATCH(G40,'Data sources'!A:A,0),1)</f>
        <v>4.2599999999999999E-2</v>
      </c>
      <c r="J40" s="2">
        <f>INDEX('Data sources'!R:R,MATCH(G40,'Data sources'!A:A,0),1)</f>
        <v>1</v>
      </c>
      <c r="K40" s="2">
        <f>INDEX('Data sources'!S:S,MATCH(G40,'Data sources'!A:A,0),1)</f>
        <v>0</v>
      </c>
      <c r="L40" t="str">
        <f t="shared" si="0"/>
        <v>Combustion installations with a rated thermal input exceeding 20 MW_Finishing of textiles</v>
      </c>
      <c r="M40">
        <f>INDEX('Data sources'!U:U,MATCH($G40,'Data sources'!$A:$A,0),1)</f>
        <v>0.78416348147957027</v>
      </c>
      <c r="N40">
        <f>INDEX('Data sources'!V:V,MATCH($G40,'Data sources'!$A:$A,0),1)</f>
        <v>0.72535139859924458</v>
      </c>
    </row>
    <row r="41" spans="1:14" x14ac:dyDescent="0.2">
      <c r="A41" t="s">
        <v>11</v>
      </c>
      <c r="B41" t="s">
        <v>63</v>
      </c>
      <c r="C41" t="s">
        <v>38</v>
      </c>
      <c r="D41" t="s">
        <v>403</v>
      </c>
      <c r="E41" t="s">
        <v>15</v>
      </c>
      <c r="F41">
        <v>1</v>
      </c>
      <c r="G41" s="30" t="s">
        <v>325</v>
      </c>
      <c r="H41" s="2">
        <f>INDEX('Data sources'!G:G,MATCH(G41,'Data sources'!A:A,0),1)</f>
        <v>5.79E-2</v>
      </c>
      <c r="I41" s="2">
        <f>INDEX('Data sources'!J:J,MATCH(G41,'Data sources'!A:A,0),1)</f>
        <v>4.2599999999999999E-2</v>
      </c>
      <c r="J41" s="2">
        <f>INDEX('Data sources'!R:R,MATCH(G41,'Data sources'!A:A,0),1)</f>
        <v>1</v>
      </c>
      <c r="K41" s="2">
        <f>INDEX('Data sources'!S:S,MATCH(G41,'Data sources'!A:A,0),1)</f>
        <v>0</v>
      </c>
      <c r="L41" t="str">
        <f t="shared" si="0"/>
        <v>Combustion installations with a rated thermal input exceeding 20 MW_Fire service activities</v>
      </c>
      <c r="M41">
        <f>INDEX('Data sources'!U:U,MATCH($G41,'Data sources'!$A:$A,0),1)</f>
        <v>0.78416348147957027</v>
      </c>
      <c r="N41">
        <f>INDEX('Data sources'!V:V,MATCH($G41,'Data sources'!$A:$A,0),1)</f>
        <v>0.72535139859924458</v>
      </c>
    </row>
    <row r="42" spans="1:14" x14ac:dyDescent="0.2">
      <c r="A42" t="s">
        <v>11</v>
      </c>
      <c r="B42" t="s">
        <v>69</v>
      </c>
      <c r="C42" t="s">
        <v>67</v>
      </c>
      <c r="D42" t="s">
        <v>403</v>
      </c>
      <c r="E42" t="s">
        <v>15</v>
      </c>
      <c r="F42">
        <v>1</v>
      </c>
      <c r="G42" s="30" t="s">
        <v>325</v>
      </c>
      <c r="H42" s="2">
        <f>INDEX('Data sources'!G:G,MATCH(G42,'Data sources'!A:A,0),1)</f>
        <v>5.79E-2</v>
      </c>
      <c r="I42" s="2">
        <f>INDEX('Data sources'!J:J,MATCH(G42,'Data sources'!A:A,0),1)</f>
        <v>4.2599999999999999E-2</v>
      </c>
      <c r="J42" s="2">
        <f>INDEX('Data sources'!R:R,MATCH(G42,'Data sources'!A:A,0),1)</f>
        <v>1</v>
      </c>
      <c r="K42" s="2">
        <f>INDEX('Data sources'!S:S,MATCH(G42,'Data sources'!A:A,0),1)</f>
        <v>0</v>
      </c>
      <c r="L42" t="str">
        <f t="shared" si="0"/>
        <v>Combustion installations with a rated thermal input exceeding 20 MW_Growing of tropical and subtropical fruits</v>
      </c>
      <c r="M42">
        <f>INDEX('Data sources'!U:U,MATCH($G42,'Data sources'!$A:$A,0),1)</f>
        <v>0.78416348147957027</v>
      </c>
      <c r="N42">
        <f>INDEX('Data sources'!V:V,MATCH($G42,'Data sources'!$A:$A,0),1)</f>
        <v>0.72535139859924458</v>
      </c>
    </row>
    <row r="43" spans="1:14" x14ac:dyDescent="0.2">
      <c r="A43" t="s">
        <v>11</v>
      </c>
      <c r="B43" t="s">
        <v>73</v>
      </c>
      <c r="C43" t="s">
        <v>74</v>
      </c>
      <c r="D43" t="s">
        <v>403</v>
      </c>
      <c r="E43" t="s">
        <v>15</v>
      </c>
      <c r="F43">
        <v>5</v>
      </c>
      <c r="G43" s="30" t="s">
        <v>325</v>
      </c>
      <c r="H43" s="2">
        <f>INDEX('Data sources'!G:G,MATCH(G43,'Data sources'!A:A,0),1)</f>
        <v>5.79E-2</v>
      </c>
      <c r="I43" s="2">
        <f>INDEX('Data sources'!J:J,MATCH(G43,'Data sources'!A:A,0),1)</f>
        <v>4.2599999999999999E-2</v>
      </c>
      <c r="J43" s="2">
        <f>INDEX('Data sources'!R:R,MATCH(G43,'Data sources'!A:A,0),1)</f>
        <v>1</v>
      </c>
      <c r="K43" s="2">
        <f>INDEX('Data sources'!S:S,MATCH(G43,'Data sources'!A:A,0),1)</f>
        <v>0</v>
      </c>
      <c r="L43" t="str">
        <f t="shared" si="0"/>
        <v>Combustion installations with a rated thermal input exceeding 20 MW_Hospital activities</v>
      </c>
      <c r="M43">
        <f>INDEX('Data sources'!U:U,MATCH($G43,'Data sources'!$A:$A,0),1)</f>
        <v>0.78416348147957027</v>
      </c>
      <c r="N43">
        <f>INDEX('Data sources'!V:V,MATCH($G43,'Data sources'!$A:$A,0),1)</f>
        <v>0.72535139859924458</v>
      </c>
    </row>
    <row r="44" spans="1:14" x14ac:dyDescent="0.2">
      <c r="A44" t="s">
        <v>11</v>
      </c>
      <c r="B44" t="s">
        <v>78</v>
      </c>
      <c r="C44" t="s">
        <v>65</v>
      </c>
      <c r="D44" t="s">
        <v>403</v>
      </c>
      <c r="E44" t="s">
        <v>15</v>
      </c>
      <c r="F44">
        <v>1</v>
      </c>
      <c r="G44" s="30" t="s">
        <v>325</v>
      </c>
      <c r="H44" s="2">
        <f>INDEX('Data sources'!G:G,MATCH(G44,'Data sources'!A:A,0),1)</f>
        <v>5.79E-2</v>
      </c>
      <c r="I44" s="2">
        <f>INDEX('Data sources'!J:J,MATCH(G44,'Data sources'!A:A,0),1)</f>
        <v>4.2599999999999999E-2</v>
      </c>
      <c r="J44" s="2">
        <f>INDEX('Data sources'!R:R,MATCH(G44,'Data sources'!A:A,0),1)</f>
        <v>1</v>
      </c>
      <c r="K44" s="2">
        <f>INDEX('Data sources'!S:S,MATCH(G44,'Data sources'!A:A,0),1)</f>
        <v>0</v>
      </c>
      <c r="L44" t="str">
        <f t="shared" si="0"/>
        <v>Combustion installations with a rated thermal input exceeding 20 MW_Machining</v>
      </c>
      <c r="M44">
        <f>INDEX('Data sources'!U:U,MATCH($G44,'Data sources'!$A:$A,0),1)</f>
        <v>0.78416348147957027</v>
      </c>
      <c r="N44">
        <f>INDEX('Data sources'!V:V,MATCH($G44,'Data sources'!$A:$A,0),1)</f>
        <v>0.72535139859924458</v>
      </c>
    </row>
    <row r="45" spans="1:14" x14ac:dyDescent="0.2">
      <c r="A45" t="s">
        <v>11</v>
      </c>
      <c r="B45" t="s">
        <v>85</v>
      </c>
      <c r="C45" t="s">
        <v>86</v>
      </c>
      <c r="D45" t="s">
        <v>403</v>
      </c>
      <c r="E45" t="s">
        <v>15</v>
      </c>
      <c r="F45">
        <v>1</v>
      </c>
      <c r="G45" s="30" t="s">
        <v>325</v>
      </c>
      <c r="H45" s="2">
        <f>INDEX('Data sources'!G:G,MATCH(G45,'Data sources'!A:A,0),1)</f>
        <v>5.79E-2</v>
      </c>
      <c r="I45" s="2">
        <f>INDEX('Data sources'!J:J,MATCH(G45,'Data sources'!A:A,0),1)</f>
        <v>4.2599999999999999E-2</v>
      </c>
      <c r="J45" s="2">
        <f>INDEX('Data sources'!R:R,MATCH(G45,'Data sources'!A:A,0),1)</f>
        <v>1</v>
      </c>
      <c r="K45" s="2">
        <f>INDEX('Data sources'!S:S,MATCH(G45,'Data sources'!A:A,0),1)</f>
        <v>0</v>
      </c>
      <c r="L45" t="str">
        <f t="shared" si="0"/>
        <v>Combustion installations with a rated thermal input exceeding 20 MW_Manufacture of agricultural and forestry machinery</v>
      </c>
      <c r="M45">
        <f>INDEX('Data sources'!U:U,MATCH($G45,'Data sources'!$A:$A,0),1)</f>
        <v>0.78416348147957027</v>
      </c>
      <c r="N45">
        <f>INDEX('Data sources'!V:V,MATCH($G45,'Data sources'!$A:$A,0),1)</f>
        <v>0.72535139859924458</v>
      </c>
    </row>
    <row r="46" spans="1:14" x14ac:dyDescent="0.2">
      <c r="A46" t="s">
        <v>11</v>
      </c>
      <c r="B46" t="s">
        <v>87</v>
      </c>
      <c r="C46" t="s">
        <v>14</v>
      </c>
      <c r="D46" t="s">
        <v>403</v>
      </c>
      <c r="E46" t="s">
        <v>15</v>
      </c>
      <c r="F46">
        <v>2</v>
      </c>
      <c r="G46" s="30" t="s">
        <v>325</v>
      </c>
      <c r="H46" s="2">
        <f>INDEX('Data sources'!G:G,MATCH(G46,'Data sources'!A:A,0),1)</f>
        <v>5.79E-2</v>
      </c>
      <c r="I46" s="2">
        <f>INDEX('Data sources'!J:J,MATCH(G46,'Data sources'!A:A,0),1)</f>
        <v>4.2599999999999999E-2</v>
      </c>
      <c r="J46" s="2">
        <f>INDEX('Data sources'!R:R,MATCH(G46,'Data sources'!A:A,0),1)</f>
        <v>1</v>
      </c>
      <c r="K46" s="2">
        <f>INDEX('Data sources'!S:S,MATCH(G46,'Data sources'!A:A,0),1)</f>
        <v>0</v>
      </c>
      <c r="L46" t="str">
        <f t="shared" si="0"/>
        <v>Combustion installations with a rated thermal input exceeding 20 MW_Manufacture of air and spacecraft and related machinery</v>
      </c>
      <c r="M46">
        <f>INDEX('Data sources'!U:U,MATCH($G46,'Data sources'!$A:$A,0),1)</f>
        <v>0.78416348147957027</v>
      </c>
      <c r="N46">
        <f>INDEX('Data sources'!V:V,MATCH($G46,'Data sources'!$A:$A,0),1)</f>
        <v>0.72535139859924458</v>
      </c>
    </row>
    <row r="47" spans="1:14" x14ac:dyDescent="0.2">
      <c r="A47" t="s">
        <v>11</v>
      </c>
      <c r="B47" t="s">
        <v>88</v>
      </c>
      <c r="C47" t="s">
        <v>89</v>
      </c>
      <c r="D47" t="s">
        <v>403</v>
      </c>
      <c r="E47" t="s">
        <v>15</v>
      </c>
      <c r="F47">
        <v>1</v>
      </c>
      <c r="G47" s="30" t="s">
        <v>325</v>
      </c>
      <c r="H47" s="2">
        <f>INDEX('Data sources'!G:G,MATCH(G47,'Data sources'!A:A,0),1)</f>
        <v>5.79E-2</v>
      </c>
      <c r="I47" s="2">
        <f>INDEX('Data sources'!J:J,MATCH(G47,'Data sources'!A:A,0),1)</f>
        <v>4.2599999999999999E-2</v>
      </c>
      <c r="J47" s="2">
        <f>INDEX('Data sources'!R:R,MATCH(G47,'Data sources'!A:A,0),1)</f>
        <v>1</v>
      </c>
      <c r="K47" s="2">
        <f>INDEX('Data sources'!S:S,MATCH(G47,'Data sources'!A:A,0),1)</f>
        <v>0</v>
      </c>
      <c r="L47" t="str">
        <f t="shared" si="0"/>
        <v>Combustion installations with a rated thermal input exceeding 20 MW_Manufacture of assembled parquet floors</v>
      </c>
      <c r="M47">
        <f>INDEX('Data sources'!U:U,MATCH($G47,'Data sources'!$A:$A,0),1)</f>
        <v>0.78416348147957027</v>
      </c>
      <c r="N47">
        <f>INDEX('Data sources'!V:V,MATCH($G47,'Data sources'!$A:$A,0),1)</f>
        <v>0.72535139859924458</v>
      </c>
    </row>
    <row r="48" spans="1:14" x14ac:dyDescent="0.2">
      <c r="A48" t="s">
        <v>11</v>
      </c>
      <c r="B48" t="s">
        <v>96</v>
      </c>
      <c r="C48" t="s">
        <v>86</v>
      </c>
      <c r="D48" t="s">
        <v>403</v>
      </c>
      <c r="E48" t="s">
        <v>15</v>
      </c>
      <c r="F48">
        <v>1</v>
      </c>
      <c r="G48" s="30" t="s">
        <v>325</v>
      </c>
      <c r="H48" s="2">
        <f>INDEX('Data sources'!G:G,MATCH(G48,'Data sources'!A:A,0),1)</f>
        <v>5.79E-2</v>
      </c>
      <c r="I48" s="2">
        <f>INDEX('Data sources'!J:J,MATCH(G48,'Data sources'!A:A,0),1)</f>
        <v>4.2599999999999999E-2</v>
      </c>
      <c r="J48" s="2">
        <f>INDEX('Data sources'!R:R,MATCH(G48,'Data sources'!A:A,0),1)</f>
        <v>1</v>
      </c>
      <c r="K48" s="2">
        <f>INDEX('Data sources'!S:S,MATCH(G48,'Data sources'!A:A,0),1)</f>
        <v>0</v>
      </c>
      <c r="L48" t="str">
        <f t="shared" si="0"/>
        <v>Combustion installations with a rated thermal input exceeding 20 MW_Manufacture of bearings, gears, gearing and driving elements</v>
      </c>
      <c r="M48">
        <f>INDEX('Data sources'!U:U,MATCH($G48,'Data sources'!$A:$A,0),1)</f>
        <v>0.78416348147957027</v>
      </c>
      <c r="N48">
        <f>INDEX('Data sources'!V:V,MATCH($G48,'Data sources'!$A:$A,0),1)</f>
        <v>0.72535139859924458</v>
      </c>
    </row>
    <row r="49" spans="1:14" x14ac:dyDescent="0.2">
      <c r="A49" t="s">
        <v>11</v>
      </c>
      <c r="B49" t="s">
        <v>97</v>
      </c>
      <c r="C49" t="s">
        <v>42</v>
      </c>
      <c r="D49" t="s">
        <v>403</v>
      </c>
      <c r="E49" t="s">
        <v>15</v>
      </c>
      <c r="F49">
        <v>10</v>
      </c>
      <c r="G49" s="30" t="s">
        <v>325</v>
      </c>
      <c r="H49" s="2">
        <f>INDEX('Data sources'!G:G,MATCH(G49,'Data sources'!A:A,0),1)</f>
        <v>5.79E-2</v>
      </c>
      <c r="I49" s="2">
        <f>INDEX('Data sources'!J:J,MATCH(G49,'Data sources'!A:A,0),1)</f>
        <v>4.2599999999999999E-2</v>
      </c>
      <c r="J49" s="2">
        <f>INDEX('Data sources'!R:R,MATCH(G49,'Data sources'!A:A,0),1)</f>
        <v>1</v>
      </c>
      <c r="K49" s="2">
        <f>INDEX('Data sources'!S:S,MATCH(G49,'Data sources'!A:A,0),1)</f>
        <v>0</v>
      </c>
      <c r="L49" t="str">
        <f t="shared" si="0"/>
        <v>Combustion installations with a rated thermal input exceeding 20 MW_Manufacture of beer</v>
      </c>
      <c r="M49">
        <f>INDEX('Data sources'!U:U,MATCH($G49,'Data sources'!$A:$A,0),1)</f>
        <v>0.78416348147957027</v>
      </c>
      <c r="N49">
        <f>INDEX('Data sources'!V:V,MATCH($G49,'Data sources'!$A:$A,0),1)</f>
        <v>0.72535139859924458</v>
      </c>
    </row>
    <row r="50" spans="1:14" x14ac:dyDescent="0.2">
      <c r="A50" t="s">
        <v>11</v>
      </c>
      <c r="B50" t="s">
        <v>98</v>
      </c>
      <c r="C50" t="s">
        <v>99</v>
      </c>
      <c r="D50" t="s">
        <v>403</v>
      </c>
      <c r="E50" t="s">
        <v>15</v>
      </c>
      <c r="F50">
        <v>1</v>
      </c>
      <c r="G50" s="30" t="s">
        <v>325</v>
      </c>
      <c r="H50" s="2">
        <f>INDEX('Data sources'!G:G,MATCH(G50,'Data sources'!A:A,0),1)</f>
        <v>5.79E-2</v>
      </c>
      <c r="I50" s="2">
        <f>INDEX('Data sources'!J:J,MATCH(G50,'Data sources'!A:A,0),1)</f>
        <v>4.2599999999999999E-2</v>
      </c>
      <c r="J50" s="2">
        <f>INDEX('Data sources'!R:R,MATCH(G50,'Data sources'!A:A,0),1)</f>
        <v>1</v>
      </c>
      <c r="K50" s="2">
        <f>INDEX('Data sources'!S:S,MATCH(G50,'Data sources'!A:A,0),1)</f>
        <v>0</v>
      </c>
      <c r="L50" t="str">
        <f t="shared" si="0"/>
        <v>Combustion installations with a rated thermal input exceeding 20 MW_Manufacture of bodies (coachwork) for motor vehicles</v>
      </c>
      <c r="M50">
        <f>INDEX('Data sources'!U:U,MATCH($G50,'Data sources'!$A:$A,0),1)</f>
        <v>0.78416348147957027</v>
      </c>
      <c r="N50">
        <f>INDEX('Data sources'!V:V,MATCH($G50,'Data sources'!$A:$A,0),1)</f>
        <v>0.72535139859924458</v>
      </c>
    </row>
    <row r="51" spans="1:14" x14ac:dyDescent="0.2">
      <c r="A51" t="s">
        <v>11</v>
      </c>
      <c r="B51" t="s">
        <v>103</v>
      </c>
      <c r="C51" t="s">
        <v>62</v>
      </c>
      <c r="D51" t="s">
        <v>403</v>
      </c>
      <c r="E51" t="s">
        <v>15</v>
      </c>
      <c r="F51">
        <v>3</v>
      </c>
      <c r="G51" s="30" t="s">
        <v>325</v>
      </c>
      <c r="H51" s="2">
        <f>INDEX('Data sources'!G:G,MATCH(G51,'Data sources'!A:A,0),1)</f>
        <v>5.79E-2</v>
      </c>
      <c r="I51" s="2">
        <f>INDEX('Data sources'!J:J,MATCH(G51,'Data sources'!A:A,0),1)</f>
        <v>4.2599999999999999E-2</v>
      </c>
      <c r="J51" s="2">
        <f>INDEX('Data sources'!R:R,MATCH(G51,'Data sources'!A:A,0),1)</f>
        <v>1</v>
      </c>
      <c r="K51" s="2">
        <f>INDEX('Data sources'!S:S,MATCH(G51,'Data sources'!A:A,0),1)</f>
        <v>0</v>
      </c>
      <c r="L51" t="str">
        <f t="shared" si="0"/>
        <v>Combustion installations with a rated thermal input exceeding 20 MW_Manufacture of carpets and rugs</v>
      </c>
      <c r="M51">
        <f>INDEX('Data sources'!U:U,MATCH($G51,'Data sources'!$A:$A,0),1)</f>
        <v>0.78416348147957027</v>
      </c>
      <c r="N51">
        <f>INDEX('Data sources'!V:V,MATCH($G51,'Data sources'!$A:$A,0),1)</f>
        <v>0.72535139859924458</v>
      </c>
    </row>
    <row r="52" spans="1:14" x14ac:dyDescent="0.2">
      <c r="A52" t="s">
        <v>11</v>
      </c>
      <c r="B52" t="s">
        <v>112</v>
      </c>
      <c r="C52" t="s">
        <v>113</v>
      </c>
      <c r="D52" t="s">
        <v>403</v>
      </c>
      <c r="E52" t="s">
        <v>15</v>
      </c>
      <c r="F52">
        <v>1</v>
      </c>
      <c r="G52" s="30" t="s">
        <v>325</v>
      </c>
      <c r="H52" s="2">
        <f>INDEX('Data sources'!G:G,MATCH(G52,'Data sources'!A:A,0),1)</f>
        <v>5.79E-2</v>
      </c>
      <c r="I52" s="2">
        <f>INDEX('Data sources'!J:J,MATCH(G52,'Data sources'!A:A,0),1)</f>
        <v>4.2599999999999999E-2</v>
      </c>
      <c r="J52" s="2">
        <f>INDEX('Data sources'!R:R,MATCH(G52,'Data sources'!A:A,0),1)</f>
        <v>1</v>
      </c>
      <c r="K52" s="2">
        <f>INDEX('Data sources'!S:S,MATCH(G52,'Data sources'!A:A,0),1)</f>
        <v>0</v>
      </c>
      <c r="L52" t="str">
        <f t="shared" si="0"/>
        <v>Combustion installations with a rated thermal input exceeding 20 MW_Manufacture of cocoa, chocolate and sugar confectionery</v>
      </c>
      <c r="M52">
        <f>INDEX('Data sources'!U:U,MATCH($G52,'Data sources'!$A:$A,0),1)</f>
        <v>0.78416348147957027</v>
      </c>
      <c r="N52">
        <f>INDEX('Data sources'!V:V,MATCH($G52,'Data sources'!$A:$A,0),1)</f>
        <v>0.72535139859924458</v>
      </c>
    </row>
    <row r="53" spans="1:14" x14ac:dyDescent="0.2">
      <c r="A53" t="s">
        <v>11</v>
      </c>
      <c r="B53" t="s">
        <v>117</v>
      </c>
      <c r="C53" t="s">
        <v>118</v>
      </c>
      <c r="D53" t="s">
        <v>403</v>
      </c>
      <c r="E53" t="s">
        <v>15</v>
      </c>
      <c r="F53">
        <v>1</v>
      </c>
      <c r="G53" s="30" t="s">
        <v>325</v>
      </c>
      <c r="H53" s="2">
        <f>INDEX('Data sources'!G:G,MATCH(G53,'Data sources'!A:A,0),1)</f>
        <v>5.79E-2</v>
      </c>
      <c r="I53" s="2">
        <f>INDEX('Data sources'!J:J,MATCH(G53,'Data sources'!A:A,0),1)</f>
        <v>4.2599999999999999E-2</v>
      </c>
      <c r="J53" s="2">
        <f>INDEX('Data sources'!R:R,MATCH(G53,'Data sources'!A:A,0),1)</f>
        <v>1</v>
      </c>
      <c r="K53" s="2">
        <f>INDEX('Data sources'!S:S,MATCH(G53,'Data sources'!A:A,0),1)</f>
        <v>0</v>
      </c>
      <c r="L53" t="str">
        <f t="shared" si="0"/>
        <v>Combustion installations with a rated thermal input exceeding 20 MW_Manufacture of computers and peripheral equipment</v>
      </c>
      <c r="M53">
        <f>INDEX('Data sources'!U:U,MATCH($G53,'Data sources'!$A:$A,0),1)</f>
        <v>0.78416348147957027</v>
      </c>
      <c r="N53">
        <f>INDEX('Data sources'!V:V,MATCH($G53,'Data sources'!$A:$A,0),1)</f>
        <v>0.72535139859924458</v>
      </c>
    </row>
    <row r="54" spans="1:14" x14ac:dyDescent="0.2">
      <c r="A54" t="s">
        <v>11</v>
      </c>
      <c r="B54" t="s">
        <v>131</v>
      </c>
      <c r="C54" t="s">
        <v>118</v>
      </c>
      <c r="D54" t="s">
        <v>403</v>
      </c>
      <c r="E54" t="s">
        <v>15</v>
      </c>
      <c r="F54">
        <v>2</v>
      </c>
      <c r="G54" s="30" t="s">
        <v>325</v>
      </c>
      <c r="H54" s="2">
        <f>INDEX('Data sources'!G:G,MATCH(G54,'Data sources'!A:A,0),1)</f>
        <v>5.79E-2</v>
      </c>
      <c r="I54" s="2">
        <f>INDEX('Data sources'!J:J,MATCH(G54,'Data sources'!A:A,0),1)</f>
        <v>4.2599999999999999E-2</v>
      </c>
      <c r="J54" s="2">
        <f>INDEX('Data sources'!R:R,MATCH(G54,'Data sources'!A:A,0),1)</f>
        <v>1</v>
      </c>
      <c r="K54" s="2">
        <f>INDEX('Data sources'!S:S,MATCH(G54,'Data sources'!A:A,0),1)</f>
        <v>0</v>
      </c>
      <c r="L54" t="str">
        <f t="shared" si="0"/>
        <v>Combustion installations with a rated thermal input exceeding 20 MW_Manufacture of electronic components</v>
      </c>
      <c r="M54">
        <f>INDEX('Data sources'!U:U,MATCH($G54,'Data sources'!$A:$A,0),1)</f>
        <v>0.78416348147957027</v>
      </c>
      <c r="N54">
        <f>INDEX('Data sources'!V:V,MATCH($G54,'Data sources'!$A:$A,0),1)</f>
        <v>0.72535139859924458</v>
      </c>
    </row>
    <row r="55" spans="1:14" x14ac:dyDescent="0.2">
      <c r="A55" t="s">
        <v>11</v>
      </c>
      <c r="B55" t="s">
        <v>139</v>
      </c>
      <c r="C55" t="s">
        <v>113</v>
      </c>
      <c r="D55" t="s">
        <v>403</v>
      </c>
      <c r="E55" t="s">
        <v>15</v>
      </c>
      <c r="F55">
        <v>2</v>
      </c>
      <c r="G55" s="30" t="s">
        <v>325</v>
      </c>
      <c r="H55" s="2">
        <f>INDEX('Data sources'!G:G,MATCH(G55,'Data sources'!A:A,0),1)</f>
        <v>5.79E-2</v>
      </c>
      <c r="I55" s="2">
        <f>INDEX('Data sources'!J:J,MATCH(G55,'Data sources'!A:A,0),1)</f>
        <v>4.2599999999999999E-2</v>
      </c>
      <c r="J55" s="2">
        <f>INDEX('Data sources'!R:R,MATCH(G55,'Data sources'!A:A,0),1)</f>
        <v>1</v>
      </c>
      <c r="K55" s="2">
        <f>INDEX('Data sources'!S:S,MATCH(G55,'Data sources'!A:A,0),1)</f>
        <v>0</v>
      </c>
      <c r="L55" t="str">
        <f t="shared" si="0"/>
        <v>Combustion installations with a rated thermal input exceeding 20 MW_Manufacture of fruit and vegetable juice</v>
      </c>
      <c r="M55">
        <f>INDEX('Data sources'!U:U,MATCH($G55,'Data sources'!$A:$A,0),1)</f>
        <v>0.78416348147957027</v>
      </c>
      <c r="N55">
        <f>INDEX('Data sources'!V:V,MATCH($G55,'Data sources'!$A:$A,0),1)</f>
        <v>0.72535139859924458</v>
      </c>
    </row>
    <row r="56" spans="1:14" x14ac:dyDescent="0.2">
      <c r="A56" t="s">
        <v>11</v>
      </c>
      <c r="B56" t="s">
        <v>147</v>
      </c>
      <c r="C56" t="s">
        <v>113</v>
      </c>
      <c r="D56" t="s">
        <v>403</v>
      </c>
      <c r="E56" t="s">
        <v>15</v>
      </c>
      <c r="F56">
        <v>1</v>
      </c>
      <c r="G56" s="30" t="s">
        <v>325</v>
      </c>
      <c r="H56" s="2">
        <f>INDEX('Data sources'!G:G,MATCH(G56,'Data sources'!A:A,0),1)</f>
        <v>5.79E-2</v>
      </c>
      <c r="I56" s="2">
        <f>INDEX('Data sources'!J:J,MATCH(G56,'Data sources'!A:A,0),1)</f>
        <v>4.2599999999999999E-2</v>
      </c>
      <c r="J56" s="2">
        <f>INDEX('Data sources'!R:R,MATCH(G56,'Data sources'!A:A,0),1)</f>
        <v>1</v>
      </c>
      <c r="K56" s="2">
        <f>INDEX('Data sources'!S:S,MATCH(G56,'Data sources'!A:A,0),1)</f>
        <v>0</v>
      </c>
      <c r="L56" t="str">
        <f t="shared" si="0"/>
        <v>Combustion installations with a rated thermal input exceeding 20 MW_Manufacture of homogenised food preparations and dietetic food</v>
      </c>
      <c r="M56">
        <f>INDEX('Data sources'!U:U,MATCH($G56,'Data sources'!$A:$A,0),1)</f>
        <v>0.78416348147957027</v>
      </c>
      <c r="N56">
        <f>INDEX('Data sources'!V:V,MATCH($G56,'Data sources'!$A:$A,0),1)</f>
        <v>0.72535139859924458</v>
      </c>
    </row>
    <row r="57" spans="1:14" x14ac:dyDescent="0.2">
      <c r="A57" t="s">
        <v>11</v>
      </c>
      <c r="B57" t="s">
        <v>156</v>
      </c>
      <c r="C57" t="s">
        <v>113</v>
      </c>
      <c r="D57" t="s">
        <v>403</v>
      </c>
      <c r="E57" t="s">
        <v>15</v>
      </c>
      <c r="F57">
        <v>1</v>
      </c>
      <c r="G57" s="30" t="s">
        <v>325</v>
      </c>
      <c r="H57" s="2">
        <f>INDEX('Data sources'!G:G,MATCH(G57,'Data sources'!A:A,0),1)</f>
        <v>5.79E-2</v>
      </c>
      <c r="I57" s="2">
        <f>INDEX('Data sources'!J:J,MATCH(G57,'Data sources'!A:A,0),1)</f>
        <v>4.2599999999999999E-2</v>
      </c>
      <c r="J57" s="2">
        <f>INDEX('Data sources'!R:R,MATCH(G57,'Data sources'!A:A,0),1)</f>
        <v>1</v>
      </c>
      <c r="K57" s="2">
        <f>INDEX('Data sources'!S:S,MATCH(G57,'Data sources'!A:A,0),1)</f>
        <v>0</v>
      </c>
      <c r="L57" t="str">
        <f t="shared" si="0"/>
        <v>Combustion installations with a rated thermal input exceeding 20 MW_Manufacture of macaroni, noodles, couscous and similar farinaceous products</v>
      </c>
      <c r="M57">
        <f>INDEX('Data sources'!U:U,MATCH($G57,'Data sources'!$A:$A,0),1)</f>
        <v>0.78416348147957027</v>
      </c>
      <c r="N57">
        <f>INDEX('Data sources'!V:V,MATCH($G57,'Data sources'!$A:$A,0),1)</f>
        <v>0.72535139859924458</v>
      </c>
    </row>
    <row r="58" spans="1:14" x14ac:dyDescent="0.2">
      <c r="A58" t="s">
        <v>11</v>
      </c>
      <c r="B58" t="s">
        <v>158</v>
      </c>
      <c r="C58" t="s">
        <v>86</v>
      </c>
      <c r="D58" t="s">
        <v>403</v>
      </c>
      <c r="E58" t="s">
        <v>15</v>
      </c>
      <c r="F58">
        <v>1</v>
      </c>
      <c r="G58" s="30" t="s">
        <v>325</v>
      </c>
      <c r="H58" s="2">
        <f>INDEX('Data sources'!G:G,MATCH(G58,'Data sources'!A:A,0),1)</f>
        <v>5.79E-2</v>
      </c>
      <c r="I58" s="2">
        <f>INDEX('Data sources'!J:J,MATCH(G58,'Data sources'!A:A,0),1)</f>
        <v>4.2599999999999999E-2</v>
      </c>
      <c r="J58" s="2">
        <f>INDEX('Data sources'!R:R,MATCH(G58,'Data sources'!A:A,0),1)</f>
        <v>1</v>
      </c>
      <c r="K58" s="2">
        <f>INDEX('Data sources'!S:S,MATCH(G58,'Data sources'!A:A,0),1)</f>
        <v>0</v>
      </c>
      <c r="L58" t="str">
        <f t="shared" si="0"/>
        <v>Combustion installations with a rated thermal input exceeding 20 MW_Manufacture of machinery for mining, quarrying and construction</v>
      </c>
      <c r="M58">
        <f>INDEX('Data sources'!U:U,MATCH($G58,'Data sources'!$A:$A,0),1)</f>
        <v>0.78416348147957027</v>
      </c>
      <c r="N58">
        <f>INDEX('Data sources'!V:V,MATCH($G58,'Data sources'!$A:$A,0),1)</f>
        <v>0.72535139859924458</v>
      </c>
    </row>
    <row r="59" spans="1:14" x14ac:dyDescent="0.2">
      <c r="A59" t="s">
        <v>11</v>
      </c>
      <c r="B59" t="s">
        <v>159</v>
      </c>
      <c r="C59" t="s">
        <v>86</v>
      </c>
      <c r="D59" t="s">
        <v>403</v>
      </c>
      <c r="E59" t="s">
        <v>15</v>
      </c>
      <c r="F59">
        <v>1</v>
      </c>
      <c r="G59" s="30" t="s">
        <v>325</v>
      </c>
      <c r="H59" s="2">
        <f>INDEX('Data sources'!G:G,MATCH(G59,'Data sources'!A:A,0),1)</f>
        <v>5.79E-2</v>
      </c>
      <c r="I59" s="2">
        <f>INDEX('Data sources'!J:J,MATCH(G59,'Data sources'!A:A,0),1)</f>
        <v>4.2599999999999999E-2</v>
      </c>
      <c r="J59" s="2">
        <f>INDEX('Data sources'!R:R,MATCH(G59,'Data sources'!A:A,0),1)</f>
        <v>1</v>
      </c>
      <c r="K59" s="2">
        <f>INDEX('Data sources'!S:S,MATCH(G59,'Data sources'!A:A,0),1)</f>
        <v>0</v>
      </c>
      <c r="L59" t="str">
        <f t="shared" si="0"/>
        <v>Combustion installations with a rated thermal input exceeding 20 MW_Manufacture of machinery for textile, apparel and leather production</v>
      </c>
      <c r="M59">
        <f>INDEX('Data sources'!U:U,MATCH($G59,'Data sources'!$A:$A,0),1)</f>
        <v>0.78416348147957027</v>
      </c>
      <c r="N59">
        <f>INDEX('Data sources'!V:V,MATCH($G59,'Data sources'!$A:$A,0),1)</f>
        <v>0.72535139859924458</v>
      </c>
    </row>
    <row r="60" spans="1:14" x14ac:dyDescent="0.2">
      <c r="A60" t="s">
        <v>11</v>
      </c>
      <c r="B60" t="s">
        <v>160</v>
      </c>
      <c r="C60" t="s">
        <v>62</v>
      </c>
      <c r="D60" t="s">
        <v>403</v>
      </c>
      <c r="E60" t="s">
        <v>15</v>
      </c>
      <c r="F60">
        <v>1</v>
      </c>
      <c r="G60" s="30" t="s">
        <v>325</v>
      </c>
      <c r="H60" s="2">
        <f>INDEX('Data sources'!G:G,MATCH(G60,'Data sources'!A:A,0),1)</f>
        <v>5.79E-2</v>
      </c>
      <c r="I60" s="2">
        <f>INDEX('Data sources'!J:J,MATCH(G60,'Data sources'!A:A,0),1)</f>
        <v>4.2599999999999999E-2</v>
      </c>
      <c r="J60" s="2">
        <f>INDEX('Data sources'!R:R,MATCH(G60,'Data sources'!A:A,0),1)</f>
        <v>1</v>
      </c>
      <c r="K60" s="2">
        <f>INDEX('Data sources'!S:S,MATCH(G60,'Data sources'!A:A,0),1)</f>
        <v>0</v>
      </c>
      <c r="L60" t="str">
        <f t="shared" si="0"/>
        <v>Combustion installations with a rated thermal input exceeding 20 MW_Manufacture of made-up textile articles, except apparel</v>
      </c>
      <c r="M60">
        <f>INDEX('Data sources'!U:U,MATCH($G60,'Data sources'!$A:$A,0),1)</f>
        <v>0.78416348147957027</v>
      </c>
      <c r="N60">
        <f>INDEX('Data sources'!V:V,MATCH($G60,'Data sources'!$A:$A,0),1)</f>
        <v>0.72535139859924458</v>
      </c>
    </row>
    <row r="61" spans="1:14" x14ac:dyDescent="0.2">
      <c r="A61" t="s">
        <v>11</v>
      </c>
      <c r="B61" t="s">
        <v>165</v>
      </c>
      <c r="C61" t="s">
        <v>65</v>
      </c>
      <c r="D61" t="s">
        <v>403</v>
      </c>
      <c r="E61" t="s">
        <v>15</v>
      </c>
      <c r="F61">
        <v>1</v>
      </c>
      <c r="G61" s="30" t="s">
        <v>325</v>
      </c>
      <c r="H61" s="2">
        <f>INDEX('Data sources'!G:G,MATCH(G61,'Data sources'!A:A,0),1)</f>
        <v>5.79E-2</v>
      </c>
      <c r="I61" s="2">
        <f>INDEX('Data sources'!J:J,MATCH(G61,'Data sources'!A:A,0),1)</f>
        <v>4.2599999999999999E-2</v>
      </c>
      <c r="J61" s="2">
        <f>INDEX('Data sources'!R:R,MATCH(G61,'Data sources'!A:A,0),1)</f>
        <v>1</v>
      </c>
      <c r="K61" s="2">
        <f>INDEX('Data sources'!S:S,MATCH(G61,'Data sources'!A:A,0),1)</f>
        <v>0</v>
      </c>
      <c r="L61" t="str">
        <f t="shared" si="0"/>
        <v>Combustion installations with a rated thermal input exceeding 20 MW_Manufacture of metal structures and parts of structures</v>
      </c>
      <c r="M61">
        <f>INDEX('Data sources'!U:U,MATCH($G61,'Data sources'!$A:$A,0),1)</f>
        <v>0.78416348147957027</v>
      </c>
      <c r="N61">
        <f>INDEX('Data sources'!V:V,MATCH($G61,'Data sources'!$A:$A,0),1)</f>
        <v>0.72535139859924458</v>
      </c>
    </row>
    <row r="62" spans="1:14" x14ac:dyDescent="0.2">
      <c r="A62" t="s">
        <v>11</v>
      </c>
      <c r="B62" t="s">
        <v>167</v>
      </c>
      <c r="C62" t="s">
        <v>99</v>
      </c>
      <c r="D62" t="s">
        <v>403</v>
      </c>
      <c r="E62" t="s">
        <v>15</v>
      </c>
      <c r="F62">
        <v>3</v>
      </c>
      <c r="G62" s="30" t="s">
        <v>325</v>
      </c>
      <c r="H62" s="2">
        <f>INDEX('Data sources'!G:G,MATCH(G62,'Data sources'!A:A,0),1)</f>
        <v>5.79E-2</v>
      </c>
      <c r="I62" s="2">
        <f>INDEX('Data sources'!J:J,MATCH(G62,'Data sources'!A:A,0),1)</f>
        <v>4.2599999999999999E-2</v>
      </c>
      <c r="J62" s="2">
        <f>INDEX('Data sources'!R:R,MATCH(G62,'Data sources'!A:A,0),1)</f>
        <v>1</v>
      </c>
      <c r="K62" s="2">
        <f>INDEX('Data sources'!S:S,MATCH(G62,'Data sources'!A:A,0),1)</f>
        <v>0</v>
      </c>
      <c r="L62" t="str">
        <f t="shared" si="0"/>
        <v>Combustion installations with a rated thermal input exceeding 20 MW_Manufacture of motor vehicles</v>
      </c>
      <c r="M62">
        <f>INDEX('Data sources'!U:U,MATCH($G62,'Data sources'!$A:$A,0),1)</f>
        <v>0.78416348147957027</v>
      </c>
      <c r="N62">
        <f>INDEX('Data sources'!V:V,MATCH($G62,'Data sources'!$A:$A,0),1)</f>
        <v>0.72535139859924458</v>
      </c>
    </row>
    <row r="63" spans="1:14" x14ac:dyDescent="0.2">
      <c r="A63" t="s">
        <v>11</v>
      </c>
      <c r="B63" t="s">
        <v>169</v>
      </c>
      <c r="C63" t="s">
        <v>86</v>
      </c>
      <c r="D63" t="s">
        <v>403</v>
      </c>
      <c r="E63" t="s">
        <v>15</v>
      </c>
      <c r="F63">
        <v>1</v>
      </c>
      <c r="G63" s="30" t="s">
        <v>325</v>
      </c>
      <c r="H63" s="2">
        <f>INDEX('Data sources'!G:G,MATCH(G63,'Data sources'!A:A,0),1)</f>
        <v>5.79E-2</v>
      </c>
      <c r="I63" s="2">
        <f>INDEX('Data sources'!J:J,MATCH(G63,'Data sources'!A:A,0),1)</f>
        <v>4.2599999999999999E-2</v>
      </c>
      <c r="J63" s="2">
        <f>INDEX('Data sources'!R:R,MATCH(G63,'Data sources'!A:A,0),1)</f>
        <v>1</v>
      </c>
      <c r="K63" s="2">
        <f>INDEX('Data sources'!S:S,MATCH(G63,'Data sources'!A:A,0),1)</f>
        <v>0</v>
      </c>
      <c r="L63" t="str">
        <f t="shared" si="0"/>
        <v>Combustion installations with a rated thermal input exceeding 20 MW_Manufacture of non-domestic cooling and ventilation equipment</v>
      </c>
      <c r="M63">
        <f>INDEX('Data sources'!U:U,MATCH($G63,'Data sources'!$A:$A,0),1)</f>
        <v>0.78416348147957027</v>
      </c>
      <c r="N63">
        <f>INDEX('Data sources'!V:V,MATCH($G63,'Data sources'!$A:$A,0),1)</f>
        <v>0.72535139859924458</v>
      </c>
    </row>
    <row r="64" spans="1:14" x14ac:dyDescent="0.2">
      <c r="A64" t="s">
        <v>11</v>
      </c>
      <c r="B64" t="s">
        <v>171</v>
      </c>
      <c r="C64" t="s">
        <v>113</v>
      </c>
      <c r="D64" t="s">
        <v>403</v>
      </c>
      <c r="E64" t="s">
        <v>15</v>
      </c>
      <c r="F64">
        <v>3</v>
      </c>
      <c r="G64" s="30" t="s">
        <v>325</v>
      </c>
      <c r="H64" s="2">
        <f>INDEX('Data sources'!G:G,MATCH(G64,'Data sources'!A:A,0),1)</f>
        <v>5.79E-2</v>
      </c>
      <c r="I64" s="2">
        <f>INDEX('Data sources'!J:J,MATCH(G64,'Data sources'!A:A,0),1)</f>
        <v>4.2599999999999999E-2</v>
      </c>
      <c r="J64" s="2">
        <f>INDEX('Data sources'!R:R,MATCH(G64,'Data sources'!A:A,0),1)</f>
        <v>1</v>
      </c>
      <c r="K64" s="2">
        <f>INDEX('Data sources'!S:S,MATCH(G64,'Data sources'!A:A,0),1)</f>
        <v>0</v>
      </c>
      <c r="L64" t="str">
        <f t="shared" si="0"/>
        <v>Combustion installations with a rated thermal input exceeding 20 MW_Manufacture of oils and fats</v>
      </c>
      <c r="M64">
        <f>INDEX('Data sources'!U:U,MATCH($G64,'Data sources'!$A:$A,0),1)</f>
        <v>0.78416348147957027</v>
      </c>
      <c r="N64">
        <f>INDEX('Data sources'!V:V,MATCH($G64,'Data sources'!$A:$A,0),1)</f>
        <v>0.72535139859924458</v>
      </c>
    </row>
    <row r="65" spans="1:14" x14ac:dyDescent="0.2">
      <c r="A65" t="s">
        <v>11</v>
      </c>
      <c r="B65" t="s">
        <v>178</v>
      </c>
      <c r="C65" t="s">
        <v>127</v>
      </c>
      <c r="D65" t="s">
        <v>403</v>
      </c>
      <c r="E65" t="s">
        <v>15</v>
      </c>
      <c r="F65">
        <v>1</v>
      </c>
      <c r="G65" s="30" t="s">
        <v>325</v>
      </c>
      <c r="H65" s="2">
        <f>INDEX('Data sources'!G:G,MATCH(G65,'Data sources'!A:A,0),1)</f>
        <v>5.79E-2</v>
      </c>
      <c r="I65" s="2">
        <f>INDEX('Data sources'!J:J,MATCH(G65,'Data sources'!A:A,0),1)</f>
        <v>4.2599999999999999E-2</v>
      </c>
      <c r="J65" s="2">
        <f>INDEX('Data sources'!R:R,MATCH(G65,'Data sources'!A:A,0),1)</f>
        <v>1</v>
      </c>
      <c r="K65" s="2">
        <f>INDEX('Data sources'!S:S,MATCH(G65,'Data sources'!A:A,0),1)</f>
        <v>0</v>
      </c>
      <c r="L65" t="str">
        <f t="shared" si="0"/>
        <v>Combustion installations with a rated thermal input exceeding 20 MW_Manufacture of other electrical equipment</v>
      </c>
      <c r="M65">
        <f>INDEX('Data sources'!U:U,MATCH($G65,'Data sources'!$A:$A,0),1)</f>
        <v>0.78416348147957027</v>
      </c>
      <c r="N65">
        <f>INDEX('Data sources'!V:V,MATCH($G65,'Data sources'!$A:$A,0),1)</f>
        <v>0.72535139859924458</v>
      </c>
    </row>
    <row r="66" spans="1:14" x14ac:dyDescent="0.2">
      <c r="A66" t="s">
        <v>11</v>
      </c>
      <c r="B66" t="s">
        <v>179</v>
      </c>
      <c r="C66" t="s">
        <v>127</v>
      </c>
      <c r="D66" t="s">
        <v>403</v>
      </c>
      <c r="E66" t="s">
        <v>15</v>
      </c>
      <c r="F66">
        <v>1</v>
      </c>
      <c r="G66" s="30" t="s">
        <v>325</v>
      </c>
      <c r="H66" s="2">
        <f>INDEX('Data sources'!G:G,MATCH(G66,'Data sources'!A:A,0),1)</f>
        <v>5.79E-2</v>
      </c>
      <c r="I66" s="2">
        <f>INDEX('Data sources'!J:J,MATCH(G66,'Data sources'!A:A,0),1)</f>
        <v>4.2599999999999999E-2</v>
      </c>
      <c r="J66" s="2">
        <f>INDEX('Data sources'!R:R,MATCH(G66,'Data sources'!A:A,0),1)</f>
        <v>1</v>
      </c>
      <c r="K66" s="2">
        <f>INDEX('Data sources'!S:S,MATCH(G66,'Data sources'!A:A,0),1)</f>
        <v>0</v>
      </c>
      <c r="L66" t="str">
        <f t="shared" ref="L66:L129" si="1">IF(B66="",A66,A66&amp;"_"&amp;B66)</f>
        <v>Combustion installations with a rated thermal input exceeding 20 MW_Manufacture of other electronic and electric wires and cables</v>
      </c>
      <c r="M66">
        <f>INDEX('Data sources'!U:U,MATCH($G66,'Data sources'!$A:$A,0),1)</f>
        <v>0.78416348147957027</v>
      </c>
      <c r="N66">
        <f>INDEX('Data sources'!V:V,MATCH($G66,'Data sources'!$A:$A,0),1)</f>
        <v>0.72535139859924458</v>
      </c>
    </row>
    <row r="67" spans="1:14" x14ac:dyDescent="0.2">
      <c r="A67" t="s">
        <v>11</v>
      </c>
      <c r="B67" t="s">
        <v>182</v>
      </c>
      <c r="C67" t="s">
        <v>113</v>
      </c>
      <c r="D67" t="s">
        <v>403</v>
      </c>
      <c r="E67" t="s">
        <v>15</v>
      </c>
      <c r="F67">
        <v>2</v>
      </c>
      <c r="G67" s="30" t="s">
        <v>325</v>
      </c>
      <c r="H67" s="2">
        <f>INDEX('Data sources'!G:G,MATCH(G67,'Data sources'!A:A,0),1)</f>
        <v>5.79E-2</v>
      </c>
      <c r="I67" s="2">
        <f>INDEX('Data sources'!J:J,MATCH(G67,'Data sources'!A:A,0),1)</f>
        <v>4.2599999999999999E-2</v>
      </c>
      <c r="J67" s="2">
        <f>INDEX('Data sources'!R:R,MATCH(G67,'Data sources'!A:A,0),1)</f>
        <v>1</v>
      </c>
      <c r="K67" s="2">
        <f>INDEX('Data sources'!S:S,MATCH(G67,'Data sources'!A:A,0),1)</f>
        <v>0</v>
      </c>
      <c r="L67" t="str">
        <f t="shared" si="1"/>
        <v>Combustion installations with a rated thermal input exceeding 20 MW_Manufacture of other food products n.e.c.</v>
      </c>
      <c r="M67">
        <f>INDEX('Data sources'!U:U,MATCH($G67,'Data sources'!$A:$A,0),1)</f>
        <v>0.78416348147957027</v>
      </c>
      <c r="N67">
        <f>INDEX('Data sources'!V:V,MATCH($G67,'Data sources'!$A:$A,0),1)</f>
        <v>0.72535139859924458</v>
      </c>
    </row>
    <row r="68" spans="1:14" x14ac:dyDescent="0.2">
      <c r="A68" t="s">
        <v>11</v>
      </c>
      <c r="B68" t="s">
        <v>183</v>
      </c>
      <c r="C68" t="s">
        <v>184</v>
      </c>
      <c r="D68" t="s">
        <v>403</v>
      </c>
      <c r="E68" t="s">
        <v>15</v>
      </c>
      <c r="F68">
        <v>1</v>
      </c>
      <c r="G68" s="30" t="s">
        <v>325</v>
      </c>
      <c r="H68" s="2">
        <f>INDEX('Data sources'!G:G,MATCH(G68,'Data sources'!A:A,0),1)</f>
        <v>5.79E-2</v>
      </c>
      <c r="I68" s="2">
        <f>INDEX('Data sources'!J:J,MATCH(G68,'Data sources'!A:A,0),1)</f>
        <v>4.2599999999999999E-2</v>
      </c>
      <c r="J68" s="2">
        <f>INDEX('Data sources'!R:R,MATCH(G68,'Data sources'!A:A,0),1)</f>
        <v>1</v>
      </c>
      <c r="K68" s="2">
        <f>INDEX('Data sources'!S:S,MATCH(G68,'Data sources'!A:A,0),1)</f>
        <v>0</v>
      </c>
      <c r="L68" t="str">
        <f t="shared" si="1"/>
        <v>Combustion installations with a rated thermal input exceeding 20 MW_Manufacture of other furniture</v>
      </c>
      <c r="M68">
        <f>INDEX('Data sources'!U:U,MATCH($G68,'Data sources'!$A:$A,0),1)</f>
        <v>0.78416348147957027</v>
      </c>
      <c r="N68">
        <f>INDEX('Data sources'!V:V,MATCH($G68,'Data sources'!$A:$A,0),1)</f>
        <v>0.72535139859924458</v>
      </c>
    </row>
    <row r="69" spans="1:14" x14ac:dyDescent="0.2">
      <c r="A69" t="s">
        <v>11</v>
      </c>
      <c r="B69" t="s">
        <v>194</v>
      </c>
      <c r="C69" t="s">
        <v>195</v>
      </c>
      <c r="D69" t="s">
        <v>403</v>
      </c>
      <c r="E69" t="s">
        <v>15</v>
      </c>
      <c r="F69">
        <v>1</v>
      </c>
      <c r="G69" s="30" t="s">
        <v>325</v>
      </c>
      <c r="H69" s="2">
        <f>INDEX('Data sources'!G:G,MATCH(G69,'Data sources'!A:A,0),1)</f>
        <v>5.79E-2</v>
      </c>
      <c r="I69" s="2">
        <f>INDEX('Data sources'!J:J,MATCH(G69,'Data sources'!A:A,0),1)</f>
        <v>4.2599999999999999E-2</v>
      </c>
      <c r="J69" s="2">
        <f>INDEX('Data sources'!R:R,MATCH(G69,'Data sources'!A:A,0),1)</f>
        <v>1</v>
      </c>
      <c r="K69" s="2">
        <f>INDEX('Data sources'!S:S,MATCH(G69,'Data sources'!A:A,0),1)</f>
        <v>0</v>
      </c>
      <c r="L69" t="str">
        <f t="shared" si="1"/>
        <v>Combustion installations with a rated thermal input exceeding 20 MW_Manufacture of other outerwear</v>
      </c>
      <c r="M69">
        <f>INDEX('Data sources'!U:U,MATCH($G69,'Data sources'!$A:$A,0),1)</f>
        <v>0.78416348147957027</v>
      </c>
      <c r="N69">
        <f>INDEX('Data sources'!V:V,MATCH($G69,'Data sources'!$A:$A,0),1)</f>
        <v>0.72535139859924458</v>
      </c>
    </row>
    <row r="70" spans="1:14" x14ac:dyDescent="0.2">
      <c r="A70" t="s">
        <v>11</v>
      </c>
      <c r="B70" t="s">
        <v>196</v>
      </c>
      <c r="C70" t="s">
        <v>99</v>
      </c>
      <c r="D70" t="s">
        <v>403</v>
      </c>
      <c r="E70" t="s">
        <v>15</v>
      </c>
      <c r="F70">
        <v>4</v>
      </c>
      <c r="G70" s="30" t="s">
        <v>325</v>
      </c>
      <c r="H70" s="2">
        <f>INDEX('Data sources'!G:G,MATCH(G70,'Data sources'!A:A,0),1)</f>
        <v>5.79E-2</v>
      </c>
      <c r="I70" s="2">
        <f>INDEX('Data sources'!J:J,MATCH(G70,'Data sources'!A:A,0),1)</f>
        <v>4.2599999999999999E-2</v>
      </c>
      <c r="J70" s="2">
        <f>INDEX('Data sources'!R:R,MATCH(G70,'Data sources'!A:A,0),1)</f>
        <v>1</v>
      </c>
      <c r="K70" s="2">
        <f>INDEX('Data sources'!S:S,MATCH(G70,'Data sources'!A:A,0),1)</f>
        <v>0</v>
      </c>
      <c r="L70" t="str">
        <f t="shared" si="1"/>
        <v>Combustion installations with a rated thermal input exceeding 20 MW_Manufacture of other parts and accessories for motor vehicles</v>
      </c>
      <c r="M70">
        <f>INDEX('Data sources'!U:U,MATCH($G70,'Data sources'!$A:$A,0),1)</f>
        <v>0.78416348147957027</v>
      </c>
      <c r="N70">
        <f>INDEX('Data sources'!V:V,MATCH($G70,'Data sources'!$A:$A,0),1)</f>
        <v>0.72535139859924458</v>
      </c>
    </row>
    <row r="71" spans="1:14" x14ac:dyDescent="0.2">
      <c r="A71" t="s">
        <v>11</v>
      </c>
      <c r="B71" t="s">
        <v>201</v>
      </c>
      <c r="C71" t="s">
        <v>86</v>
      </c>
      <c r="D71" t="s">
        <v>403</v>
      </c>
      <c r="E71" t="s">
        <v>15</v>
      </c>
      <c r="F71">
        <v>3</v>
      </c>
      <c r="G71" s="30" t="s">
        <v>325</v>
      </c>
      <c r="H71" s="2">
        <f>INDEX('Data sources'!G:G,MATCH(G71,'Data sources'!A:A,0),1)</f>
        <v>5.79E-2</v>
      </c>
      <c r="I71" s="2">
        <f>INDEX('Data sources'!J:J,MATCH(G71,'Data sources'!A:A,0),1)</f>
        <v>4.2599999999999999E-2</v>
      </c>
      <c r="J71" s="2">
        <f>INDEX('Data sources'!R:R,MATCH(G71,'Data sources'!A:A,0),1)</f>
        <v>1</v>
      </c>
      <c r="K71" s="2">
        <f>INDEX('Data sources'!S:S,MATCH(G71,'Data sources'!A:A,0),1)</f>
        <v>0</v>
      </c>
      <c r="L71" t="str">
        <f t="shared" si="1"/>
        <v>Combustion installations with a rated thermal input exceeding 20 MW_Manufacture of other pumps and compressors</v>
      </c>
      <c r="M71">
        <f>INDEX('Data sources'!U:U,MATCH($G71,'Data sources'!$A:$A,0),1)</f>
        <v>0.78416348147957027</v>
      </c>
      <c r="N71">
        <f>INDEX('Data sources'!V:V,MATCH($G71,'Data sources'!$A:$A,0),1)</f>
        <v>0.72535139859924458</v>
      </c>
    </row>
    <row r="72" spans="1:14" x14ac:dyDescent="0.2">
      <c r="A72" t="s">
        <v>11</v>
      </c>
      <c r="B72" t="s">
        <v>203</v>
      </c>
      <c r="C72" t="s">
        <v>86</v>
      </c>
      <c r="D72" t="s">
        <v>403</v>
      </c>
      <c r="E72" t="s">
        <v>15</v>
      </c>
      <c r="F72">
        <v>2</v>
      </c>
      <c r="G72" s="30" t="s">
        <v>325</v>
      </c>
      <c r="H72" s="2">
        <f>INDEX('Data sources'!G:G,MATCH(G72,'Data sources'!A:A,0),1)</f>
        <v>5.79E-2</v>
      </c>
      <c r="I72" s="2">
        <f>INDEX('Data sources'!J:J,MATCH(G72,'Data sources'!A:A,0),1)</f>
        <v>4.2599999999999999E-2</v>
      </c>
      <c r="J72" s="2">
        <f>INDEX('Data sources'!R:R,MATCH(G72,'Data sources'!A:A,0),1)</f>
        <v>1</v>
      </c>
      <c r="K72" s="2">
        <f>INDEX('Data sources'!S:S,MATCH(G72,'Data sources'!A:A,0),1)</f>
        <v>0</v>
      </c>
      <c r="L72" t="str">
        <f t="shared" si="1"/>
        <v>Combustion installations with a rated thermal input exceeding 20 MW_Manufacture of other special-purpose machinery n.e.c.</v>
      </c>
      <c r="M72">
        <f>INDEX('Data sources'!U:U,MATCH($G72,'Data sources'!$A:$A,0),1)</f>
        <v>0.78416348147957027</v>
      </c>
      <c r="N72">
        <f>INDEX('Data sources'!V:V,MATCH($G72,'Data sources'!$A:$A,0),1)</f>
        <v>0.72535139859924458</v>
      </c>
    </row>
    <row r="73" spans="1:14" x14ac:dyDescent="0.2">
      <c r="A73" t="s">
        <v>11</v>
      </c>
      <c r="B73" t="s">
        <v>217</v>
      </c>
      <c r="C73" t="s">
        <v>113</v>
      </c>
      <c r="D73" t="s">
        <v>403</v>
      </c>
      <c r="E73" t="s">
        <v>15</v>
      </c>
      <c r="F73">
        <v>3</v>
      </c>
      <c r="G73" s="30" t="s">
        <v>325</v>
      </c>
      <c r="H73" s="2">
        <f>INDEX('Data sources'!G:G,MATCH(G73,'Data sources'!A:A,0),1)</f>
        <v>5.79E-2</v>
      </c>
      <c r="I73" s="2">
        <f>INDEX('Data sources'!J:J,MATCH(G73,'Data sources'!A:A,0),1)</f>
        <v>4.2599999999999999E-2</v>
      </c>
      <c r="J73" s="2">
        <f>INDEX('Data sources'!R:R,MATCH(G73,'Data sources'!A:A,0),1)</f>
        <v>1</v>
      </c>
      <c r="K73" s="2">
        <f>INDEX('Data sources'!S:S,MATCH(G73,'Data sources'!A:A,0),1)</f>
        <v>0</v>
      </c>
      <c r="L73" t="str">
        <f t="shared" si="1"/>
        <v>Combustion installations with a rated thermal input exceeding 20 MW_Manufacture of prepared feeds for farm animals</v>
      </c>
      <c r="M73">
        <f>INDEX('Data sources'!U:U,MATCH($G73,'Data sources'!$A:$A,0),1)</f>
        <v>0.78416348147957027</v>
      </c>
      <c r="N73">
        <f>INDEX('Data sources'!V:V,MATCH($G73,'Data sources'!$A:$A,0),1)</f>
        <v>0.72535139859924458</v>
      </c>
    </row>
    <row r="74" spans="1:14" x14ac:dyDescent="0.2">
      <c r="A74" t="s">
        <v>11</v>
      </c>
      <c r="B74" t="s">
        <v>218</v>
      </c>
      <c r="C74" t="s">
        <v>113</v>
      </c>
      <c r="D74" t="s">
        <v>403</v>
      </c>
      <c r="E74" t="s">
        <v>15</v>
      </c>
      <c r="F74">
        <v>1</v>
      </c>
      <c r="G74" s="30" t="s">
        <v>325</v>
      </c>
      <c r="H74" s="2">
        <f>INDEX('Data sources'!G:G,MATCH(G74,'Data sources'!A:A,0),1)</f>
        <v>5.79E-2</v>
      </c>
      <c r="I74" s="2">
        <f>INDEX('Data sources'!J:J,MATCH(G74,'Data sources'!A:A,0),1)</f>
        <v>4.2599999999999999E-2</v>
      </c>
      <c r="J74" s="2">
        <f>INDEX('Data sources'!R:R,MATCH(G74,'Data sources'!A:A,0),1)</f>
        <v>1</v>
      </c>
      <c r="K74" s="2">
        <f>INDEX('Data sources'!S:S,MATCH(G74,'Data sources'!A:A,0),1)</f>
        <v>0</v>
      </c>
      <c r="L74" t="str">
        <f t="shared" si="1"/>
        <v>Combustion installations with a rated thermal input exceeding 20 MW_Manufacture of prepared meals and dishes</v>
      </c>
      <c r="M74">
        <f>INDEX('Data sources'!U:U,MATCH($G74,'Data sources'!$A:$A,0),1)</f>
        <v>0.78416348147957027</v>
      </c>
      <c r="N74">
        <f>INDEX('Data sources'!V:V,MATCH($G74,'Data sources'!$A:$A,0),1)</f>
        <v>0.72535139859924458</v>
      </c>
    </row>
    <row r="75" spans="1:14" x14ac:dyDescent="0.2">
      <c r="A75" t="s">
        <v>11</v>
      </c>
      <c r="B75" t="s">
        <v>219</v>
      </c>
      <c r="C75" t="s">
        <v>113</v>
      </c>
      <c r="D75" t="s">
        <v>403</v>
      </c>
      <c r="E75" t="s">
        <v>15</v>
      </c>
      <c r="F75">
        <v>1</v>
      </c>
      <c r="G75" s="30" t="s">
        <v>325</v>
      </c>
      <c r="H75" s="2">
        <f>INDEX('Data sources'!G:G,MATCH(G75,'Data sources'!A:A,0),1)</f>
        <v>5.79E-2</v>
      </c>
      <c r="I75" s="2">
        <f>INDEX('Data sources'!J:J,MATCH(G75,'Data sources'!A:A,0),1)</f>
        <v>4.2599999999999999E-2</v>
      </c>
      <c r="J75" s="2">
        <f>INDEX('Data sources'!R:R,MATCH(G75,'Data sources'!A:A,0),1)</f>
        <v>1</v>
      </c>
      <c r="K75" s="2">
        <f>INDEX('Data sources'!S:S,MATCH(G75,'Data sources'!A:A,0),1)</f>
        <v>0</v>
      </c>
      <c r="L75" t="str">
        <f t="shared" si="1"/>
        <v>Combustion installations with a rated thermal input exceeding 20 MW_Manufacture of prepared pet foods</v>
      </c>
      <c r="M75">
        <f>INDEX('Data sources'!U:U,MATCH($G75,'Data sources'!$A:$A,0),1)</f>
        <v>0.78416348147957027</v>
      </c>
      <c r="N75">
        <f>INDEX('Data sources'!V:V,MATCH($G75,'Data sources'!$A:$A,0),1)</f>
        <v>0.72535139859924458</v>
      </c>
    </row>
    <row r="76" spans="1:14" x14ac:dyDescent="0.2">
      <c r="A76" t="s">
        <v>11</v>
      </c>
      <c r="B76" t="s">
        <v>222</v>
      </c>
      <c r="C76" t="s">
        <v>14</v>
      </c>
      <c r="D76" t="s">
        <v>403</v>
      </c>
      <c r="E76" t="s">
        <v>15</v>
      </c>
      <c r="F76">
        <v>3</v>
      </c>
      <c r="G76" s="30" t="s">
        <v>325</v>
      </c>
      <c r="H76" s="2">
        <f>INDEX('Data sources'!G:G,MATCH(G76,'Data sources'!A:A,0),1)</f>
        <v>5.79E-2</v>
      </c>
      <c r="I76" s="2">
        <f>INDEX('Data sources'!J:J,MATCH(G76,'Data sources'!A:A,0),1)</f>
        <v>4.2599999999999999E-2</v>
      </c>
      <c r="J76" s="2">
        <f>INDEX('Data sources'!R:R,MATCH(G76,'Data sources'!A:A,0),1)</f>
        <v>1</v>
      </c>
      <c r="K76" s="2">
        <f>INDEX('Data sources'!S:S,MATCH(G76,'Data sources'!A:A,0),1)</f>
        <v>0</v>
      </c>
      <c r="L76" t="str">
        <f t="shared" si="1"/>
        <v>Combustion installations with a rated thermal input exceeding 20 MW_Manufacture of railway locomotives and rolling stock</v>
      </c>
      <c r="M76">
        <f>INDEX('Data sources'!U:U,MATCH($G76,'Data sources'!$A:$A,0),1)</f>
        <v>0.78416348147957027</v>
      </c>
      <c r="N76">
        <f>INDEX('Data sources'!V:V,MATCH($G76,'Data sources'!$A:$A,0),1)</f>
        <v>0.72535139859924458</v>
      </c>
    </row>
    <row r="77" spans="1:14" x14ac:dyDescent="0.2">
      <c r="A77" t="s">
        <v>11</v>
      </c>
      <c r="B77" t="s">
        <v>229</v>
      </c>
      <c r="C77" t="s">
        <v>113</v>
      </c>
      <c r="D77" t="s">
        <v>403</v>
      </c>
      <c r="E77" t="s">
        <v>15</v>
      </c>
      <c r="F77">
        <v>4</v>
      </c>
      <c r="G77" s="30" t="s">
        <v>325</v>
      </c>
      <c r="H77" s="2">
        <f>INDEX('Data sources'!G:G,MATCH(G77,'Data sources'!A:A,0),1)</f>
        <v>5.79E-2</v>
      </c>
      <c r="I77" s="2">
        <f>INDEX('Data sources'!J:J,MATCH(G77,'Data sources'!A:A,0),1)</f>
        <v>4.2599999999999999E-2</v>
      </c>
      <c r="J77" s="2">
        <f>INDEX('Data sources'!R:R,MATCH(G77,'Data sources'!A:A,0),1)</f>
        <v>1</v>
      </c>
      <c r="K77" s="2">
        <f>INDEX('Data sources'!S:S,MATCH(G77,'Data sources'!A:A,0),1)</f>
        <v>0</v>
      </c>
      <c r="L77" t="str">
        <f t="shared" si="1"/>
        <v>Combustion installations with a rated thermal input exceeding 20 MW_Manufacture of starches and starch products</v>
      </c>
      <c r="M77">
        <f>INDEX('Data sources'!U:U,MATCH($G77,'Data sources'!$A:$A,0),1)</f>
        <v>0.78416348147957027</v>
      </c>
      <c r="N77">
        <f>INDEX('Data sources'!V:V,MATCH($G77,'Data sources'!$A:$A,0),1)</f>
        <v>0.72535139859924458</v>
      </c>
    </row>
    <row r="78" spans="1:14" x14ac:dyDescent="0.2">
      <c r="A78" t="s">
        <v>11</v>
      </c>
      <c r="B78" t="s">
        <v>230</v>
      </c>
      <c r="C78" t="s">
        <v>113</v>
      </c>
      <c r="D78" t="s">
        <v>403</v>
      </c>
      <c r="E78" t="s">
        <v>15</v>
      </c>
      <c r="F78">
        <v>37</v>
      </c>
      <c r="G78" s="30" t="s">
        <v>325</v>
      </c>
      <c r="H78" s="2">
        <f>INDEX('Data sources'!G:G,MATCH(G78,'Data sources'!A:A,0),1)</f>
        <v>5.79E-2</v>
      </c>
      <c r="I78" s="2">
        <f>INDEX('Data sources'!J:J,MATCH(G78,'Data sources'!A:A,0),1)</f>
        <v>4.2599999999999999E-2</v>
      </c>
      <c r="J78" s="2">
        <f>INDEX('Data sources'!R:R,MATCH(G78,'Data sources'!A:A,0),1)</f>
        <v>1</v>
      </c>
      <c r="K78" s="2">
        <f>INDEX('Data sources'!S:S,MATCH(G78,'Data sources'!A:A,0),1)</f>
        <v>0</v>
      </c>
      <c r="L78" t="str">
        <f t="shared" si="1"/>
        <v>Combustion installations with a rated thermal input exceeding 20 MW_Manufacture of sugar</v>
      </c>
      <c r="M78">
        <f>INDEX('Data sources'!U:U,MATCH($G78,'Data sources'!$A:$A,0),1)</f>
        <v>0.78416348147957027</v>
      </c>
      <c r="N78">
        <f>INDEX('Data sources'!V:V,MATCH($G78,'Data sources'!$A:$A,0),1)</f>
        <v>0.72535139859924458</v>
      </c>
    </row>
    <row r="79" spans="1:14" x14ac:dyDescent="0.2">
      <c r="A79" t="s">
        <v>11</v>
      </c>
      <c r="B79" t="s">
        <v>235</v>
      </c>
      <c r="C79" t="s">
        <v>65</v>
      </c>
      <c r="D79" t="s">
        <v>403</v>
      </c>
      <c r="E79" t="s">
        <v>15</v>
      </c>
      <c r="F79">
        <v>1</v>
      </c>
      <c r="G79" s="30" t="s">
        <v>325</v>
      </c>
      <c r="H79" s="2">
        <f>INDEX('Data sources'!G:G,MATCH(G79,'Data sources'!A:A,0),1)</f>
        <v>5.79E-2</v>
      </c>
      <c r="I79" s="2">
        <f>INDEX('Data sources'!J:J,MATCH(G79,'Data sources'!A:A,0),1)</f>
        <v>4.2599999999999999E-2</v>
      </c>
      <c r="J79" s="2">
        <f>INDEX('Data sources'!R:R,MATCH(G79,'Data sources'!A:A,0),1)</f>
        <v>1</v>
      </c>
      <c r="K79" s="2">
        <f>INDEX('Data sources'!S:S,MATCH(G79,'Data sources'!A:A,0),1)</f>
        <v>0</v>
      </c>
      <c r="L79" t="str">
        <f t="shared" si="1"/>
        <v>Combustion installations with a rated thermal input exceeding 20 MW_Manufacture of tools</v>
      </c>
      <c r="M79">
        <f>INDEX('Data sources'!U:U,MATCH($G79,'Data sources'!$A:$A,0),1)</f>
        <v>0.78416348147957027</v>
      </c>
      <c r="N79">
        <f>INDEX('Data sources'!V:V,MATCH($G79,'Data sources'!$A:$A,0),1)</f>
        <v>0.72535139859924458</v>
      </c>
    </row>
    <row r="80" spans="1:14" x14ac:dyDescent="0.2">
      <c r="A80" t="s">
        <v>11</v>
      </c>
      <c r="B80" t="s">
        <v>238</v>
      </c>
      <c r="C80" t="s">
        <v>89</v>
      </c>
      <c r="D80" t="s">
        <v>403</v>
      </c>
      <c r="E80" t="s">
        <v>15</v>
      </c>
      <c r="F80">
        <v>7</v>
      </c>
      <c r="G80" s="30" t="s">
        <v>325</v>
      </c>
      <c r="H80" s="2">
        <f>INDEX('Data sources'!G:G,MATCH(G80,'Data sources'!A:A,0),1)</f>
        <v>5.79E-2</v>
      </c>
      <c r="I80" s="2">
        <f>INDEX('Data sources'!J:J,MATCH(G80,'Data sources'!A:A,0),1)</f>
        <v>4.2599999999999999E-2</v>
      </c>
      <c r="J80" s="2">
        <f>INDEX('Data sources'!R:R,MATCH(G80,'Data sources'!A:A,0),1)</f>
        <v>1</v>
      </c>
      <c r="K80" s="2">
        <f>INDEX('Data sources'!S:S,MATCH(G80,'Data sources'!A:A,0),1)</f>
        <v>0</v>
      </c>
      <c r="L80" t="str">
        <f t="shared" si="1"/>
        <v>Combustion installations with a rated thermal input exceeding 20 MW_Manufacture of veneer sheets and wood-based panels</v>
      </c>
      <c r="M80">
        <f>INDEX('Data sources'!U:U,MATCH($G80,'Data sources'!$A:$A,0),1)</f>
        <v>0.78416348147957027</v>
      </c>
      <c r="N80">
        <f>INDEX('Data sources'!V:V,MATCH($G80,'Data sources'!$A:$A,0),1)</f>
        <v>0.72535139859924458</v>
      </c>
    </row>
    <row r="81" spans="1:14" x14ac:dyDescent="0.2">
      <c r="A81" t="s">
        <v>11</v>
      </c>
      <c r="B81" t="s">
        <v>249</v>
      </c>
      <c r="C81" t="s">
        <v>113</v>
      </c>
      <c r="D81" t="s">
        <v>403</v>
      </c>
      <c r="E81" t="s">
        <v>15</v>
      </c>
      <c r="F81">
        <v>20</v>
      </c>
      <c r="G81" s="30" t="s">
        <v>325</v>
      </c>
      <c r="H81" s="2">
        <f>INDEX('Data sources'!G:G,MATCH(G81,'Data sources'!A:A,0),1)</f>
        <v>5.79E-2</v>
      </c>
      <c r="I81" s="2">
        <f>INDEX('Data sources'!J:J,MATCH(G81,'Data sources'!A:A,0),1)</f>
        <v>4.2599999999999999E-2</v>
      </c>
      <c r="J81" s="2">
        <f>INDEX('Data sources'!R:R,MATCH(G81,'Data sources'!A:A,0),1)</f>
        <v>1</v>
      </c>
      <c r="K81" s="2">
        <f>INDEX('Data sources'!S:S,MATCH(G81,'Data sources'!A:A,0),1)</f>
        <v>0</v>
      </c>
      <c r="L81" t="str">
        <f t="shared" si="1"/>
        <v>Combustion installations with a rated thermal input exceeding 20 MW_Operation of dairies and cheese making</v>
      </c>
      <c r="M81">
        <f>INDEX('Data sources'!U:U,MATCH($G81,'Data sources'!$A:$A,0),1)</f>
        <v>0.78416348147957027</v>
      </c>
      <c r="N81">
        <f>INDEX('Data sources'!V:V,MATCH($G81,'Data sources'!$A:$A,0),1)</f>
        <v>0.72535139859924458</v>
      </c>
    </row>
    <row r="82" spans="1:14" x14ac:dyDescent="0.2">
      <c r="A82" t="s">
        <v>11</v>
      </c>
      <c r="B82" t="s">
        <v>253</v>
      </c>
      <c r="C82" t="s">
        <v>74</v>
      </c>
      <c r="D82" t="s">
        <v>403</v>
      </c>
      <c r="E82" t="s">
        <v>15</v>
      </c>
      <c r="F82">
        <v>1</v>
      </c>
      <c r="G82" s="30" t="s">
        <v>325</v>
      </c>
      <c r="H82" s="2">
        <f>INDEX('Data sources'!G:G,MATCH(G82,'Data sources'!A:A,0),1)</f>
        <v>5.79E-2</v>
      </c>
      <c r="I82" s="2">
        <f>INDEX('Data sources'!J:J,MATCH(G82,'Data sources'!A:A,0),1)</f>
        <v>4.2599999999999999E-2</v>
      </c>
      <c r="J82" s="2">
        <f>INDEX('Data sources'!R:R,MATCH(G82,'Data sources'!A:A,0),1)</f>
        <v>1</v>
      </c>
      <c r="K82" s="2">
        <f>INDEX('Data sources'!S:S,MATCH(G82,'Data sources'!A:A,0),1)</f>
        <v>0</v>
      </c>
      <c r="L82" t="str">
        <f t="shared" si="1"/>
        <v>Combustion installations with a rated thermal input exceeding 20 MW_Other human health activities</v>
      </c>
      <c r="M82">
        <f>INDEX('Data sources'!U:U,MATCH($G82,'Data sources'!$A:$A,0),1)</f>
        <v>0.78416348147957027</v>
      </c>
      <c r="N82">
        <f>INDEX('Data sources'!V:V,MATCH($G82,'Data sources'!$A:$A,0),1)</f>
        <v>0.72535139859924458</v>
      </c>
    </row>
    <row r="83" spans="1:14" x14ac:dyDescent="0.2">
      <c r="A83" t="s">
        <v>11</v>
      </c>
      <c r="B83" t="s">
        <v>259</v>
      </c>
      <c r="C83" t="s">
        <v>113</v>
      </c>
      <c r="D83" t="s">
        <v>403</v>
      </c>
      <c r="E83" t="s">
        <v>15</v>
      </c>
      <c r="F83">
        <v>17</v>
      </c>
      <c r="G83" s="30" t="s">
        <v>325</v>
      </c>
      <c r="H83" s="2">
        <f>INDEX('Data sources'!G:G,MATCH(G83,'Data sources'!A:A,0),1)</f>
        <v>5.79E-2</v>
      </c>
      <c r="I83" s="2">
        <f>INDEX('Data sources'!J:J,MATCH(G83,'Data sources'!A:A,0),1)</f>
        <v>4.2599999999999999E-2</v>
      </c>
      <c r="J83" s="2">
        <f>INDEX('Data sources'!R:R,MATCH(G83,'Data sources'!A:A,0),1)</f>
        <v>1</v>
      </c>
      <c r="K83" s="2">
        <f>INDEX('Data sources'!S:S,MATCH(G83,'Data sources'!A:A,0),1)</f>
        <v>0</v>
      </c>
      <c r="L83" t="str">
        <f t="shared" si="1"/>
        <v>Combustion installations with a rated thermal input exceeding 20 MW_Other processing and preserving of fruit and vegetables</v>
      </c>
      <c r="M83">
        <f>INDEX('Data sources'!U:U,MATCH($G83,'Data sources'!$A:$A,0),1)</f>
        <v>0.78416348147957027</v>
      </c>
      <c r="N83">
        <f>INDEX('Data sources'!V:V,MATCH($G83,'Data sources'!$A:$A,0),1)</f>
        <v>0.72535139859924458</v>
      </c>
    </row>
    <row r="84" spans="1:14" x14ac:dyDescent="0.2">
      <c r="A84" t="s">
        <v>11</v>
      </c>
      <c r="B84" t="s">
        <v>268</v>
      </c>
      <c r="C84" t="s">
        <v>269</v>
      </c>
      <c r="D84" t="s">
        <v>403</v>
      </c>
      <c r="E84" t="s">
        <v>15</v>
      </c>
      <c r="F84">
        <v>1</v>
      </c>
      <c r="G84" s="30" t="s">
        <v>325</v>
      </c>
      <c r="H84" s="2">
        <f>INDEX('Data sources'!G:G,MATCH(G84,'Data sources'!A:A,0),1)</f>
        <v>5.79E-2</v>
      </c>
      <c r="I84" s="2">
        <f>INDEX('Data sources'!J:J,MATCH(G84,'Data sources'!A:A,0),1)</f>
        <v>4.2599999999999999E-2</v>
      </c>
      <c r="J84" s="2">
        <f>INDEX('Data sources'!R:R,MATCH(G84,'Data sources'!A:A,0),1)</f>
        <v>1</v>
      </c>
      <c r="K84" s="2">
        <f>INDEX('Data sources'!S:S,MATCH(G84,'Data sources'!A:A,0),1)</f>
        <v>0</v>
      </c>
      <c r="L84" t="str">
        <f t="shared" si="1"/>
        <v>Combustion installations with a rated thermal input exceeding 20 MW_Passenger rail transport, interurban</v>
      </c>
      <c r="M84">
        <f>INDEX('Data sources'!U:U,MATCH($G84,'Data sources'!$A:$A,0),1)</f>
        <v>0.78416348147957027</v>
      </c>
      <c r="N84">
        <f>INDEX('Data sources'!V:V,MATCH($G84,'Data sources'!$A:$A,0),1)</f>
        <v>0.72535139859924458</v>
      </c>
    </row>
    <row r="85" spans="1:14" x14ac:dyDescent="0.2">
      <c r="A85" t="s">
        <v>11</v>
      </c>
      <c r="B85" t="s">
        <v>271</v>
      </c>
      <c r="C85" t="s">
        <v>67</v>
      </c>
      <c r="D85" t="s">
        <v>403</v>
      </c>
      <c r="E85" t="s">
        <v>15</v>
      </c>
      <c r="F85">
        <v>1</v>
      </c>
      <c r="G85" s="30" t="s">
        <v>325</v>
      </c>
      <c r="H85" s="2">
        <f>INDEX('Data sources'!G:G,MATCH(G85,'Data sources'!A:A,0),1)</f>
        <v>5.79E-2</v>
      </c>
      <c r="I85" s="2">
        <f>INDEX('Data sources'!J:J,MATCH(G85,'Data sources'!A:A,0),1)</f>
        <v>4.2599999999999999E-2</v>
      </c>
      <c r="J85" s="2">
        <f>INDEX('Data sources'!R:R,MATCH(G85,'Data sources'!A:A,0),1)</f>
        <v>1</v>
      </c>
      <c r="K85" s="2">
        <f>INDEX('Data sources'!S:S,MATCH(G85,'Data sources'!A:A,0),1)</f>
        <v>0</v>
      </c>
      <c r="L85" t="str">
        <f t="shared" si="1"/>
        <v>Combustion installations with a rated thermal input exceeding 20 MW_Post-harvest crop activities</v>
      </c>
      <c r="M85">
        <f>INDEX('Data sources'!U:U,MATCH($G85,'Data sources'!$A:$A,0),1)</f>
        <v>0.78416348147957027</v>
      </c>
      <c r="N85">
        <f>INDEX('Data sources'!V:V,MATCH($G85,'Data sources'!$A:$A,0),1)</f>
        <v>0.72535139859924458</v>
      </c>
    </row>
    <row r="86" spans="1:14" x14ac:dyDescent="0.2">
      <c r="A86" t="s">
        <v>11</v>
      </c>
      <c r="B86" t="s">
        <v>272</v>
      </c>
      <c r="C86" t="s">
        <v>72</v>
      </c>
      <c r="D86" t="s">
        <v>403</v>
      </c>
      <c r="E86" t="s">
        <v>15</v>
      </c>
      <c r="F86">
        <v>1</v>
      </c>
      <c r="G86" s="30" t="s">
        <v>325</v>
      </c>
      <c r="H86" s="2">
        <f>INDEX('Data sources'!G:G,MATCH(G86,'Data sources'!A:A,0),1)</f>
        <v>5.79E-2</v>
      </c>
      <c r="I86" s="2">
        <f>INDEX('Data sources'!J:J,MATCH(G86,'Data sources'!A:A,0),1)</f>
        <v>4.2599999999999999E-2</v>
      </c>
      <c r="J86" s="2">
        <f>INDEX('Data sources'!R:R,MATCH(G86,'Data sources'!A:A,0),1)</f>
        <v>1</v>
      </c>
      <c r="K86" s="2">
        <f>INDEX('Data sources'!S:S,MATCH(G86,'Data sources'!A:A,0),1)</f>
        <v>0</v>
      </c>
      <c r="L86" t="str">
        <f t="shared" si="1"/>
        <v>Combustion installations with a rated thermal input exceeding 20 MW_Post-secondary non-tertiary education</v>
      </c>
      <c r="M86">
        <f>INDEX('Data sources'!U:U,MATCH($G86,'Data sources'!$A:$A,0),1)</f>
        <v>0.78416348147957027</v>
      </c>
      <c r="N86">
        <f>INDEX('Data sources'!V:V,MATCH($G86,'Data sources'!$A:$A,0),1)</f>
        <v>0.72535139859924458</v>
      </c>
    </row>
    <row r="87" spans="1:14" x14ac:dyDescent="0.2">
      <c r="A87" t="s">
        <v>11</v>
      </c>
      <c r="B87" t="s">
        <v>273</v>
      </c>
      <c r="C87" t="s">
        <v>62</v>
      </c>
      <c r="D87" t="s">
        <v>403</v>
      </c>
      <c r="E87" t="s">
        <v>15</v>
      </c>
      <c r="F87">
        <v>1</v>
      </c>
      <c r="G87" s="30" t="s">
        <v>325</v>
      </c>
      <c r="H87" s="2">
        <f>INDEX('Data sources'!G:G,MATCH(G87,'Data sources'!A:A,0),1)</f>
        <v>5.79E-2</v>
      </c>
      <c r="I87" s="2">
        <f>INDEX('Data sources'!J:J,MATCH(G87,'Data sources'!A:A,0),1)</f>
        <v>4.2599999999999999E-2</v>
      </c>
      <c r="J87" s="2">
        <f>INDEX('Data sources'!R:R,MATCH(G87,'Data sources'!A:A,0),1)</f>
        <v>1</v>
      </c>
      <c r="K87" s="2">
        <f>INDEX('Data sources'!S:S,MATCH(G87,'Data sources'!A:A,0),1)</f>
        <v>0</v>
      </c>
      <c r="L87" t="str">
        <f t="shared" si="1"/>
        <v>Combustion installations with a rated thermal input exceeding 20 MW_Preparation and spinning of textile fibres</v>
      </c>
      <c r="M87">
        <f>INDEX('Data sources'!U:U,MATCH($G87,'Data sources'!$A:$A,0),1)</f>
        <v>0.78416348147957027</v>
      </c>
      <c r="N87">
        <f>INDEX('Data sources'!V:V,MATCH($G87,'Data sources'!$A:$A,0),1)</f>
        <v>0.72535139859924458</v>
      </c>
    </row>
    <row r="88" spans="1:14" x14ac:dyDescent="0.2">
      <c r="A88" t="s">
        <v>11</v>
      </c>
      <c r="B88" t="s">
        <v>274</v>
      </c>
      <c r="C88" t="s">
        <v>113</v>
      </c>
      <c r="D88" t="s">
        <v>403</v>
      </c>
      <c r="E88" t="s">
        <v>15</v>
      </c>
      <c r="F88">
        <v>1</v>
      </c>
      <c r="G88" s="30" t="s">
        <v>325</v>
      </c>
      <c r="H88" s="2">
        <f>INDEX('Data sources'!G:G,MATCH(G88,'Data sources'!A:A,0),1)</f>
        <v>5.79E-2</v>
      </c>
      <c r="I88" s="2">
        <f>INDEX('Data sources'!J:J,MATCH(G88,'Data sources'!A:A,0),1)</f>
        <v>4.2599999999999999E-2</v>
      </c>
      <c r="J88" s="2">
        <f>INDEX('Data sources'!R:R,MATCH(G88,'Data sources'!A:A,0),1)</f>
        <v>1</v>
      </c>
      <c r="K88" s="2">
        <f>INDEX('Data sources'!S:S,MATCH(G88,'Data sources'!A:A,0),1)</f>
        <v>0</v>
      </c>
      <c r="L88" t="str">
        <f t="shared" si="1"/>
        <v>Combustion installations with a rated thermal input exceeding 20 MW_Processing and preserving of fish, crustaceans and molluscs</v>
      </c>
      <c r="M88">
        <f>INDEX('Data sources'!U:U,MATCH($G88,'Data sources'!$A:$A,0),1)</f>
        <v>0.78416348147957027</v>
      </c>
      <c r="N88">
        <f>INDEX('Data sources'!V:V,MATCH($G88,'Data sources'!$A:$A,0),1)</f>
        <v>0.72535139859924458</v>
      </c>
    </row>
    <row r="89" spans="1:14" x14ac:dyDescent="0.2">
      <c r="A89" t="s">
        <v>11</v>
      </c>
      <c r="B89" t="s">
        <v>276</v>
      </c>
      <c r="C89" t="s">
        <v>113</v>
      </c>
      <c r="D89" t="s">
        <v>403</v>
      </c>
      <c r="E89" t="s">
        <v>15</v>
      </c>
      <c r="F89">
        <v>2</v>
      </c>
      <c r="G89" s="30" t="s">
        <v>325</v>
      </c>
      <c r="H89" s="2">
        <f>INDEX('Data sources'!G:G,MATCH(G89,'Data sources'!A:A,0),1)</f>
        <v>5.79E-2</v>
      </c>
      <c r="I89" s="2">
        <f>INDEX('Data sources'!J:J,MATCH(G89,'Data sources'!A:A,0),1)</f>
        <v>4.2599999999999999E-2</v>
      </c>
      <c r="J89" s="2">
        <f>INDEX('Data sources'!R:R,MATCH(G89,'Data sources'!A:A,0),1)</f>
        <v>1</v>
      </c>
      <c r="K89" s="2">
        <f>INDEX('Data sources'!S:S,MATCH(G89,'Data sources'!A:A,0),1)</f>
        <v>0</v>
      </c>
      <c r="L89" t="str">
        <f t="shared" si="1"/>
        <v>Combustion installations with a rated thermal input exceeding 20 MW_Processing and preserving of meat</v>
      </c>
      <c r="M89">
        <f>INDEX('Data sources'!U:U,MATCH($G89,'Data sources'!$A:$A,0),1)</f>
        <v>0.78416348147957027</v>
      </c>
      <c r="N89">
        <f>INDEX('Data sources'!V:V,MATCH($G89,'Data sources'!$A:$A,0),1)</f>
        <v>0.72535139859924458</v>
      </c>
    </row>
    <row r="90" spans="1:14" x14ac:dyDescent="0.2">
      <c r="A90" t="s">
        <v>11</v>
      </c>
      <c r="B90" t="s">
        <v>277</v>
      </c>
      <c r="C90" t="s">
        <v>113</v>
      </c>
      <c r="D90" t="s">
        <v>403</v>
      </c>
      <c r="E90" t="s">
        <v>15</v>
      </c>
      <c r="F90">
        <v>3</v>
      </c>
      <c r="G90" s="30" t="s">
        <v>325</v>
      </c>
      <c r="H90" s="2">
        <f>INDEX('Data sources'!G:G,MATCH(G90,'Data sources'!A:A,0),1)</f>
        <v>5.79E-2</v>
      </c>
      <c r="I90" s="2">
        <f>INDEX('Data sources'!J:J,MATCH(G90,'Data sources'!A:A,0),1)</f>
        <v>4.2599999999999999E-2</v>
      </c>
      <c r="J90" s="2">
        <f>INDEX('Data sources'!R:R,MATCH(G90,'Data sources'!A:A,0),1)</f>
        <v>1</v>
      </c>
      <c r="K90" s="2">
        <f>INDEX('Data sources'!S:S,MATCH(G90,'Data sources'!A:A,0),1)</f>
        <v>0</v>
      </c>
      <c r="L90" t="str">
        <f t="shared" si="1"/>
        <v>Combustion installations with a rated thermal input exceeding 20 MW_Processing and preserving of potatoes</v>
      </c>
      <c r="M90">
        <f>INDEX('Data sources'!U:U,MATCH($G90,'Data sources'!$A:$A,0),1)</f>
        <v>0.78416348147957027</v>
      </c>
      <c r="N90">
        <f>INDEX('Data sources'!V:V,MATCH($G90,'Data sources'!$A:$A,0),1)</f>
        <v>0.72535139859924458</v>
      </c>
    </row>
    <row r="91" spans="1:14" x14ac:dyDescent="0.2">
      <c r="A91" t="s">
        <v>11</v>
      </c>
      <c r="B91" t="s">
        <v>280</v>
      </c>
      <c r="C91" t="s">
        <v>113</v>
      </c>
      <c r="D91" t="s">
        <v>403</v>
      </c>
      <c r="E91" t="s">
        <v>15</v>
      </c>
      <c r="F91">
        <v>1</v>
      </c>
      <c r="G91" s="30" t="s">
        <v>325</v>
      </c>
      <c r="H91" s="2">
        <f>INDEX('Data sources'!G:G,MATCH(G91,'Data sources'!A:A,0),1)</f>
        <v>5.79E-2</v>
      </c>
      <c r="I91" s="2">
        <f>INDEX('Data sources'!J:J,MATCH(G91,'Data sources'!A:A,0),1)</f>
        <v>4.2599999999999999E-2</v>
      </c>
      <c r="J91" s="2">
        <f>INDEX('Data sources'!R:R,MATCH(G91,'Data sources'!A:A,0),1)</f>
        <v>1</v>
      </c>
      <c r="K91" s="2">
        <f>INDEX('Data sources'!S:S,MATCH(G91,'Data sources'!A:A,0),1)</f>
        <v>0</v>
      </c>
      <c r="L91" t="str">
        <f t="shared" si="1"/>
        <v>Combustion installations with a rated thermal input exceeding 20 MW_Processing of tea and coffee</v>
      </c>
      <c r="M91">
        <f>INDEX('Data sources'!U:U,MATCH($G91,'Data sources'!$A:$A,0),1)</f>
        <v>0.78416348147957027</v>
      </c>
      <c r="N91">
        <f>INDEX('Data sources'!V:V,MATCH($G91,'Data sources'!$A:$A,0),1)</f>
        <v>0.72535139859924458</v>
      </c>
    </row>
    <row r="92" spans="1:14" x14ac:dyDescent="0.2">
      <c r="A92" t="s">
        <v>11</v>
      </c>
      <c r="B92" t="s">
        <v>297</v>
      </c>
      <c r="C92" t="s">
        <v>17</v>
      </c>
      <c r="D92" t="s">
        <v>403</v>
      </c>
      <c r="E92" t="s">
        <v>15</v>
      </c>
      <c r="F92">
        <v>2</v>
      </c>
      <c r="G92" s="30" t="s">
        <v>325</v>
      </c>
      <c r="H92" s="2">
        <f>INDEX('Data sources'!G:G,MATCH(G92,'Data sources'!A:A,0),1)</f>
        <v>5.79E-2</v>
      </c>
      <c r="I92" s="2">
        <f>INDEX('Data sources'!J:J,MATCH(G92,'Data sources'!A:A,0),1)</f>
        <v>4.2599999999999999E-2</v>
      </c>
      <c r="J92" s="2">
        <f>INDEX('Data sources'!R:R,MATCH(G92,'Data sources'!A:A,0),1)</f>
        <v>1</v>
      </c>
      <c r="K92" s="2">
        <f>INDEX('Data sources'!S:S,MATCH(G92,'Data sources'!A:A,0),1)</f>
        <v>0</v>
      </c>
      <c r="L92" t="str">
        <f t="shared" si="1"/>
        <v>Combustion installations with a rated thermal input exceeding 20 MW_Service activities incidental to air transportation</v>
      </c>
      <c r="M92">
        <f>INDEX('Data sources'!U:U,MATCH($G92,'Data sources'!$A:$A,0),1)</f>
        <v>0.78416348147957027</v>
      </c>
      <c r="N92">
        <f>INDEX('Data sources'!V:V,MATCH($G92,'Data sources'!$A:$A,0),1)</f>
        <v>0.72535139859924458</v>
      </c>
    </row>
    <row r="93" spans="1:14" x14ac:dyDescent="0.2">
      <c r="A93" t="s">
        <v>11</v>
      </c>
      <c r="B93" t="s">
        <v>309</v>
      </c>
      <c r="C93" t="s">
        <v>72</v>
      </c>
      <c r="D93" t="s">
        <v>403</v>
      </c>
      <c r="E93" t="s">
        <v>15</v>
      </c>
      <c r="F93">
        <v>4</v>
      </c>
      <c r="G93" s="30" t="s">
        <v>325</v>
      </c>
      <c r="H93" s="2">
        <f>INDEX('Data sources'!G:G,MATCH(G93,'Data sources'!A:A,0),1)</f>
        <v>5.79E-2</v>
      </c>
      <c r="I93" s="2">
        <f>INDEX('Data sources'!J:J,MATCH(G93,'Data sources'!A:A,0),1)</f>
        <v>4.2599999999999999E-2</v>
      </c>
      <c r="J93" s="2">
        <f>INDEX('Data sources'!R:R,MATCH(G93,'Data sources'!A:A,0),1)</f>
        <v>1</v>
      </c>
      <c r="K93" s="2">
        <f>INDEX('Data sources'!S:S,MATCH(G93,'Data sources'!A:A,0),1)</f>
        <v>0</v>
      </c>
      <c r="L93" t="str">
        <f t="shared" si="1"/>
        <v>Combustion installations with a rated thermal input exceeding 20 MW_Tertiary education</v>
      </c>
      <c r="M93">
        <f>INDEX('Data sources'!U:U,MATCH($G93,'Data sources'!$A:$A,0),1)</f>
        <v>0.78416348147957027</v>
      </c>
      <c r="N93">
        <f>INDEX('Data sources'!V:V,MATCH($G93,'Data sources'!$A:$A,0),1)</f>
        <v>0.72535139859924458</v>
      </c>
    </row>
    <row r="94" spans="1:14" x14ac:dyDescent="0.2">
      <c r="A94" t="s">
        <v>11</v>
      </c>
      <c r="B94" t="s">
        <v>316</v>
      </c>
      <c r="C94" t="s">
        <v>62</v>
      </c>
      <c r="D94" t="s">
        <v>403</v>
      </c>
      <c r="E94" t="s">
        <v>15</v>
      </c>
      <c r="F94">
        <v>3</v>
      </c>
      <c r="G94" s="30" t="s">
        <v>325</v>
      </c>
      <c r="H94" s="2">
        <f>INDEX('Data sources'!G:G,MATCH(G94,'Data sources'!A:A,0),1)</f>
        <v>5.79E-2</v>
      </c>
      <c r="I94" s="2">
        <f>INDEX('Data sources'!J:J,MATCH(G94,'Data sources'!A:A,0),1)</f>
        <v>4.2599999999999999E-2</v>
      </c>
      <c r="J94" s="2">
        <f>INDEX('Data sources'!R:R,MATCH(G94,'Data sources'!A:A,0),1)</f>
        <v>1</v>
      </c>
      <c r="K94" s="2">
        <f>INDEX('Data sources'!S:S,MATCH(G94,'Data sources'!A:A,0),1)</f>
        <v>0</v>
      </c>
      <c r="L94" t="str">
        <f t="shared" si="1"/>
        <v>Combustion installations with a rated thermal input exceeding 20 MW_Weaving of textiles</v>
      </c>
      <c r="M94">
        <f>INDEX('Data sources'!U:U,MATCH($G94,'Data sources'!$A:$A,0),1)</f>
        <v>0.78416348147957027</v>
      </c>
      <c r="N94">
        <f>INDEX('Data sources'!V:V,MATCH($G94,'Data sources'!$A:$A,0),1)</f>
        <v>0.72535139859924458</v>
      </c>
    </row>
    <row r="95" spans="1:14" x14ac:dyDescent="0.2">
      <c r="A95" t="s">
        <v>11</v>
      </c>
      <c r="B95" t="s">
        <v>208</v>
      </c>
      <c r="C95" t="s">
        <v>122</v>
      </c>
      <c r="D95" t="s">
        <v>410</v>
      </c>
      <c r="E95" t="s">
        <v>173</v>
      </c>
      <c r="F95">
        <v>10</v>
      </c>
      <c r="G95" s="30" t="s">
        <v>356</v>
      </c>
      <c r="H95" s="2">
        <f>INDEX('Data sources'!G:G,MATCH(G95,'Data sources'!A:A,0),1)</f>
        <v>0.2201185822484337</v>
      </c>
      <c r="I95" s="2">
        <f>INDEX('Data sources'!J:J,MATCH(G95,'Data sources'!A:A,0),1)</f>
        <v>0.22144473697589778</v>
      </c>
      <c r="J95" s="2">
        <f>INDEX('Data sources'!R:R,MATCH(G95,'Data sources'!A:A,0),1)</f>
        <v>6.1071928683366004</v>
      </c>
      <c r="K95" s="2">
        <f>INDEX('Data sources'!S:S,MATCH(G95,'Data sources'!A:A,0),1)</f>
        <v>0</v>
      </c>
      <c r="L95" t="str">
        <f t="shared" si="1"/>
        <v>Combustion installations with a rated thermal input exceeding 20 MW_Manufacture of paper and paperboard</v>
      </c>
      <c r="M95">
        <f>INDEX('Data sources'!U:U,MATCH($G95,'Data sources'!$A:$A,0),1)</f>
        <v>0.8165774412482697</v>
      </c>
      <c r="N95">
        <f>INDEX('Data sources'!V:V,MATCH($G95,'Data sources'!$A:$A,0),1)</f>
        <v>0.94441452831676753</v>
      </c>
    </row>
    <row r="96" spans="1:14" x14ac:dyDescent="0.2">
      <c r="A96" t="s">
        <v>11</v>
      </c>
      <c r="B96" t="s">
        <v>211</v>
      </c>
      <c r="C96" t="s">
        <v>94</v>
      </c>
      <c r="D96" t="s">
        <v>95</v>
      </c>
      <c r="E96" t="s">
        <v>94</v>
      </c>
      <c r="F96">
        <v>3</v>
      </c>
      <c r="G96" s="30" t="s">
        <v>342</v>
      </c>
      <c r="H96" s="2">
        <f>INDEX('Data sources'!G:G,MATCH(G96,'Data sources'!A:A,0),1)</f>
        <v>0.38529467763961761</v>
      </c>
      <c r="I96" s="2">
        <f>INDEX('Data sources'!J:J,MATCH(G96,'Data sources'!A:A,0),1)</f>
        <v>0.65015695160798492</v>
      </c>
      <c r="J96" s="2">
        <f>INDEX('Data sources'!R:R,MATCH(G96,'Data sources'!A:A,0),1)</f>
        <v>0.99664158109543011</v>
      </c>
      <c r="K96" s="2">
        <f>INDEX('Data sources'!S:S,MATCH(G96,'Data sources'!A:A,0),1)</f>
        <v>5.2249389559964285</v>
      </c>
      <c r="L96" t="str">
        <f t="shared" si="1"/>
        <v>Combustion installations with a rated thermal input exceeding 20 MW_Manufacture of pharmaceutical preparations</v>
      </c>
      <c r="M96">
        <f>INDEX('Data sources'!U:U,MATCH($G96,'Data sources'!$A:$A,0),1)</f>
        <v>0.84137119305744412</v>
      </c>
      <c r="N96">
        <f>INDEX('Data sources'!V:V,MATCH($G96,'Data sources'!$A:$A,0),1)</f>
        <v>0.86357922057787184</v>
      </c>
    </row>
    <row r="97" spans="1:14" x14ac:dyDescent="0.2">
      <c r="A97" t="s">
        <v>11</v>
      </c>
      <c r="B97" t="s">
        <v>47</v>
      </c>
      <c r="C97" t="s">
        <v>44</v>
      </c>
      <c r="D97" t="s">
        <v>45</v>
      </c>
      <c r="E97" t="s">
        <v>45</v>
      </c>
      <c r="F97">
        <v>32</v>
      </c>
      <c r="G97" s="30" t="s">
        <v>325</v>
      </c>
      <c r="H97" s="2">
        <f>INDEX('Data sources'!G:G,MATCH(G97,'Data sources'!A:A,0),1)</f>
        <v>5.79E-2</v>
      </c>
      <c r="I97" s="2">
        <f>INDEX('Data sources'!J:J,MATCH(G97,'Data sources'!A:A,0),1)</f>
        <v>4.2599999999999999E-2</v>
      </c>
      <c r="J97" s="2">
        <f>INDEX('Data sources'!R:R,MATCH(G97,'Data sources'!A:A,0),1)</f>
        <v>1</v>
      </c>
      <c r="K97" s="2">
        <f>INDEX('Data sources'!S:S,MATCH(G97,'Data sources'!A:A,0),1)</f>
        <v>0</v>
      </c>
      <c r="L97" t="str">
        <f t="shared" si="1"/>
        <v>Combustion installations with a rated thermal input exceeding 20 MW_Electric power generation, transmission and distribution</v>
      </c>
      <c r="M97">
        <f>INDEX('Data sources'!U:U,MATCH($G97,'Data sources'!$A:$A,0),1)</f>
        <v>0.78416348147957027</v>
      </c>
      <c r="N97">
        <f>INDEX('Data sources'!V:V,MATCH($G97,'Data sources'!$A:$A,0),1)</f>
        <v>0.72535139859924458</v>
      </c>
    </row>
    <row r="98" spans="1:14" x14ac:dyDescent="0.2">
      <c r="A98" t="s">
        <v>11</v>
      </c>
      <c r="B98" t="s">
        <v>44</v>
      </c>
      <c r="C98" t="s">
        <v>44</v>
      </c>
      <c r="D98" t="s">
        <v>45</v>
      </c>
      <c r="E98" t="s">
        <v>45</v>
      </c>
      <c r="F98">
        <v>26</v>
      </c>
      <c r="G98" s="30" t="s">
        <v>329</v>
      </c>
      <c r="H98" s="2">
        <f>INDEX('Data sources'!G:G,MATCH(G98,'Data sources'!A:A,0),1)</f>
        <v>7.6799999999999993E-2</v>
      </c>
      <c r="I98" s="2">
        <f>INDEX('Data sources'!J:J,MATCH(G98,'Data sources'!A:A,0),1)</f>
        <v>4.7300000000000002E-2</v>
      </c>
      <c r="J98" s="2">
        <f>INDEX('Data sources'!R:R,MATCH(G98,'Data sources'!A:A,0),1)</f>
        <v>1</v>
      </c>
      <c r="K98" s="2">
        <f>INDEX('Data sources'!S:S,MATCH(G98,'Data sources'!A:A,0),1)</f>
        <v>0</v>
      </c>
      <c r="L98" t="str">
        <f t="shared" si="1"/>
        <v>Combustion installations with a rated thermal input exceeding 20 MW_Electricity, gas, steam and air conditioning supply</v>
      </c>
      <c r="M98">
        <f>INDEX('Data sources'!U:U,MATCH($G98,'Data sources'!$A:$A,0),1)</f>
        <v>0.78416348147957027</v>
      </c>
      <c r="N98">
        <f>INDEX('Data sources'!V:V,MATCH($G98,'Data sources'!$A:$A,0),1)</f>
        <v>0.72535139859924458</v>
      </c>
    </row>
    <row r="99" spans="1:14" x14ac:dyDescent="0.2">
      <c r="A99" t="s">
        <v>11</v>
      </c>
      <c r="B99" t="s">
        <v>282</v>
      </c>
      <c r="C99" t="s">
        <v>44</v>
      </c>
      <c r="D99" t="s">
        <v>45</v>
      </c>
      <c r="E99" t="s">
        <v>45</v>
      </c>
      <c r="F99">
        <v>177</v>
      </c>
      <c r="G99" s="30" t="s">
        <v>325</v>
      </c>
      <c r="H99" s="2">
        <f>INDEX('Data sources'!G:G,MATCH(G99,'Data sources'!A:A,0),1)</f>
        <v>5.79E-2</v>
      </c>
      <c r="I99" s="2">
        <f>INDEX('Data sources'!J:J,MATCH(G99,'Data sources'!A:A,0),1)</f>
        <v>4.2599999999999999E-2</v>
      </c>
      <c r="J99" s="2">
        <f>INDEX('Data sources'!R:R,MATCH(G99,'Data sources'!A:A,0),1)</f>
        <v>1</v>
      </c>
      <c r="K99" s="2">
        <f>INDEX('Data sources'!S:S,MATCH(G99,'Data sources'!A:A,0),1)</f>
        <v>0</v>
      </c>
      <c r="L99" t="str">
        <f t="shared" si="1"/>
        <v>Combustion installations with a rated thermal input exceeding 20 MW_Production of electricity</v>
      </c>
      <c r="M99">
        <f>INDEX('Data sources'!U:U,MATCH($G99,'Data sources'!$A:$A,0),1)</f>
        <v>0.78416348147957027</v>
      </c>
      <c r="N99">
        <f>INDEX('Data sources'!V:V,MATCH($G99,'Data sources'!$A:$A,0),1)</f>
        <v>0.72535139859924458</v>
      </c>
    </row>
    <row r="100" spans="1:14" x14ac:dyDescent="0.2">
      <c r="A100" t="s">
        <v>11</v>
      </c>
      <c r="B100" t="s">
        <v>301</v>
      </c>
      <c r="C100" t="s">
        <v>44</v>
      </c>
      <c r="D100" t="s">
        <v>45</v>
      </c>
      <c r="E100" t="s">
        <v>45</v>
      </c>
      <c r="F100">
        <v>179</v>
      </c>
      <c r="G100" s="30" t="s">
        <v>329</v>
      </c>
      <c r="H100" s="2">
        <f>INDEX('Data sources'!G:G,MATCH(G100,'Data sources'!A:A,0),1)</f>
        <v>7.6799999999999993E-2</v>
      </c>
      <c r="I100" s="2">
        <f>INDEX('Data sources'!J:J,MATCH(G100,'Data sources'!A:A,0),1)</f>
        <v>4.7300000000000002E-2</v>
      </c>
      <c r="J100" s="2">
        <f>INDEX('Data sources'!R:R,MATCH(G100,'Data sources'!A:A,0),1)</f>
        <v>1</v>
      </c>
      <c r="K100" s="2">
        <f>INDEX('Data sources'!S:S,MATCH(G100,'Data sources'!A:A,0),1)</f>
        <v>0</v>
      </c>
      <c r="L100" t="str">
        <f t="shared" si="1"/>
        <v>Combustion installations with a rated thermal input exceeding 20 MW_Steam and air conditioning supply</v>
      </c>
      <c r="M100">
        <f>INDEX('Data sources'!U:U,MATCH($G100,'Data sources'!$A:$A,0),1)</f>
        <v>0.78416348147957027</v>
      </c>
      <c r="N100">
        <f>INDEX('Data sources'!V:V,MATCH($G100,'Data sources'!$A:$A,0),1)</f>
        <v>0.72535139859924458</v>
      </c>
    </row>
    <row r="101" spans="1:14" x14ac:dyDescent="0.2">
      <c r="A101" t="s">
        <v>11</v>
      </c>
      <c r="B101" t="s">
        <v>312</v>
      </c>
      <c r="C101" t="s">
        <v>269</v>
      </c>
      <c r="D101" t="s">
        <v>45</v>
      </c>
      <c r="E101" t="s">
        <v>45</v>
      </c>
      <c r="F101">
        <v>4</v>
      </c>
      <c r="G101" s="30" t="s">
        <v>325</v>
      </c>
      <c r="H101" s="2">
        <f>INDEX('Data sources'!G:G,MATCH(G101,'Data sources'!A:A,0),1)</f>
        <v>5.79E-2</v>
      </c>
      <c r="I101" s="2">
        <f>INDEX('Data sources'!J:J,MATCH(G101,'Data sources'!A:A,0),1)</f>
        <v>4.2599999999999999E-2</v>
      </c>
      <c r="J101" s="2">
        <f>INDEX('Data sources'!R:R,MATCH(G101,'Data sources'!A:A,0),1)</f>
        <v>1</v>
      </c>
      <c r="K101" s="2">
        <f>INDEX('Data sources'!S:S,MATCH(G101,'Data sources'!A:A,0),1)</f>
        <v>0</v>
      </c>
      <c r="L101" t="str">
        <f t="shared" si="1"/>
        <v>Combustion installations with a rated thermal input exceeding 20 MW_Transport via pipeline</v>
      </c>
      <c r="M101">
        <f>INDEX('Data sources'!U:U,MATCH($G101,'Data sources'!$A:$A,0),1)</f>
        <v>0.78416348147957027</v>
      </c>
      <c r="N101">
        <f>INDEX('Data sources'!V:V,MATCH($G101,'Data sources'!$A:$A,0),1)</f>
        <v>0.72535139859924458</v>
      </c>
    </row>
    <row r="102" spans="1:14" x14ac:dyDescent="0.2">
      <c r="A102" t="s">
        <v>11</v>
      </c>
      <c r="B102" t="s">
        <v>225</v>
      </c>
      <c r="C102" t="s">
        <v>81</v>
      </c>
      <c r="D102" t="s">
        <v>409</v>
      </c>
      <c r="E102" t="s">
        <v>331</v>
      </c>
      <c r="F102">
        <v>1</v>
      </c>
      <c r="G102" s="30" t="s">
        <v>332</v>
      </c>
      <c r="H102" s="2">
        <f>INDEX('Data sources'!G:G,MATCH(G102,'Data sources'!A:A,0),1)</f>
        <v>1.8</v>
      </c>
      <c r="I102" s="2">
        <f>INDEX('Data sources'!J:J,MATCH(G102,'Data sources'!A:A,0),1)</f>
        <v>1.8</v>
      </c>
      <c r="J102" s="2">
        <f>INDEX('Data sources'!R:R,MATCH(G102,'Data sources'!A:A,0),1)</f>
        <v>5.378400000000001</v>
      </c>
      <c r="K102" s="2">
        <f>INDEX('Data sources'!S:S,MATCH(G102,'Data sources'!A:A,0),1)</f>
        <v>0</v>
      </c>
      <c r="L102" t="str">
        <f t="shared" si="1"/>
        <v>Combustion installations with a rated thermal input exceeding 20 MW_Manufacture of refractory products</v>
      </c>
      <c r="M102">
        <f>INDEX('Data sources'!U:U,MATCH($G102,'Data sources'!$A:$A,0),1)</f>
        <v>0.66884534593017986</v>
      </c>
      <c r="N102">
        <f>INDEX('Data sources'!V:V,MATCH($G102,'Data sources'!$A:$A,0),1)</f>
        <v>0.58742624959688228</v>
      </c>
    </row>
    <row r="103" spans="1:14" x14ac:dyDescent="0.2">
      <c r="A103" t="s">
        <v>11</v>
      </c>
      <c r="B103" t="s">
        <v>197</v>
      </c>
      <c r="C103" t="s">
        <v>198</v>
      </c>
      <c r="D103" t="s">
        <v>95</v>
      </c>
      <c r="E103" t="s">
        <v>95</v>
      </c>
      <c r="F103">
        <v>2</v>
      </c>
      <c r="G103" s="30" t="s">
        <v>335</v>
      </c>
      <c r="H103" s="2">
        <f>INDEX('Data sources'!G:G,MATCH(G103,'Data sources'!A:A,0),1)</f>
        <v>0.49494039340491602</v>
      </c>
      <c r="I103" s="2">
        <f>INDEX('Data sources'!J:J,MATCH(G103,'Data sources'!A:A,0),1)</f>
        <v>0.76276347235126118</v>
      </c>
      <c r="J103" s="2">
        <f>INDEX('Data sources'!R:R,MATCH(G103,'Data sources'!A:A,0),1)</f>
        <v>6.0728236366858992</v>
      </c>
      <c r="K103" s="2">
        <f>INDEX('Data sources'!S:S,MATCH(G103,'Data sources'!A:A,0),1)</f>
        <v>0</v>
      </c>
      <c r="L103" t="str">
        <f t="shared" si="1"/>
        <v>Combustion installations with a rated thermal input exceeding 20 MW_Manufacture of other plastic products</v>
      </c>
      <c r="M103">
        <f>INDEX('Data sources'!U:U,MATCH($G103,'Data sources'!$A:$A,0),1)</f>
        <v>0.84137119305744412</v>
      </c>
      <c r="N103">
        <f>INDEX('Data sources'!V:V,MATCH($G103,'Data sources'!$A:$A,0),1)</f>
        <v>0.86357922057787206</v>
      </c>
    </row>
    <row r="104" spans="1:14" x14ac:dyDescent="0.2">
      <c r="A104" t="s">
        <v>11</v>
      </c>
      <c r="B104" t="s">
        <v>202</v>
      </c>
      <c r="C104" t="s">
        <v>198</v>
      </c>
      <c r="D104" t="s">
        <v>95</v>
      </c>
      <c r="E104" t="s">
        <v>95</v>
      </c>
      <c r="F104">
        <v>1</v>
      </c>
      <c r="G104" s="30" t="s">
        <v>335</v>
      </c>
      <c r="H104" s="2">
        <f>INDEX('Data sources'!G:G,MATCH(G104,'Data sources'!A:A,0),1)</f>
        <v>0.49494039340491602</v>
      </c>
      <c r="I104" s="2">
        <f>INDEX('Data sources'!J:J,MATCH(G104,'Data sources'!A:A,0),1)</f>
        <v>0.76276347235126118</v>
      </c>
      <c r="J104" s="2">
        <f>INDEX('Data sources'!R:R,MATCH(G104,'Data sources'!A:A,0),1)</f>
        <v>6.0728236366858992</v>
      </c>
      <c r="K104" s="2">
        <f>INDEX('Data sources'!S:S,MATCH(G104,'Data sources'!A:A,0),1)</f>
        <v>0</v>
      </c>
      <c r="L104" t="str">
        <f t="shared" si="1"/>
        <v>Combustion installations with a rated thermal input exceeding 20 MW_Manufacture of other rubber products</v>
      </c>
      <c r="M104">
        <f>INDEX('Data sources'!U:U,MATCH($G104,'Data sources'!$A:$A,0),1)</f>
        <v>0.84137119305744412</v>
      </c>
      <c r="N104">
        <f>INDEX('Data sources'!V:V,MATCH($G104,'Data sources'!$A:$A,0),1)</f>
        <v>0.86357922057787206</v>
      </c>
    </row>
    <row r="105" spans="1:14" x14ac:dyDescent="0.2">
      <c r="A105" t="s">
        <v>11</v>
      </c>
      <c r="B105" t="s">
        <v>214</v>
      </c>
      <c r="C105" t="s">
        <v>198</v>
      </c>
      <c r="D105" t="s">
        <v>95</v>
      </c>
      <c r="E105" t="s">
        <v>95</v>
      </c>
      <c r="F105">
        <v>1</v>
      </c>
      <c r="G105" s="30" t="s">
        <v>335</v>
      </c>
      <c r="H105" s="2">
        <f>INDEX('Data sources'!G:G,MATCH(G105,'Data sources'!A:A,0),1)</f>
        <v>0.49494039340491602</v>
      </c>
      <c r="I105" s="2">
        <f>INDEX('Data sources'!J:J,MATCH(G105,'Data sources'!A:A,0),1)</f>
        <v>0.76276347235126118</v>
      </c>
      <c r="J105" s="2">
        <f>INDEX('Data sources'!R:R,MATCH(G105,'Data sources'!A:A,0),1)</f>
        <v>6.0728236366858992</v>
      </c>
      <c r="K105" s="2">
        <f>INDEX('Data sources'!S:S,MATCH(G105,'Data sources'!A:A,0),1)</f>
        <v>0</v>
      </c>
      <c r="L105" t="str">
        <f t="shared" si="1"/>
        <v>Combustion installations with a rated thermal input exceeding 20 MW_Manufacture of plastic packing goods</v>
      </c>
      <c r="M105">
        <f>INDEX('Data sources'!U:U,MATCH($G105,'Data sources'!$A:$A,0),1)</f>
        <v>0.84137119305744412</v>
      </c>
      <c r="N105">
        <f>INDEX('Data sources'!V:V,MATCH($G105,'Data sources'!$A:$A,0),1)</f>
        <v>0.86357922057787206</v>
      </c>
    </row>
    <row r="106" spans="1:14" x14ac:dyDescent="0.2">
      <c r="A106" t="s">
        <v>11</v>
      </c>
      <c r="B106" t="s">
        <v>215</v>
      </c>
      <c r="C106" t="s">
        <v>198</v>
      </c>
      <c r="D106" t="s">
        <v>95</v>
      </c>
      <c r="E106" t="s">
        <v>95</v>
      </c>
      <c r="F106">
        <v>4</v>
      </c>
      <c r="G106" s="30" t="s">
        <v>335</v>
      </c>
      <c r="H106" s="2">
        <f>INDEX('Data sources'!G:G,MATCH(G106,'Data sources'!A:A,0),1)</f>
        <v>0.49494039340491602</v>
      </c>
      <c r="I106" s="2">
        <f>INDEX('Data sources'!J:J,MATCH(G106,'Data sources'!A:A,0),1)</f>
        <v>0.76276347235126118</v>
      </c>
      <c r="J106" s="2">
        <f>INDEX('Data sources'!R:R,MATCH(G106,'Data sources'!A:A,0),1)</f>
        <v>6.0728236366858992</v>
      </c>
      <c r="K106" s="2">
        <f>INDEX('Data sources'!S:S,MATCH(G106,'Data sources'!A:A,0),1)</f>
        <v>0</v>
      </c>
      <c r="L106" t="str">
        <f t="shared" si="1"/>
        <v>Combustion installations with a rated thermal input exceeding 20 MW_Manufacture of plastic plates, sheets, tubes and profiles</v>
      </c>
      <c r="M106">
        <f>INDEX('Data sources'!U:U,MATCH($G106,'Data sources'!$A:$A,0),1)</f>
        <v>0.84137119305744412</v>
      </c>
      <c r="N106">
        <f>INDEX('Data sources'!V:V,MATCH($G106,'Data sources'!$A:$A,0),1)</f>
        <v>0.86357922057787206</v>
      </c>
    </row>
    <row r="107" spans="1:14" x14ac:dyDescent="0.2">
      <c r="A107" s="2" t="s">
        <v>11</v>
      </c>
      <c r="D107" t="s">
        <v>403</v>
      </c>
      <c r="E107" t="s">
        <v>15</v>
      </c>
      <c r="G107" s="30" t="s">
        <v>325</v>
      </c>
      <c r="H107" s="2">
        <f>INDEX('Data sources'!G:G,MATCH(G107,'Data sources'!A:A,0),1)</f>
        <v>5.79E-2</v>
      </c>
      <c r="I107" s="2">
        <f>INDEX('Data sources'!J:J,MATCH(G107,'Data sources'!A:A,0),1)</f>
        <v>4.2599999999999999E-2</v>
      </c>
      <c r="J107" s="2">
        <f>INDEX('Data sources'!R:R,MATCH(G107,'Data sources'!A:A,0),1)</f>
        <v>1</v>
      </c>
      <c r="K107" s="2">
        <f>INDEX('Data sources'!S:S,MATCH(G107,'Data sources'!A:A,0),1)</f>
        <v>0</v>
      </c>
      <c r="L107" t="str">
        <f t="shared" si="1"/>
        <v>Combustion installations with a rated thermal input exceeding 20 MW</v>
      </c>
      <c r="M107">
        <f>INDEX('Data sources'!U:U,MATCH($G107,'Data sources'!$A:$A,0),1)</f>
        <v>0.78416348147957027</v>
      </c>
      <c r="N107">
        <f>INDEX('Data sources'!V:V,MATCH($G107,'Data sources'!$A:$A,0),1)</f>
        <v>0.72535139859924458</v>
      </c>
    </row>
    <row r="108" spans="1:14" x14ac:dyDescent="0.2">
      <c r="A108" t="s">
        <v>10</v>
      </c>
      <c r="B108" t="s">
        <v>5</v>
      </c>
      <c r="C108" t="s">
        <v>6</v>
      </c>
      <c r="D108" t="s">
        <v>256</v>
      </c>
      <c r="E108" t="s">
        <v>7</v>
      </c>
      <c r="F108">
        <v>8</v>
      </c>
      <c r="G108" s="30" t="s">
        <v>324</v>
      </c>
      <c r="H108" s="2">
        <f>INDEX('Data sources'!G:G,MATCH(G108,'Data sources'!A:A,0),1)</f>
        <v>1.641</v>
      </c>
      <c r="I108" s="2">
        <f>INDEX('Data sources'!J:J,MATCH(G108,'Data sources'!A:A,0),1)</f>
        <v>1.464</v>
      </c>
      <c r="J108" s="2">
        <f>INDEX('Data sources'!R:R,MATCH(G108,'Data sources'!A:A,0),1)</f>
        <v>12.024000000000001</v>
      </c>
      <c r="K108" s="2">
        <f>INDEX('Data sources'!S:S,MATCH(G108,'Data sources'!A:A,0),1)</f>
        <v>0</v>
      </c>
      <c r="L108" t="str">
        <f t="shared" si="1"/>
        <v>Combustion of fuels_Aluminium production</v>
      </c>
      <c r="M108">
        <f>INDEX('Data sources'!U:U,MATCH($G108,'Data sources'!$A:$A,0),1)</f>
        <v>0.83923856134650876</v>
      </c>
      <c r="N108">
        <f>INDEX('Data sources'!V:V,MATCH($G108,'Data sources'!$A:$A,0),1)</f>
        <v>0.99183492762409997</v>
      </c>
    </row>
    <row r="109" spans="1:14" x14ac:dyDescent="0.2">
      <c r="A109" t="s">
        <v>10</v>
      </c>
      <c r="B109" t="s">
        <v>105</v>
      </c>
      <c r="C109" t="s">
        <v>81</v>
      </c>
      <c r="D109" t="s">
        <v>409</v>
      </c>
      <c r="E109" t="s">
        <v>106</v>
      </c>
      <c r="F109">
        <v>1</v>
      </c>
      <c r="G109" s="30" t="s">
        <v>327</v>
      </c>
      <c r="H109" s="2">
        <f>INDEX('Data sources'!G:G,MATCH(G109,'Data sources'!A:A,0),1)</f>
        <v>0.81745070728588098</v>
      </c>
      <c r="I109" s="2">
        <f>INDEX('Data sources'!J:J,MATCH(G109,'Data sources'!A:A,0),1)</f>
        <v>0.6991394038416423</v>
      </c>
      <c r="J109" s="2">
        <f>INDEX('Data sources'!R:R,MATCH(G109,'Data sources'!A:A,0),1)</f>
        <v>4.3200000000000021</v>
      </c>
      <c r="K109" s="2">
        <f>INDEX('Data sources'!S:S,MATCH(G109,'Data sources'!A:A,0),1)</f>
        <v>0</v>
      </c>
      <c r="L109" t="str">
        <f t="shared" si="1"/>
        <v>Combustion of fuels_Manufacture of cement</v>
      </c>
      <c r="M109">
        <f>INDEX('Data sources'!U:U,MATCH($G109,'Data sources'!$A:$A,0),1)</f>
        <v>0.66884534593017986</v>
      </c>
      <c r="N109">
        <f>INDEX('Data sources'!V:V,MATCH($G109,'Data sources'!$A:$A,0),1)</f>
        <v>0.58742624959688228</v>
      </c>
    </row>
    <row r="110" spans="1:14" x14ac:dyDescent="0.2">
      <c r="A110" t="s">
        <v>10</v>
      </c>
      <c r="B110" t="s">
        <v>119</v>
      </c>
      <c r="C110" t="s">
        <v>81</v>
      </c>
      <c r="D110" t="s">
        <v>409</v>
      </c>
      <c r="E110" t="s">
        <v>106</v>
      </c>
      <c r="F110">
        <v>2</v>
      </c>
      <c r="G110" s="30" t="s">
        <v>327</v>
      </c>
      <c r="H110" s="2">
        <f>INDEX('Data sources'!G:G,MATCH(G110,'Data sources'!A:A,0),1)</f>
        <v>0.81745070728588098</v>
      </c>
      <c r="I110" s="2">
        <f>INDEX('Data sources'!J:J,MATCH(G110,'Data sources'!A:A,0),1)</f>
        <v>0.6991394038416423</v>
      </c>
      <c r="J110" s="2">
        <f>INDEX('Data sources'!R:R,MATCH(G110,'Data sources'!A:A,0),1)</f>
        <v>4.3200000000000021</v>
      </c>
      <c r="K110" s="2">
        <f>INDEX('Data sources'!S:S,MATCH(G110,'Data sources'!A:A,0),1)</f>
        <v>0</v>
      </c>
      <c r="L110" t="str">
        <f t="shared" si="1"/>
        <v>Combustion of fuels_Manufacture of concrete products for construction purposes</v>
      </c>
      <c r="M110">
        <f>INDEX('Data sources'!U:U,MATCH($G110,'Data sources'!$A:$A,0),1)</f>
        <v>0.66884534593017986</v>
      </c>
      <c r="N110">
        <f>INDEX('Data sources'!V:V,MATCH($G110,'Data sources'!$A:$A,0),1)</f>
        <v>0.58742624959688228</v>
      </c>
    </row>
    <row r="111" spans="1:14" x14ac:dyDescent="0.2">
      <c r="A111" t="s">
        <v>10</v>
      </c>
      <c r="B111" t="s">
        <v>137</v>
      </c>
      <c r="C111" t="s">
        <v>81</v>
      </c>
      <c r="D111" t="s">
        <v>409</v>
      </c>
      <c r="E111" t="s">
        <v>106</v>
      </c>
      <c r="F111">
        <v>2</v>
      </c>
      <c r="G111" s="30" t="s">
        <v>327</v>
      </c>
      <c r="H111" s="2">
        <f>INDEX('Data sources'!G:G,MATCH(G111,'Data sources'!A:A,0),1)</f>
        <v>0.81745070728588098</v>
      </c>
      <c r="I111" s="2">
        <f>INDEX('Data sources'!J:J,MATCH(G111,'Data sources'!A:A,0),1)</f>
        <v>0.6991394038416423</v>
      </c>
      <c r="J111" s="2">
        <f>INDEX('Data sources'!R:R,MATCH(G111,'Data sources'!A:A,0),1)</f>
        <v>4.3200000000000021</v>
      </c>
      <c r="K111" s="2">
        <f>INDEX('Data sources'!S:S,MATCH(G111,'Data sources'!A:A,0),1)</f>
        <v>0</v>
      </c>
      <c r="L111" t="str">
        <f t="shared" si="1"/>
        <v>Combustion of fuels_Manufacture of fibre cement</v>
      </c>
      <c r="M111">
        <f>INDEX('Data sources'!U:U,MATCH($G111,'Data sources'!$A:$A,0),1)</f>
        <v>0.66884534593017986</v>
      </c>
      <c r="N111">
        <f>INDEX('Data sources'!V:V,MATCH($G111,'Data sources'!$A:$A,0),1)</f>
        <v>0.58742624959688228</v>
      </c>
    </row>
    <row r="112" spans="1:14" x14ac:dyDescent="0.2">
      <c r="A112" t="s">
        <v>10</v>
      </c>
      <c r="B112" t="s">
        <v>100</v>
      </c>
      <c r="C112" t="s">
        <v>81</v>
      </c>
      <c r="D112" t="s">
        <v>409</v>
      </c>
      <c r="E112" t="s">
        <v>101</v>
      </c>
      <c r="F112">
        <v>2</v>
      </c>
      <c r="G112" s="30" t="s">
        <v>326</v>
      </c>
      <c r="H112" s="2">
        <f>INDEX('Data sources'!G:G,MATCH(G112,'Data sources'!A:A,0),1)</f>
        <v>0.12876363322314929</v>
      </c>
      <c r="I112" s="2">
        <f>INDEX('Data sources'!J:J,MATCH(G112,'Data sources'!A:A,0),1)</f>
        <v>9.509036148184509E-2</v>
      </c>
      <c r="J112" s="2">
        <f>INDEX('Data sources'!R:R,MATCH(G112,'Data sources'!A:A,0),1)</f>
        <v>3.0746807959647584</v>
      </c>
      <c r="K112" s="2">
        <f>INDEX('Data sources'!S:S,MATCH(G112,'Data sources'!A:A,0),1)</f>
        <v>0</v>
      </c>
      <c r="L112" t="str">
        <f t="shared" si="1"/>
        <v>Combustion of fuels_Manufacture of bricks, tiles and construction products, in baked clay</v>
      </c>
      <c r="M112">
        <f>INDEX('Data sources'!U:U,MATCH($G112,'Data sources'!$A:$A,0),1)</f>
        <v>0.66884534593017986</v>
      </c>
      <c r="N112">
        <f>INDEX('Data sources'!V:V,MATCH($G112,'Data sources'!$A:$A,0),1)</f>
        <v>0.58742624959688228</v>
      </c>
    </row>
    <row r="113" spans="1:14" x14ac:dyDescent="0.2">
      <c r="A113" t="s">
        <v>10</v>
      </c>
      <c r="B113" t="s">
        <v>109</v>
      </c>
      <c r="C113" t="s">
        <v>81</v>
      </c>
      <c r="D113" t="s">
        <v>409</v>
      </c>
      <c r="E113" t="s">
        <v>101</v>
      </c>
      <c r="F113">
        <v>1</v>
      </c>
      <c r="G113" s="30" t="s">
        <v>326</v>
      </c>
      <c r="H113" s="2">
        <f>INDEX('Data sources'!G:G,MATCH(G113,'Data sources'!A:A,0),1)</f>
        <v>0.12876363322314929</v>
      </c>
      <c r="I113" s="2">
        <f>INDEX('Data sources'!J:J,MATCH(G113,'Data sources'!A:A,0),1)</f>
        <v>9.509036148184509E-2</v>
      </c>
      <c r="J113" s="2">
        <f>INDEX('Data sources'!R:R,MATCH(G113,'Data sources'!A:A,0),1)</f>
        <v>3.0746807959647584</v>
      </c>
      <c r="K113" s="2">
        <f>INDEX('Data sources'!S:S,MATCH(G113,'Data sources'!A:A,0),1)</f>
        <v>0</v>
      </c>
      <c r="L113" t="str">
        <f t="shared" si="1"/>
        <v>Combustion of fuels_Manufacture of ceramic insulators and insulating fittings</v>
      </c>
      <c r="M113">
        <f>INDEX('Data sources'!U:U,MATCH($G113,'Data sources'!$A:$A,0),1)</f>
        <v>0.66884534593017986</v>
      </c>
      <c r="N113">
        <f>INDEX('Data sources'!V:V,MATCH($G113,'Data sources'!$A:$A,0),1)</f>
        <v>0.58742624959688228</v>
      </c>
    </row>
    <row r="114" spans="1:14" x14ac:dyDescent="0.2">
      <c r="A114" t="s">
        <v>10</v>
      </c>
      <c r="B114" t="s">
        <v>110</v>
      </c>
      <c r="C114" t="s">
        <v>81</v>
      </c>
      <c r="D114" t="s">
        <v>409</v>
      </c>
      <c r="E114" t="s">
        <v>101</v>
      </c>
      <c r="F114">
        <v>1</v>
      </c>
      <c r="G114" s="30" t="s">
        <v>326</v>
      </c>
      <c r="H114" s="2">
        <f>INDEX('Data sources'!G:G,MATCH(G114,'Data sources'!A:A,0),1)</f>
        <v>0.12876363322314929</v>
      </c>
      <c r="I114" s="2">
        <f>INDEX('Data sources'!J:J,MATCH(G114,'Data sources'!A:A,0),1)</f>
        <v>9.509036148184509E-2</v>
      </c>
      <c r="J114" s="2">
        <f>INDEX('Data sources'!R:R,MATCH(G114,'Data sources'!A:A,0),1)</f>
        <v>3.0746807959647584</v>
      </c>
      <c r="K114" s="2">
        <f>INDEX('Data sources'!S:S,MATCH(G114,'Data sources'!A:A,0),1)</f>
        <v>0</v>
      </c>
      <c r="L114" t="str">
        <f t="shared" si="1"/>
        <v>Combustion of fuels_Manufacture of ceramic sanitary fixtures</v>
      </c>
      <c r="M114">
        <f>INDEX('Data sources'!U:U,MATCH($G114,'Data sources'!$A:$A,0),1)</f>
        <v>0.66884534593017986</v>
      </c>
      <c r="N114">
        <f>INDEX('Data sources'!V:V,MATCH($G114,'Data sources'!$A:$A,0),1)</f>
        <v>0.58742624959688228</v>
      </c>
    </row>
    <row r="115" spans="1:14" x14ac:dyDescent="0.2">
      <c r="A115" t="s">
        <v>10</v>
      </c>
      <c r="B115" t="s">
        <v>111</v>
      </c>
      <c r="C115" t="s">
        <v>81</v>
      </c>
      <c r="D115" t="s">
        <v>409</v>
      </c>
      <c r="E115" t="s">
        <v>101</v>
      </c>
      <c r="F115">
        <v>2</v>
      </c>
      <c r="G115" s="30" t="s">
        <v>326</v>
      </c>
      <c r="H115" s="2">
        <f>INDEX('Data sources'!G:G,MATCH(G115,'Data sources'!A:A,0),1)</f>
        <v>0.12876363322314929</v>
      </c>
      <c r="I115" s="2">
        <f>INDEX('Data sources'!J:J,MATCH(G115,'Data sources'!A:A,0),1)</f>
        <v>9.509036148184509E-2</v>
      </c>
      <c r="J115" s="2">
        <f>INDEX('Data sources'!R:R,MATCH(G115,'Data sources'!A:A,0),1)</f>
        <v>3.0746807959647584</v>
      </c>
      <c r="K115" s="2">
        <f>INDEX('Data sources'!S:S,MATCH(G115,'Data sources'!A:A,0),1)</f>
        <v>0</v>
      </c>
      <c r="L115" t="str">
        <f t="shared" si="1"/>
        <v>Combustion of fuels_Manufacture of ceramic tiles and flags</v>
      </c>
      <c r="M115">
        <f>INDEX('Data sources'!U:U,MATCH($G115,'Data sources'!$A:$A,0),1)</f>
        <v>0.66884534593017986</v>
      </c>
      <c r="N115">
        <f>INDEX('Data sources'!V:V,MATCH($G115,'Data sources'!$A:$A,0),1)</f>
        <v>0.58742624959688228</v>
      </c>
    </row>
    <row r="116" spans="1:14" x14ac:dyDescent="0.2">
      <c r="A116" t="s">
        <v>10</v>
      </c>
      <c r="B116" t="s">
        <v>93</v>
      </c>
      <c r="C116" t="s">
        <v>94</v>
      </c>
      <c r="D116" t="s">
        <v>95</v>
      </c>
      <c r="E116" t="s">
        <v>94</v>
      </c>
      <c r="F116">
        <v>23</v>
      </c>
      <c r="G116" s="30" t="s">
        <v>338</v>
      </c>
      <c r="H116" s="2">
        <f>INDEX('Data sources'!G:G,MATCH(G116,'Data sources'!A:A,0),1)</f>
        <v>1.1838611017829463</v>
      </c>
      <c r="I116" s="2">
        <f>INDEX('Data sources'!J:J,MATCH(G116,'Data sources'!A:A,0),1)</f>
        <v>1.0013516184567537</v>
      </c>
      <c r="J116" s="2">
        <f>INDEX('Data sources'!R:R,MATCH(G116,'Data sources'!A:A,0),1)</f>
        <v>2.6802340811720051</v>
      </c>
      <c r="K116" s="2">
        <f>INDEX('Data sources'!S:S,MATCH(G116,'Data sources'!A:A,0),1)</f>
        <v>27.108503329226927</v>
      </c>
      <c r="L116" t="str">
        <f t="shared" si="1"/>
        <v>Combustion of fuels_Manufacture of basic pharmaceutical products</v>
      </c>
      <c r="M116">
        <f>INDEX('Data sources'!U:U,MATCH($G116,'Data sources'!$A:$A,0),1)</f>
        <v>0.84137119305744423</v>
      </c>
      <c r="N116">
        <f>INDEX('Data sources'!V:V,MATCH($G116,'Data sources'!$A:$A,0),1)</f>
        <v>0.86357922057787206</v>
      </c>
    </row>
    <row r="117" spans="1:14" x14ac:dyDescent="0.2">
      <c r="A117" t="s">
        <v>10</v>
      </c>
      <c r="B117" t="s">
        <v>125</v>
      </c>
      <c r="C117" t="s">
        <v>95</v>
      </c>
      <c r="D117" t="s">
        <v>95</v>
      </c>
      <c r="E117" t="s">
        <v>95</v>
      </c>
      <c r="F117">
        <v>10</v>
      </c>
      <c r="G117" s="30" t="s">
        <v>338</v>
      </c>
      <c r="H117" s="2">
        <f>INDEX('Data sources'!G:G,MATCH(G117,'Data sources'!A:A,0),1)</f>
        <v>1.1838611017829463</v>
      </c>
      <c r="I117" s="2">
        <f>INDEX('Data sources'!J:J,MATCH(G117,'Data sources'!A:A,0),1)</f>
        <v>1.0013516184567537</v>
      </c>
      <c r="J117" s="2">
        <f>INDEX('Data sources'!R:R,MATCH(G117,'Data sources'!A:A,0),1)</f>
        <v>2.6802340811720051</v>
      </c>
      <c r="K117" s="2">
        <f>INDEX('Data sources'!S:S,MATCH(G117,'Data sources'!A:A,0),1)</f>
        <v>27.108503329226927</v>
      </c>
      <c r="L117" t="str">
        <f t="shared" si="1"/>
        <v>Combustion of fuels_Manufacture of dyes and pigments</v>
      </c>
      <c r="M117">
        <f>INDEX('Data sources'!U:U,MATCH($G117,'Data sources'!$A:$A,0),1)</f>
        <v>0.84137119305744423</v>
      </c>
      <c r="N117">
        <f>INDEX('Data sources'!V:V,MATCH($G117,'Data sources'!$A:$A,0),1)</f>
        <v>0.86357922057787206</v>
      </c>
    </row>
    <row r="118" spans="1:14" x14ac:dyDescent="0.2">
      <c r="A118" t="s">
        <v>10</v>
      </c>
      <c r="B118" t="s">
        <v>133</v>
      </c>
      <c r="C118" t="s">
        <v>95</v>
      </c>
      <c r="D118" t="s">
        <v>95</v>
      </c>
      <c r="E118" t="s">
        <v>95</v>
      </c>
      <c r="F118">
        <v>1</v>
      </c>
      <c r="G118" s="30" t="s">
        <v>338</v>
      </c>
      <c r="H118" s="2">
        <f>INDEX('Data sources'!G:G,MATCH(G118,'Data sources'!A:A,0),1)</f>
        <v>1.1838611017829463</v>
      </c>
      <c r="I118" s="2">
        <f>INDEX('Data sources'!J:J,MATCH(G118,'Data sources'!A:A,0),1)</f>
        <v>1.0013516184567537</v>
      </c>
      <c r="J118" s="2">
        <f>INDEX('Data sources'!R:R,MATCH(G118,'Data sources'!A:A,0),1)</f>
        <v>2.6802340811720051</v>
      </c>
      <c r="K118" s="2">
        <f>INDEX('Data sources'!S:S,MATCH(G118,'Data sources'!A:A,0),1)</f>
        <v>27.108503329226927</v>
      </c>
      <c r="L118" t="str">
        <f t="shared" si="1"/>
        <v>Combustion of fuels_Manufacture of explosives</v>
      </c>
      <c r="M118">
        <f>INDEX('Data sources'!U:U,MATCH($G118,'Data sources'!$A:$A,0),1)</f>
        <v>0.84137119305744423</v>
      </c>
      <c r="N118">
        <f>INDEX('Data sources'!V:V,MATCH($G118,'Data sources'!$A:$A,0),1)</f>
        <v>0.86357922057787206</v>
      </c>
    </row>
    <row r="119" spans="1:14" x14ac:dyDescent="0.2">
      <c r="A119" t="s">
        <v>10</v>
      </c>
      <c r="B119" t="s">
        <v>134</v>
      </c>
      <c r="C119" t="s">
        <v>95</v>
      </c>
      <c r="D119" t="s">
        <v>95</v>
      </c>
      <c r="E119" t="s">
        <v>95</v>
      </c>
      <c r="F119">
        <v>29</v>
      </c>
      <c r="G119" s="30" t="s">
        <v>343</v>
      </c>
      <c r="H119" s="2">
        <f>INDEX('Data sources'!G:G,MATCH(G119,'Data sources'!A:A,0),1)</f>
        <v>1.7186343172225256</v>
      </c>
      <c r="I119" s="2">
        <f>INDEX('Data sources'!J:J,MATCH(G119,'Data sources'!A:A,0),1)</f>
        <v>1.3535743777501814</v>
      </c>
      <c r="J119" s="2">
        <f>INDEX('Data sources'!R:R,MATCH(G119,'Data sources'!A:A,0),1)</f>
        <v>0</v>
      </c>
      <c r="K119" s="2">
        <f>INDEX('Data sources'!S:S,MATCH(G119,'Data sources'!A:A,0),1)</f>
        <v>12.596122450268965</v>
      </c>
      <c r="L119" t="str">
        <f t="shared" si="1"/>
        <v>Combustion of fuels_Manufacture of fertilisers and nitrogen compounds</v>
      </c>
      <c r="M119">
        <f>INDEX('Data sources'!U:U,MATCH($G119,'Data sources'!$A:$A,0),1)</f>
        <v>0.84137119305744423</v>
      </c>
      <c r="N119">
        <f>INDEX('Data sources'!V:V,MATCH($G119,'Data sources'!$A:$A,0),1)</f>
        <v>0.86357922057787195</v>
      </c>
    </row>
    <row r="120" spans="1:14" x14ac:dyDescent="0.2">
      <c r="A120" t="s">
        <v>10</v>
      </c>
      <c r="B120" t="s">
        <v>144</v>
      </c>
      <c r="C120" t="s">
        <v>95</v>
      </c>
      <c r="D120" t="s">
        <v>95</v>
      </c>
      <c r="E120" t="s">
        <v>95</v>
      </c>
      <c r="F120">
        <v>2</v>
      </c>
      <c r="G120" s="30" t="s">
        <v>348</v>
      </c>
      <c r="H120" s="2">
        <f>INDEX('Data sources'!G:G,MATCH(G120,'Data sources'!A:A,0),1)</f>
        <v>0.7451576638020061</v>
      </c>
      <c r="I120" s="2">
        <f>INDEX('Data sources'!J:J,MATCH(G120,'Data sources'!A:A,0),1)</f>
        <v>0.6864801988122935</v>
      </c>
      <c r="J120" s="2">
        <f>INDEX('Data sources'!R:R,MATCH(G120,'Data sources'!A:A,0),1)</f>
        <v>2.1991404818942466</v>
      </c>
      <c r="K120" s="2">
        <f>INDEX('Data sources'!S:S,MATCH(G120,'Data sources'!A:A,0),1)</f>
        <v>40.412685922642247</v>
      </c>
      <c r="L120" t="str">
        <f t="shared" si="1"/>
        <v>Combustion of fuels_Manufacture of glues</v>
      </c>
      <c r="M120">
        <f>INDEX('Data sources'!U:U,MATCH($G120,'Data sources'!$A:$A,0),1)</f>
        <v>0.84137119305744434</v>
      </c>
      <c r="N120">
        <f>INDEX('Data sources'!V:V,MATCH($G120,'Data sources'!$A:$A,0),1)</f>
        <v>0.86357922057787184</v>
      </c>
    </row>
    <row r="121" spans="1:14" x14ac:dyDescent="0.2">
      <c r="A121" t="s">
        <v>10</v>
      </c>
      <c r="B121" t="s">
        <v>152</v>
      </c>
      <c r="C121" t="s">
        <v>95</v>
      </c>
      <c r="D121" t="s">
        <v>95</v>
      </c>
      <c r="E121" t="s">
        <v>95</v>
      </c>
      <c r="F121">
        <v>3</v>
      </c>
      <c r="G121" s="30" t="s">
        <v>339</v>
      </c>
      <c r="H121" s="2">
        <f>INDEX('Data sources'!G:G,MATCH(G121,'Data sources'!A:A,0),1)</f>
        <v>8.4591606470324017</v>
      </c>
      <c r="I121" s="2">
        <f>INDEX('Data sources'!J:J,MATCH(G121,'Data sources'!A:A,0),1)</f>
        <v>6.4483962143983575</v>
      </c>
      <c r="J121" s="2">
        <f>INDEX('Data sources'!R:R,MATCH(G121,'Data sources'!A:A,0),1)</f>
        <v>0</v>
      </c>
      <c r="K121" s="2">
        <f>INDEX('Data sources'!S:S,MATCH(G121,'Data sources'!A:A,0),1)</f>
        <v>120.04801920768308</v>
      </c>
      <c r="L121" t="str">
        <f t="shared" si="1"/>
        <v>Combustion of fuels_Manufacture of industrial gases</v>
      </c>
      <c r="M121">
        <f>INDEX('Data sources'!U:U,MATCH($G121,'Data sources'!$A:$A,0),1)</f>
        <v>0.84137119305744423</v>
      </c>
      <c r="N121">
        <f>INDEX('Data sources'!V:V,MATCH($G121,'Data sources'!$A:$A,0),1)</f>
        <v>0.86357922057787195</v>
      </c>
    </row>
    <row r="122" spans="1:14" x14ac:dyDescent="0.2">
      <c r="A122" t="s">
        <v>10</v>
      </c>
      <c r="B122" t="s">
        <v>162</v>
      </c>
      <c r="C122" t="s">
        <v>95</v>
      </c>
      <c r="D122" t="s">
        <v>95</v>
      </c>
      <c r="E122" t="s">
        <v>95</v>
      </c>
      <c r="F122">
        <v>7</v>
      </c>
      <c r="G122" s="30" t="s">
        <v>335</v>
      </c>
      <c r="H122" s="2">
        <f>INDEX('Data sources'!G:G,MATCH(G122,'Data sources'!A:A,0),1)</f>
        <v>0.49494039340491602</v>
      </c>
      <c r="I122" s="2">
        <f>INDEX('Data sources'!J:J,MATCH(G122,'Data sources'!A:A,0),1)</f>
        <v>0.76276347235126118</v>
      </c>
      <c r="J122" s="2">
        <f>INDEX('Data sources'!R:R,MATCH(G122,'Data sources'!A:A,0),1)</f>
        <v>6.0728236366858992</v>
      </c>
      <c r="K122" s="2">
        <f>INDEX('Data sources'!S:S,MATCH(G122,'Data sources'!A:A,0),1)</f>
        <v>0</v>
      </c>
      <c r="L122" t="str">
        <f t="shared" si="1"/>
        <v>Combustion of fuels_Manufacture of man-made fibres</v>
      </c>
      <c r="M122">
        <f>INDEX('Data sources'!U:U,MATCH($G122,'Data sources'!$A:$A,0),1)</f>
        <v>0.84137119305744412</v>
      </c>
      <c r="N122">
        <f>INDEX('Data sources'!V:V,MATCH($G122,'Data sources'!$A:$A,0),1)</f>
        <v>0.86357922057787206</v>
      </c>
    </row>
    <row r="123" spans="1:14" x14ac:dyDescent="0.2">
      <c r="A123" t="s">
        <v>10</v>
      </c>
      <c r="B123" t="s">
        <v>177</v>
      </c>
      <c r="C123" t="s">
        <v>95</v>
      </c>
      <c r="D123" t="s">
        <v>95</v>
      </c>
      <c r="E123" t="s">
        <v>95</v>
      </c>
      <c r="F123">
        <v>28</v>
      </c>
      <c r="G123" s="30" t="s">
        <v>338</v>
      </c>
      <c r="H123" s="2">
        <f>INDEX('Data sources'!G:G,MATCH(G123,'Data sources'!A:A,0),1)</f>
        <v>1.1838611017829463</v>
      </c>
      <c r="I123" s="2">
        <f>INDEX('Data sources'!J:J,MATCH(G123,'Data sources'!A:A,0),1)</f>
        <v>1.0013516184567537</v>
      </c>
      <c r="J123" s="2">
        <f>INDEX('Data sources'!R:R,MATCH(G123,'Data sources'!A:A,0),1)</f>
        <v>2.6802340811720051</v>
      </c>
      <c r="K123" s="2">
        <f>INDEX('Data sources'!S:S,MATCH(G123,'Data sources'!A:A,0),1)</f>
        <v>27.108503329226927</v>
      </c>
      <c r="L123" t="str">
        <f t="shared" si="1"/>
        <v>Combustion of fuels_Manufacture of other chemical products n.e.c.</v>
      </c>
      <c r="M123">
        <f>INDEX('Data sources'!U:U,MATCH($G123,'Data sources'!$A:$A,0),1)</f>
        <v>0.84137119305744423</v>
      </c>
      <c r="N123">
        <f>INDEX('Data sources'!V:V,MATCH($G123,'Data sources'!$A:$A,0),1)</f>
        <v>0.86357922057787206</v>
      </c>
    </row>
    <row r="124" spans="1:14" x14ac:dyDescent="0.2">
      <c r="A124" t="s">
        <v>10</v>
      </c>
      <c r="B124" t="s">
        <v>185</v>
      </c>
      <c r="C124" t="s">
        <v>95</v>
      </c>
      <c r="D124" t="s">
        <v>95</v>
      </c>
      <c r="E124" t="s">
        <v>95</v>
      </c>
      <c r="F124">
        <v>38</v>
      </c>
      <c r="G124" s="30" t="s">
        <v>349</v>
      </c>
      <c r="H124" s="2">
        <f>INDEX('Data sources'!G:G,MATCH(G124,'Data sources'!A:A,0),1)</f>
        <v>1.5967631163208207</v>
      </c>
      <c r="I124" s="2">
        <f>INDEX('Data sources'!J:J,MATCH(G124,'Data sources'!A:A,0),1)</f>
        <v>1.2656396050839946</v>
      </c>
      <c r="J124" s="2">
        <f>INDEX('Data sources'!R:R,MATCH(G124,'Data sources'!A:A,0),1)</f>
        <v>3.2911730425008185</v>
      </c>
      <c r="K124" s="2">
        <f>INDEX('Data sources'!S:S,MATCH(G124,'Data sources'!A:A,0),1)</f>
        <v>10.213571642020407</v>
      </c>
      <c r="L124" t="str">
        <f t="shared" si="1"/>
        <v>Combustion of fuels_Manufacture of other inorganic basic chemicals</v>
      </c>
      <c r="M124">
        <f>INDEX('Data sources'!U:U,MATCH($G124,'Data sources'!$A:$A,0),1)</f>
        <v>0.84137119305744423</v>
      </c>
      <c r="N124">
        <f>INDEX('Data sources'!V:V,MATCH($G124,'Data sources'!$A:$A,0),1)</f>
        <v>0.86357922057787195</v>
      </c>
    </row>
    <row r="125" spans="1:14" x14ac:dyDescent="0.2">
      <c r="A125" t="s">
        <v>10</v>
      </c>
      <c r="B125" t="s">
        <v>191</v>
      </c>
      <c r="C125" t="s">
        <v>95</v>
      </c>
      <c r="D125" t="s">
        <v>95</v>
      </c>
      <c r="E125" t="s">
        <v>95</v>
      </c>
      <c r="F125">
        <v>94</v>
      </c>
      <c r="G125" s="30" t="s">
        <v>348</v>
      </c>
      <c r="H125" s="2">
        <f>INDEX('Data sources'!G:G,MATCH(G125,'Data sources'!A:A,0),1)</f>
        <v>0.7451576638020061</v>
      </c>
      <c r="I125" s="2">
        <f>INDEX('Data sources'!J:J,MATCH(G125,'Data sources'!A:A,0),1)</f>
        <v>0.6864801988122935</v>
      </c>
      <c r="J125" s="2">
        <f>INDEX('Data sources'!R:R,MATCH(G125,'Data sources'!A:A,0),1)</f>
        <v>2.1991404818942466</v>
      </c>
      <c r="K125" s="2">
        <f>INDEX('Data sources'!S:S,MATCH(G125,'Data sources'!A:A,0),1)</f>
        <v>40.412685922642247</v>
      </c>
      <c r="L125" t="str">
        <f t="shared" si="1"/>
        <v>Combustion of fuels_Manufacture of other organic basic chemicals</v>
      </c>
      <c r="M125">
        <f>INDEX('Data sources'!U:U,MATCH($G125,'Data sources'!$A:$A,0),1)</f>
        <v>0.84137119305744434</v>
      </c>
      <c r="N125">
        <f>INDEX('Data sources'!V:V,MATCH($G125,'Data sources'!$A:$A,0),1)</f>
        <v>0.86357922057787184</v>
      </c>
    </row>
    <row r="126" spans="1:14" x14ac:dyDescent="0.2">
      <c r="A126" t="s">
        <v>10</v>
      </c>
      <c r="B126" t="s">
        <v>209</v>
      </c>
      <c r="C126" t="s">
        <v>95</v>
      </c>
      <c r="D126" t="s">
        <v>95</v>
      </c>
      <c r="E126" t="s">
        <v>95</v>
      </c>
      <c r="F126">
        <v>1</v>
      </c>
      <c r="G126" s="30" t="s">
        <v>348</v>
      </c>
      <c r="H126" s="2">
        <f>INDEX('Data sources'!G:G,MATCH(G126,'Data sources'!A:A,0),1)</f>
        <v>0.7451576638020061</v>
      </c>
      <c r="I126" s="2">
        <f>INDEX('Data sources'!J:J,MATCH(G126,'Data sources'!A:A,0),1)</f>
        <v>0.6864801988122935</v>
      </c>
      <c r="J126" s="2">
        <f>INDEX('Data sources'!R:R,MATCH(G126,'Data sources'!A:A,0),1)</f>
        <v>2.1991404818942466</v>
      </c>
      <c r="K126" s="2">
        <f>INDEX('Data sources'!S:S,MATCH(G126,'Data sources'!A:A,0),1)</f>
        <v>40.412685922642247</v>
      </c>
      <c r="L126" t="str">
        <f t="shared" si="1"/>
        <v>Combustion of fuels_Manufacture of perfumes and toilet preparations</v>
      </c>
      <c r="M126">
        <f>INDEX('Data sources'!U:U,MATCH($G126,'Data sources'!$A:$A,0),1)</f>
        <v>0.84137119305744434</v>
      </c>
      <c r="N126">
        <f>INDEX('Data sources'!V:V,MATCH($G126,'Data sources'!$A:$A,0),1)</f>
        <v>0.86357922057787184</v>
      </c>
    </row>
    <row r="127" spans="1:14" x14ac:dyDescent="0.2">
      <c r="A127" t="s">
        <v>10</v>
      </c>
      <c r="B127" t="s">
        <v>210</v>
      </c>
      <c r="C127" t="s">
        <v>95</v>
      </c>
      <c r="D127" t="s">
        <v>95</v>
      </c>
      <c r="E127" t="s">
        <v>95</v>
      </c>
      <c r="F127">
        <v>2</v>
      </c>
      <c r="G127" s="30" t="s">
        <v>343</v>
      </c>
      <c r="H127" s="2">
        <f>INDEX('Data sources'!G:G,MATCH(G127,'Data sources'!A:A,0),1)</f>
        <v>1.7186343172225256</v>
      </c>
      <c r="I127" s="2">
        <f>INDEX('Data sources'!J:J,MATCH(G127,'Data sources'!A:A,0),1)</f>
        <v>1.3535743777501814</v>
      </c>
      <c r="J127" s="2">
        <f>INDEX('Data sources'!R:R,MATCH(G127,'Data sources'!A:A,0),1)</f>
        <v>0</v>
      </c>
      <c r="K127" s="2">
        <f>INDEX('Data sources'!S:S,MATCH(G127,'Data sources'!A:A,0),1)</f>
        <v>12.596122450268965</v>
      </c>
      <c r="L127" t="str">
        <f t="shared" si="1"/>
        <v>Combustion of fuels_Manufacture of pesticides and other agrochemical products</v>
      </c>
      <c r="M127">
        <f>INDEX('Data sources'!U:U,MATCH($G127,'Data sources'!$A:$A,0),1)</f>
        <v>0.84137119305744423</v>
      </c>
      <c r="N127">
        <f>INDEX('Data sources'!V:V,MATCH($G127,'Data sources'!$A:$A,0),1)</f>
        <v>0.86357922057787195</v>
      </c>
    </row>
    <row r="128" spans="1:14" x14ac:dyDescent="0.2">
      <c r="A128" t="s">
        <v>10</v>
      </c>
      <c r="B128" t="s">
        <v>216</v>
      </c>
      <c r="C128" t="s">
        <v>95</v>
      </c>
      <c r="D128" t="s">
        <v>95</v>
      </c>
      <c r="E128" t="s">
        <v>95</v>
      </c>
      <c r="F128">
        <v>24</v>
      </c>
      <c r="G128" s="30" t="s">
        <v>335</v>
      </c>
      <c r="H128" s="2">
        <f>INDEX('Data sources'!G:G,MATCH(G128,'Data sources'!A:A,0),1)</f>
        <v>0.49494039340491602</v>
      </c>
      <c r="I128" s="2">
        <f>INDEX('Data sources'!J:J,MATCH(G128,'Data sources'!A:A,0),1)</f>
        <v>0.76276347235126118</v>
      </c>
      <c r="J128" s="2">
        <f>INDEX('Data sources'!R:R,MATCH(G128,'Data sources'!A:A,0),1)</f>
        <v>6.0728236366858992</v>
      </c>
      <c r="K128" s="2">
        <f>INDEX('Data sources'!S:S,MATCH(G128,'Data sources'!A:A,0),1)</f>
        <v>0</v>
      </c>
      <c r="L128" t="str">
        <f t="shared" si="1"/>
        <v>Combustion of fuels_Manufacture of plastics in primary forms</v>
      </c>
      <c r="M128">
        <f>INDEX('Data sources'!U:U,MATCH($G128,'Data sources'!$A:$A,0),1)</f>
        <v>0.84137119305744412</v>
      </c>
      <c r="N128">
        <f>INDEX('Data sources'!V:V,MATCH($G128,'Data sources'!$A:$A,0),1)</f>
        <v>0.86357922057787206</v>
      </c>
    </row>
    <row r="129" spans="1:14" x14ac:dyDescent="0.2">
      <c r="A129" t="s">
        <v>10</v>
      </c>
      <c r="B129" t="s">
        <v>228</v>
      </c>
      <c r="C129" t="s">
        <v>95</v>
      </c>
      <c r="D129" t="s">
        <v>95</v>
      </c>
      <c r="E129" t="s">
        <v>95</v>
      </c>
      <c r="F129">
        <v>3</v>
      </c>
      <c r="G129" s="30" t="s">
        <v>338</v>
      </c>
      <c r="H129" s="2">
        <f>INDEX('Data sources'!G:G,MATCH(G129,'Data sources'!A:A,0),1)</f>
        <v>1.1838611017829463</v>
      </c>
      <c r="I129" s="2">
        <f>INDEX('Data sources'!J:J,MATCH(G129,'Data sources'!A:A,0),1)</f>
        <v>1.0013516184567537</v>
      </c>
      <c r="J129" s="2">
        <f>INDEX('Data sources'!R:R,MATCH(G129,'Data sources'!A:A,0),1)</f>
        <v>2.6802340811720051</v>
      </c>
      <c r="K129" s="2">
        <f>INDEX('Data sources'!S:S,MATCH(G129,'Data sources'!A:A,0),1)</f>
        <v>27.108503329226927</v>
      </c>
      <c r="L129" t="str">
        <f t="shared" si="1"/>
        <v>Combustion of fuels_Manufacture of soap and detergents, cleaning and polishing preparations</v>
      </c>
      <c r="M129">
        <f>INDEX('Data sources'!U:U,MATCH($G129,'Data sources'!$A:$A,0),1)</f>
        <v>0.84137119305744423</v>
      </c>
      <c r="N129">
        <f>INDEX('Data sources'!V:V,MATCH($G129,'Data sources'!$A:$A,0),1)</f>
        <v>0.86357922057787206</v>
      </c>
    </row>
    <row r="130" spans="1:14" x14ac:dyDescent="0.2">
      <c r="A130" t="s">
        <v>10</v>
      </c>
      <c r="B130" t="s">
        <v>231</v>
      </c>
      <c r="C130" t="s">
        <v>95</v>
      </c>
      <c r="D130" t="s">
        <v>95</v>
      </c>
      <c r="E130" t="s">
        <v>95</v>
      </c>
      <c r="F130">
        <v>4</v>
      </c>
      <c r="G130" s="30" t="s">
        <v>335</v>
      </c>
      <c r="H130" s="2">
        <f>INDEX('Data sources'!G:G,MATCH(G130,'Data sources'!A:A,0),1)</f>
        <v>0.49494039340491602</v>
      </c>
      <c r="I130" s="2">
        <f>INDEX('Data sources'!J:J,MATCH(G130,'Data sources'!A:A,0),1)</f>
        <v>0.76276347235126118</v>
      </c>
      <c r="J130" s="2">
        <f>INDEX('Data sources'!R:R,MATCH(G130,'Data sources'!A:A,0),1)</f>
        <v>6.0728236366858992</v>
      </c>
      <c r="K130" s="2">
        <f>INDEX('Data sources'!S:S,MATCH(G130,'Data sources'!A:A,0),1)</f>
        <v>0</v>
      </c>
      <c r="L130" t="str">
        <f t="shared" ref="L130:L193" si="2">IF(B130="",A130,A130&amp;"_"&amp;B130)</f>
        <v>Combustion of fuels_Manufacture of synthetic rubber in primary forms</v>
      </c>
      <c r="M130">
        <f>INDEX('Data sources'!U:U,MATCH($G130,'Data sources'!$A:$A,0),1)</f>
        <v>0.84137119305744412</v>
      </c>
      <c r="N130">
        <f>INDEX('Data sources'!V:V,MATCH($G130,'Data sources'!$A:$A,0),1)</f>
        <v>0.86357922057787206</v>
      </c>
    </row>
    <row r="131" spans="1:14" x14ac:dyDescent="0.2">
      <c r="A131" t="s">
        <v>10</v>
      </c>
      <c r="B131" t="s">
        <v>114</v>
      </c>
      <c r="C131" t="s">
        <v>115</v>
      </c>
      <c r="D131" t="s">
        <v>224</v>
      </c>
      <c r="E131" t="s">
        <v>116</v>
      </c>
      <c r="F131">
        <v>2</v>
      </c>
      <c r="G131" s="30" t="s">
        <v>116</v>
      </c>
      <c r="H131" s="2">
        <f>INDEX('Data sources'!G:G,MATCH(G131,'Data sources'!A:A,0),1)</f>
        <v>0.28199999999999997</v>
      </c>
      <c r="I131" s="2">
        <f>INDEX('Data sources'!J:J,MATCH(G131,'Data sources'!A:A,0),1)</f>
        <v>0.217</v>
      </c>
      <c r="J131" s="2">
        <f>INDEX('Data sources'!R:R,MATCH(G131,'Data sources'!A:A,0),1)</f>
        <v>0</v>
      </c>
      <c r="K131" s="2">
        <f>INDEX('Data sources'!S:S,MATCH(G131,'Data sources'!A:A,0),1)</f>
        <v>0</v>
      </c>
      <c r="L131" t="str">
        <f t="shared" si="2"/>
        <v>Combustion of fuels_Manufacture of coke oven products</v>
      </c>
      <c r="M131">
        <f>INDEX('Data sources'!U:U,MATCH($G131,'Data sources'!$A:$A,0),1)</f>
        <v>0.75247638813310724</v>
      </c>
      <c r="N131">
        <f>INDEX('Data sources'!V:V,MATCH($G131,'Data sources'!$A:$A,0),1)</f>
        <v>0.39034566820695693</v>
      </c>
    </row>
    <row r="132" spans="1:14" x14ac:dyDescent="0.2">
      <c r="A132" t="s">
        <v>10</v>
      </c>
      <c r="B132" t="s">
        <v>29</v>
      </c>
      <c r="C132" t="s">
        <v>6</v>
      </c>
      <c r="D132" t="s">
        <v>256</v>
      </c>
      <c r="E132" t="s">
        <v>30</v>
      </c>
      <c r="F132">
        <v>3</v>
      </c>
      <c r="G132" s="30" t="s">
        <v>417</v>
      </c>
      <c r="H132" s="2">
        <f>INDEX('Data sources'!G:G,MATCH(G132,'Data sources'!A:A,0),1)</f>
        <v>1.4</v>
      </c>
      <c r="I132" s="2">
        <f>INDEX('Data sources'!J:J,MATCH(G132,'Data sources'!A:A,0),1)</f>
        <v>1.4</v>
      </c>
      <c r="J132" s="2">
        <f>INDEX('Data sources'!R:R,MATCH(G132,'Data sources'!A:A,0),1)</f>
        <v>8.0280000000000005</v>
      </c>
      <c r="K132" s="2">
        <f>INDEX('Data sources'!S:S,MATCH(G132,'Data sources'!A:A,0),1)</f>
        <v>0</v>
      </c>
      <c r="L132" t="str">
        <f t="shared" si="2"/>
        <v>Combustion of fuels_Copper production</v>
      </c>
      <c r="M132">
        <f>INDEX('Data sources'!U:U,MATCH($G132,'Data sources'!$A:$A,0),1)</f>
        <v>0.83923856134650876</v>
      </c>
      <c r="N132">
        <f>INDEX('Data sources'!V:V,MATCH($G132,'Data sources'!$A:$A,0),1)</f>
        <v>0.99183492762409997</v>
      </c>
    </row>
    <row r="133" spans="1:14" x14ac:dyDescent="0.2">
      <c r="A133" t="s">
        <v>10</v>
      </c>
      <c r="B133" t="s">
        <v>53</v>
      </c>
      <c r="C133" t="s">
        <v>54</v>
      </c>
      <c r="D133" t="s">
        <v>403</v>
      </c>
      <c r="E133" t="s">
        <v>55</v>
      </c>
      <c r="F133">
        <v>55</v>
      </c>
      <c r="G133" s="30" t="s">
        <v>325</v>
      </c>
      <c r="H133" s="2">
        <f>INDEX('Data sources'!G:G,MATCH(G133,'Data sources'!A:A,0),1)</f>
        <v>5.79E-2</v>
      </c>
      <c r="I133" s="2">
        <f>INDEX('Data sources'!J:J,MATCH(G133,'Data sources'!A:A,0),1)</f>
        <v>4.2599999999999999E-2</v>
      </c>
      <c r="J133" s="2">
        <f>INDEX('Data sources'!R:R,MATCH(G133,'Data sources'!A:A,0),1)</f>
        <v>1</v>
      </c>
      <c r="K133" s="2">
        <f>INDEX('Data sources'!S:S,MATCH(G133,'Data sources'!A:A,0),1)</f>
        <v>0</v>
      </c>
      <c r="L133" t="str">
        <f t="shared" si="2"/>
        <v>Combustion of fuels_Extraction of crude petroleum</v>
      </c>
      <c r="M133">
        <f>INDEX('Data sources'!U:U,MATCH($G133,'Data sources'!$A:$A,0),1)</f>
        <v>0.78416348147957027</v>
      </c>
      <c r="N133">
        <f>INDEX('Data sources'!V:V,MATCH($G133,'Data sources'!$A:$A,0),1)</f>
        <v>0.72535139859924458</v>
      </c>
    </row>
    <row r="134" spans="1:14" x14ac:dyDescent="0.2">
      <c r="A134" t="s">
        <v>10</v>
      </c>
      <c r="B134" t="s">
        <v>56</v>
      </c>
      <c r="C134" t="s">
        <v>54</v>
      </c>
      <c r="D134" t="s">
        <v>403</v>
      </c>
      <c r="E134" t="s">
        <v>55</v>
      </c>
      <c r="F134">
        <v>50</v>
      </c>
      <c r="G134" s="30" t="s">
        <v>325</v>
      </c>
      <c r="H134" s="2">
        <f>INDEX('Data sources'!G:G,MATCH(G134,'Data sources'!A:A,0),1)</f>
        <v>5.79E-2</v>
      </c>
      <c r="I134" s="2">
        <f>INDEX('Data sources'!J:J,MATCH(G134,'Data sources'!A:A,0),1)</f>
        <v>4.2599999999999999E-2</v>
      </c>
      <c r="J134" s="2">
        <f>INDEX('Data sources'!R:R,MATCH(G134,'Data sources'!A:A,0),1)</f>
        <v>1</v>
      </c>
      <c r="K134" s="2">
        <f>INDEX('Data sources'!S:S,MATCH(G134,'Data sources'!A:A,0),1)</f>
        <v>0</v>
      </c>
      <c r="L134" t="str">
        <f t="shared" si="2"/>
        <v>Combustion of fuels_Extraction of natural gas</v>
      </c>
      <c r="M134">
        <f>INDEX('Data sources'!U:U,MATCH($G134,'Data sources'!$A:$A,0),1)</f>
        <v>0.78416348147957027</v>
      </c>
      <c r="N134">
        <f>INDEX('Data sources'!V:V,MATCH($G134,'Data sources'!$A:$A,0),1)</f>
        <v>0.72535139859924458</v>
      </c>
    </row>
    <row r="135" spans="1:14" x14ac:dyDescent="0.2">
      <c r="A135" t="s">
        <v>10</v>
      </c>
      <c r="B135" t="s">
        <v>303</v>
      </c>
      <c r="C135" t="s">
        <v>304</v>
      </c>
      <c r="D135" t="s">
        <v>403</v>
      </c>
      <c r="E135" t="s">
        <v>55</v>
      </c>
      <c r="F135">
        <v>6</v>
      </c>
      <c r="G135" s="30" t="s">
        <v>325</v>
      </c>
      <c r="H135" s="2">
        <f>INDEX('Data sources'!G:G,MATCH(G135,'Data sources'!A:A,0),1)</f>
        <v>5.79E-2</v>
      </c>
      <c r="I135" s="2">
        <f>INDEX('Data sources'!J:J,MATCH(G135,'Data sources'!A:A,0),1)</f>
        <v>4.2599999999999999E-2</v>
      </c>
      <c r="J135" s="2">
        <f>INDEX('Data sources'!R:R,MATCH(G135,'Data sources'!A:A,0),1)</f>
        <v>1</v>
      </c>
      <c r="K135" s="2">
        <f>INDEX('Data sources'!S:S,MATCH(G135,'Data sources'!A:A,0),1)</f>
        <v>0</v>
      </c>
      <c r="L135" t="str">
        <f t="shared" si="2"/>
        <v>Combustion of fuels_Support activities for petroleum and natural gas extraction</v>
      </c>
      <c r="M135">
        <f>INDEX('Data sources'!U:U,MATCH($G135,'Data sources'!$A:$A,0),1)</f>
        <v>0.78416348147957027</v>
      </c>
      <c r="N135">
        <f>INDEX('Data sources'!V:V,MATCH($G135,'Data sources'!$A:$A,0),1)</f>
        <v>0.72535139859924458</v>
      </c>
    </row>
    <row r="136" spans="1:14" x14ac:dyDescent="0.2">
      <c r="A136" t="s">
        <v>10</v>
      </c>
      <c r="B136" t="s">
        <v>26</v>
      </c>
      <c r="C136" t="s">
        <v>6</v>
      </c>
      <c r="D136" t="s">
        <v>237</v>
      </c>
      <c r="E136" t="s">
        <v>237</v>
      </c>
      <c r="F136">
        <v>1</v>
      </c>
      <c r="G136" s="31" t="s">
        <v>440</v>
      </c>
      <c r="H136" s="2">
        <f>INDEX('Data sources'!G:G,MATCH(G136,'Data sources'!A:A,0),1)</f>
        <v>0.28693460797283676</v>
      </c>
      <c r="I136" s="2">
        <f>INDEX('Data sources'!J:J,MATCH(G136,'Data sources'!A:A,0),1)</f>
        <v>0.24234523094630439</v>
      </c>
      <c r="J136" s="2">
        <f>INDEX('Data sources'!R:R,MATCH(G136,'Data sources'!A:A,0),1)</f>
        <v>2.4768000000000003</v>
      </c>
      <c r="K136" s="2">
        <f>INDEX('Data sources'!S:S,MATCH(G136,'Data sources'!A:A,0),1)</f>
        <v>0</v>
      </c>
      <c r="L136" t="str">
        <f t="shared" si="2"/>
        <v>Combustion of fuels_Cold rolling of narrow strip</v>
      </c>
      <c r="M136">
        <f>INDEX('Data sources'!U:U,MATCH($G136,'Data sources'!$A:$A,0),1)</f>
        <v>0.55465092775711555</v>
      </c>
      <c r="N136">
        <f>INDEX('Data sources'!V:V,MATCH($G136,'Data sources'!$A:$A,0),1)</f>
        <v>0.43306202258392729</v>
      </c>
    </row>
    <row r="137" spans="1:14" x14ac:dyDescent="0.2">
      <c r="A137" t="s">
        <v>10</v>
      </c>
      <c r="B137" t="s">
        <v>64</v>
      </c>
      <c r="C137" t="s">
        <v>65</v>
      </c>
      <c r="D137" t="s">
        <v>237</v>
      </c>
      <c r="E137" t="s">
        <v>237</v>
      </c>
      <c r="F137">
        <v>4</v>
      </c>
      <c r="G137" s="31" t="s">
        <v>440</v>
      </c>
      <c r="H137" s="2">
        <f>INDEX('Data sources'!G:G,MATCH(G137,'Data sources'!A:A,0),1)</f>
        <v>0.28693460797283676</v>
      </c>
      <c r="I137" s="2">
        <f>INDEX('Data sources'!J:J,MATCH(G137,'Data sources'!A:A,0),1)</f>
        <v>0.24234523094630439</v>
      </c>
      <c r="J137" s="2">
        <f>INDEX('Data sources'!R:R,MATCH(G137,'Data sources'!A:A,0),1)</f>
        <v>2.4768000000000003</v>
      </c>
      <c r="K137" s="2">
        <f>INDEX('Data sources'!S:S,MATCH(G137,'Data sources'!A:A,0),1)</f>
        <v>0</v>
      </c>
      <c r="L137" t="str">
        <f t="shared" si="2"/>
        <v>Combustion of fuels_Forging, pressing, stamping and roll-forming of metal</v>
      </c>
      <c r="M137">
        <f>INDEX('Data sources'!U:U,MATCH($G137,'Data sources'!$A:$A,0),1)</f>
        <v>0.55465092775711555</v>
      </c>
      <c r="N137">
        <f>INDEX('Data sources'!V:V,MATCH($G137,'Data sources'!$A:$A,0),1)</f>
        <v>0.43306202258392729</v>
      </c>
    </row>
    <row r="138" spans="1:14" x14ac:dyDescent="0.2">
      <c r="A138" t="s">
        <v>10</v>
      </c>
      <c r="B138" t="s">
        <v>313</v>
      </c>
      <c r="C138" t="s">
        <v>65</v>
      </c>
      <c r="D138" t="s">
        <v>237</v>
      </c>
      <c r="E138" t="s">
        <v>237</v>
      </c>
      <c r="F138">
        <v>1</v>
      </c>
      <c r="G138" s="31" t="s">
        <v>440</v>
      </c>
      <c r="H138" s="2">
        <f>INDEX('Data sources'!G:G,MATCH(G138,'Data sources'!A:A,0),1)</f>
        <v>0.28693460797283676</v>
      </c>
      <c r="I138" s="2">
        <f>INDEX('Data sources'!J:J,MATCH(G138,'Data sources'!A:A,0),1)</f>
        <v>0.24234523094630439</v>
      </c>
      <c r="J138" s="2">
        <f>INDEX('Data sources'!R:R,MATCH(G138,'Data sources'!A:A,0),1)</f>
        <v>2.4768000000000003</v>
      </c>
      <c r="K138" s="2">
        <f>INDEX('Data sources'!S:S,MATCH(G138,'Data sources'!A:A,0),1)</f>
        <v>0</v>
      </c>
      <c r="L138" t="str">
        <f t="shared" si="2"/>
        <v>Combustion of fuels_Treatment and coating of metals</v>
      </c>
      <c r="M138">
        <f>INDEX('Data sources'!U:U,MATCH($G138,'Data sources'!$A:$A,0),1)</f>
        <v>0.55465092775711555</v>
      </c>
      <c r="N138">
        <f>INDEX('Data sources'!V:V,MATCH($G138,'Data sources'!$A:$A,0),1)</f>
        <v>0.43306202258392729</v>
      </c>
    </row>
    <row r="139" spans="1:14" x14ac:dyDescent="0.2">
      <c r="A139" t="s">
        <v>10</v>
      </c>
      <c r="B139" t="s">
        <v>146</v>
      </c>
      <c r="C139" t="s">
        <v>81</v>
      </c>
      <c r="D139" t="s">
        <v>409</v>
      </c>
      <c r="E139" t="s">
        <v>82</v>
      </c>
      <c r="F139">
        <v>1</v>
      </c>
      <c r="G139" s="30" t="s">
        <v>351</v>
      </c>
      <c r="H139" s="2">
        <f>INDEX('Data sources'!G:G,MATCH(G139,'Data sources'!A:A,0),1)</f>
        <v>0.44693420519106453</v>
      </c>
      <c r="I139" s="2">
        <f>INDEX('Data sources'!J:J,MATCH(G139,'Data sources'!A:A,0),1)</f>
        <v>0.32449753999236403</v>
      </c>
      <c r="J139" s="2">
        <f>INDEX('Data sources'!R:R,MATCH(G139,'Data sources'!A:A,0),1)</f>
        <v>8.3851770965800991</v>
      </c>
      <c r="K139" s="2">
        <f>INDEX('Data sources'!S:S,MATCH(G139,'Data sources'!A:A,0),1)</f>
        <v>0</v>
      </c>
      <c r="L139" t="str">
        <f t="shared" si="2"/>
        <v>Combustion of fuels_Manufacture of hollow glass</v>
      </c>
      <c r="M139">
        <f>INDEX('Data sources'!U:U,MATCH($G139,'Data sources'!$A:$A,0),1)</f>
        <v>0.66884534593017986</v>
      </c>
      <c r="N139">
        <f>INDEX('Data sources'!V:V,MATCH($G139,'Data sources'!$A:$A,0),1)</f>
        <v>0.58742624959688217</v>
      </c>
    </row>
    <row r="140" spans="1:14" x14ac:dyDescent="0.2">
      <c r="A140" t="s">
        <v>10</v>
      </c>
      <c r="B140" t="s">
        <v>207</v>
      </c>
      <c r="C140" t="s">
        <v>95</v>
      </c>
      <c r="D140" t="s">
        <v>409</v>
      </c>
      <c r="E140" t="s">
        <v>82</v>
      </c>
      <c r="F140">
        <v>3</v>
      </c>
      <c r="G140" s="30" t="s">
        <v>351</v>
      </c>
      <c r="H140" s="2">
        <f>INDEX('Data sources'!G:G,MATCH(G140,'Data sources'!A:A,0),1)</f>
        <v>0.44693420519106453</v>
      </c>
      <c r="I140" s="2">
        <f>INDEX('Data sources'!J:J,MATCH(G140,'Data sources'!A:A,0),1)</f>
        <v>0.32449753999236403</v>
      </c>
      <c r="J140" s="2">
        <f>INDEX('Data sources'!R:R,MATCH(G140,'Data sources'!A:A,0),1)</f>
        <v>8.3851770965800991</v>
      </c>
      <c r="K140" s="2">
        <f>INDEX('Data sources'!S:S,MATCH(G140,'Data sources'!A:A,0),1)</f>
        <v>0</v>
      </c>
      <c r="L140" t="str">
        <f t="shared" si="2"/>
        <v>Combustion of fuels_Manufacture of paints, varnishes and similar coatings, printing ink and mastics</v>
      </c>
      <c r="M140">
        <f>INDEX('Data sources'!U:U,MATCH($G140,'Data sources'!$A:$A,0),1)</f>
        <v>0.66884534593017986</v>
      </c>
      <c r="N140">
        <f>INDEX('Data sources'!V:V,MATCH($G140,'Data sources'!$A:$A,0),1)</f>
        <v>0.58742624959688217</v>
      </c>
    </row>
    <row r="141" spans="1:14" x14ac:dyDescent="0.2">
      <c r="A141" t="s">
        <v>10</v>
      </c>
      <c r="B141" t="s">
        <v>141</v>
      </c>
      <c r="C141" t="s">
        <v>81</v>
      </c>
      <c r="D141" t="s">
        <v>409</v>
      </c>
      <c r="E141" t="s">
        <v>142</v>
      </c>
      <c r="F141">
        <v>2</v>
      </c>
      <c r="G141" s="30" t="s">
        <v>350</v>
      </c>
      <c r="H141" s="2">
        <f>INDEX('Data sources'!G:G,MATCH(G141,'Data sources'!A:A,0),1)</f>
        <v>0.73925352948672385</v>
      </c>
      <c r="I141" s="2">
        <f>INDEX('Data sources'!J:J,MATCH(G141,'Data sources'!A:A,0),1)</f>
        <v>0.50052641550481702</v>
      </c>
      <c r="J141" s="2">
        <f>INDEX('Data sources'!R:R,MATCH(G141,'Data sources'!A:A,0),1)</f>
        <v>4.9320000000000004</v>
      </c>
      <c r="K141" s="2">
        <f>INDEX('Data sources'!S:S,MATCH(G141,'Data sources'!A:A,0),1)</f>
        <v>0</v>
      </c>
      <c r="L141" t="str">
        <f t="shared" si="2"/>
        <v>Combustion of fuels_Manufacture of glass fibres</v>
      </c>
      <c r="M141">
        <f>INDEX('Data sources'!U:U,MATCH($G141,'Data sources'!$A:$A,0),1)</f>
        <v>0.66884534593017975</v>
      </c>
      <c r="N141">
        <f>INDEX('Data sources'!V:V,MATCH($G141,'Data sources'!$A:$A,0),1)</f>
        <v>0.58742624959688228</v>
      </c>
    </row>
    <row r="142" spans="1:14" x14ac:dyDescent="0.2">
      <c r="A142" t="s">
        <v>10</v>
      </c>
      <c r="B142" t="s">
        <v>212</v>
      </c>
      <c r="C142" t="s">
        <v>81</v>
      </c>
      <c r="D142" t="s">
        <v>409</v>
      </c>
      <c r="E142" t="s">
        <v>213</v>
      </c>
      <c r="F142">
        <v>9</v>
      </c>
      <c r="G142" s="30" t="s">
        <v>336</v>
      </c>
      <c r="H142" s="2">
        <f>INDEX('Data sources'!G:G,MATCH(G142,'Data sources'!A:A,0),1)</f>
        <v>3.5629026621767576E-2</v>
      </c>
      <c r="I142" s="2">
        <f>INDEX('Data sources'!J:J,MATCH(G142,'Data sources'!A:A,0),1)</f>
        <v>3.1972106510782264E-2</v>
      </c>
      <c r="J142" s="2">
        <f>INDEX('Data sources'!R:R,MATCH(G142,'Data sources'!A:A,0),1)</f>
        <v>1.0800000000000005</v>
      </c>
      <c r="K142" s="2">
        <f>INDEX('Data sources'!S:S,MATCH(G142,'Data sources'!A:A,0),1)</f>
        <v>0</v>
      </c>
      <c r="L142" t="str">
        <f t="shared" si="2"/>
        <v>Combustion of fuels_Manufacture of plaster products for construction purposes</v>
      </c>
      <c r="M142">
        <f>INDEX('Data sources'!U:U,MATCH($G142,'Data sources'!$A:$A,0),1)</f>
        <v>0.66884534593017986</v>
      </c>
      <c r="N142">
        <f>INDEX('Data sources'!V:V,MATCH($G142,'Data sources'!$A:$A,0),1)</f>
        <v>0.58742624959688228</v>
      </c>
    </row>
    <row r="143" spans="1:14" x14ac:dyDescent="0.2">
      <c r="A143" t="s">
        <v>10</v>
      </c>
      <c r="B143" t="s">
        <v>90</v>
      </c>
      <c r="C143" t="s">
        <v>6</v>
      </c>
      <c r="D143" t="s">
        <v>237</v>
      </c>
      <c r="E143" t="s">
        <v>237</v>
      </c>
      <c r="F143">
        <v>30</v>
      </c>
      <c r="G143" s="31" t="s">
        <v>377</v>
      </c>
      <c r="H143" s="2">
        <f>INDEX('Data sources'!G:G,MATCH(G143,'Data sources'!A:A,0),1)</f>
        <v>1.4950000000000001</v>
      </c>
      <c r="I143" s="2">
        <f>INDEX('Data sources'!J:J,MATCH(G143,'Data sources'!A:A,0),1)</f>
        <v>1.288</v>
      </c>
      <c r="J143" s="2">
        <f>INDEX('Data sources'!R:R,MATCH(G143,'Data sources'!A:A,0),1)</f>
        <v>14.976000000000001</v>
      </c>
      <c r="K143" s="2">
        <f>INDEX('Data sources'!S:S,MATCH(G143,'Data sources'!A:A,0),1)</f>
        <v>6.8039999999999985</v>
      </c>
      <c r="L143" t="str">
        <f t="shared" si="2"/>
        <v>Combustion of fuels_Manufacture of basic iron and steel and of ferro-alloys</v>
      </c>
      <c r="M143">
        <f>INDEX('Data sources'!U:U,MATCH($G143,'Data sources'!$A:$A,0),1)</f>
        <v>0.55465092775711555</v>
      </c>
      <c r="N143">
        <f>INDEX('Data sources'!V:V,MATCH($G143,'Data sources'!$A:$A,0),1)</f>
        <v>0.43306202258392729</v>
      </c>
    </row>
    <row r="144" spans="1:14" x14ac:dyDescent="0.2">
      <c r="A144" t="s">
        <v>10</v>
      </c>
      <c r="B144" t="s">
        <v>236</v>
      </c>
      <c r="C144" t="s">
        <v>6</v>
      </c>
      <c r="D144" t="s">
        <v>237</v>
      </c>
      <c r="E144" t="s">
        <v>237</v>
      </c>
      <c r="F144">
        <v>2</v>
      </c>
      <c r="G144" s="31" t="s">
        <v>440</v>
      </c>
      <c r="H144" s="2">
        <f>INDEX('Data sources'!G:G,MATCH(G144,'Data sources'!A:A,0),1)</f>
        <v>0.28693460797283676</v>
      </c>
      <c r="I144" s="2">
        <f>INDEX('Data sources'!J:J,MATCH(G144,'Data sources'!A:A,0),1)</f>
        <v>0.24234523094630439</v>
      </c>
      <c r="J144" s="2">
        <f>INDEX('Data sources'!R:R,MATCH(G144,'Data sources'!A:A,0),1)</f>
        <v>2.4768000000000003</v>
      </c>
      <c r="K144" s="2">
        <f>INDEX('Data sources'!S:S,MATCH(G144,'Data sources'!A:A,0),1)</f>
        <v>0</v>
      </c>
      <c r="L144" t="str">
        <f t="shared" si="2"/>
        <v>Combustion of fuels_Manufacture of tubes, pipes, hollow profiles and related fittings, of steel</v>
      </c>
      <c r="M144">
        <f>INDEX('Data sources'!U:U,MATCH($G144,'Data sources'!$A:$A,0),1)</f>
        <v>0.55465092775711555</v>
      </c>
      <c r="N144">
        <f>INDEX('Data sources'!V:V,MATCH($G144,'Data sources'!$A:$A,0),1)</f>
        <v>0.43306202258392729</v>
      </c>
    </row>
    <row r="145" spans="1:14" x14ac:dyDescent="0.2">
      <c r="A145" t="s">
        <v>10</v>
      </c>
      <c r="B145" t="s">
        <v>75</v>
      </c>
      <c r="C145" t="s">
        <v>6</v>
      </c>
      <c r="D145" t="s">
        <v>256</v>
      </c>
      <c r="E145" t="s">
        <v>76</v>
      </c>
      <c r="F145">
        <v>2</v>
      </c>
      <c r="G145" s="30" t="s">
        <v>353</v>
      </c>
      <c r="H145" s="2">
        <f>INDEX('Data sources'!G:G,MATCH(G145,'Data sources'!A:A,0),1)</f>
        <v>1.92</v>
      </c>
      <c r="I145" s="2">
        <f>INDEX('Data sources'!J:J,MATCH(G145,'Data sources'!A:A,0),1)</f>
        <v>1.92</v>
      </c>
      <c r="J145" s="2">
        <f>INDEX('Data sources'!R:R,MATCH(G145,'Data sources'!A:A,0),1)</f>
        <v>2.2680000000000002</v>
      </c>
      <c r="K145" s="2">
        <f>INDEX('Data sources'!S:S,MATCH(G145,'Data sources'!A:A,0),1)</f>
        <v>0</v>
      </c>
      <c r="L145" t="str">
        <f t="shared" si="2"/>
        <v>Combustion of fuels_Lead, zinc and tin production</v>
      </c>
      <c r="M145">
        <f>INDEX('Data sources'!U:U,MATCH($G145,'Data sources'!$A:$A,0),1)</f>
        <v>0.83923856134650876</v>
      </c>
      <c r="N145">
        <f>INDEX('Data sources'!V:V,MATCH($G145,'Data sources'!$A:$A,0),1)</f>
        <v>0.99183492762409997</v>
      </c>
    </row>
    <row r="146" spans="1:14" x14ac:dyDescent="0.2">
      <c r="A146" t="s">
        <v>10</v>
      </c>
      <c r="B146" t="s">
        <v>154</v>
      </c>
      <c r="C146" t="s">
        <v>81</v>
      </c>
      <c r="D146" t="s">
        <v>409</v>
      </c>
      <c r="E146" t="s">
        <v>155</v>
      </c>
      <c r="F146">
        <v>1</v>
      </c>
      <c r="G146" s="30" t="s">
        <v>337</v>
      </c>
      <c r="H146" s="2">
        <f>INDEX('Data sources'!G:G,MATCH(G146,'Data sources'!A:A,0),1)</f>
        <v>1.0858855073623837</v>
      </c>
      <c r="I146" s="2">
        <f>INDEX('Data sources'!J:J,MATCH(G146,'Data sources'!A:A,0),1)</f>
        <v>0.76053043758401917</v>
      </c>
      <c r="J146" s="2">
        <f>INDEX('Data sources'!R:R,MATCH(G146,'Data sources'!A:A,0),1)</f>
        <v>3.7079999999999997</v>
      </c>
      <c r="K146" s="2">
        <f>INDEX('Data sources'!S:S,MATCH(G146,'Data sources'!A:A,0),1)</f>
        <v>0</v>
      </c>
      <c r="L146" t="str">
        <f t="shared" si="2"/>
        <v>Combustion of fuels_Manufacture of lime and plaster</v>
      </c>
      <c r="M146">
        <f>INDEX('Data sources'!U:U,MATCH($G146,'Data sources'!$A:$A,0),1)</f>
        <v>0.66884534593017986</v>
      </c>
      <c r="N146">
        <f>INDEX('Data sources'!V:V,MATCH($G146,'Data sources'!$A:$A,0),1)</f>
        <v>0.58742624959688228</v>
      </c>
    </row>
    <row r="147" spans="1:14" x14ac:dyDescent="0.2">
      <c r="A147" t="s">
        <v>10</v>
      </c>
      <c r="B147" t="s">
        <v>57</v>
      </c>
      <c r="C147" t="s">
        <v>58</v>
      </c>
      <c r="D147" t="s">
        <v>403</v>
      </c>
      <c r="E147" t="s">
        <v>242</v>
      </c>
      <c r="F147">
        <v>2</v>
      </c>
      <c r="G147" s="30" t="s">
        <v>325</v>
      </c>
      <c r="H147" s="2">
        <f>INDEX('Data sources'!G:G,MATCH(G147,'Data sources'!A:A,0),1)</f>
        <v>5.79E-2</v>
      </c>
      <c r="I147" s="2">
        <f>INDEX('Data sources'!J:J,MATCH(G147,'Data sources'!A:A,0),1)</f>
        <v>4.2599999999999999E-2</v>
      </c>
      <c r="J147" s="2">
        <f>INDEX('Data sources'!R:R,MATCH(G147,'Data sources'!A:A,0),1)</f>
        <v>1</v>
      </c>
      <c r="K147" s="2">
        <f>INDEX('Data sources'!S:S,MATCH(G147,'Data sources'!A:A,0),1)</f>
        <v>0</v>
      </c>
      <c r="L147" t="str">
        <f t="shared" si="2"/>
        <v>Combustion of fuels_Extraction of salt</v>
      </c>
      <c r="M147">
        <f>INDEX('Data sources'!U:U,MATCH($G147,'Data sources'!$A:$A,0),1)</f>
        <v>0.78416348147957027</v>
      </c>
      <c r="N147">
        <f>INDEX('Data sources'!V:V,MATCH($G147,'Data sources'!$A:$A,0),1)</f>
        <v>0.72535139859924458</v>
      </c>
    </row>
    <row r="148" spans="1:14" x14ac:dyDescent="0.2">
      <c r="A148" t="s">
        <v>10</v>
      </c>
      <c r="B148" t="s">
        <v>241</v>
      </c>
      <c r="C148" t="s">
        <v>58</v>
      </c>
      <c r="D148" t="s">
        <v>403</v>
      </c>
      <c r="E148" t="s">
        <v>242</v>
      </c>
      <c r="F148">
        <v>1</v>
      </c>
      <c r="G148" s="30" t="s">
        <v>325</v>
      </c>
      <c r="H148" s="2">
        <f>INDEX('Data sources'!G:G,MATCH(G148,'Data sources'!A:A,0),1)</f>
        <v>5.79E-2</v>
      </c>
      <c r="I148" s="2">
        <f>INDEX('Data sources'!J:J,MATCH(G148,'Data sources'!A:A,0),1)</f>
        <v>4.2599999999999999E-2</v>
      </c>
      <c r="J148" s="2">
        <f>INDEX('Data sources'!R:R,MATCH(G148,'Data sources'!A:A,0),1)</f>
        <v>1</v>
      </c>
      <c r="K148" s="2">
        <f>INDEX('Data sources'!S:S,MATCH(G148,'Data sources'!A:A,0),1)</f>
        <v>0</v>
      </c>
      <c r="L148" t="str">
        <f t="shared" si="2"/>
        <v>Combustion of fuels_Mining of chemical and fertiliser minerals</v>
      </c>
      <c r="M148">
        <f>INDEX('Data sources'!U:U,MATCH($G148,'Data sources'!$A:$A,0),1)</f>
        <v>0.78416348147957027</v>
      </c>
      <c r="N148">
        <f>INDEX('Data sources'!V:V,MATCH($G148,'Data sources'!$A:$A,0),1)</f>
        <v>0.72535139859924458</v>
      </c>
    </row>
    <row r="149" spans="1:14" x14ac:dyDescent="0.2">
      <c r="A149" t="s">
        <v>10</v>
      </c>
      <c r="B149" t="s">
        <v>243</v>
      </c>
      <c r="C149" t="s">
        <v>244</v>
      </c>
      <c r="D149" t="s">
        <v>403</v>
      </c>
      <c r="E149" t="s">
        <v>242</v>
      </c>
      <c r="F149">
        <v>1</v>
      </c>
      <c r="G149" s="30" t="s">
        <v>325</v>
      </c>
      <c r="H149" s="2">
        <f>INDEX('Data sources'!G:G,MATCH(G149,'Data sources'!A:A,0),1)</f>
        <v>5.79E-2</v>
      </c>
      <c r="I149" s="2">
        <f>INDEX('Data sources'!J:J,MATCH(G149,'Data sources'!A:A,0),1)</f>
        <v>4.2599999999999999E-2</v>
      </c>
      <c r="J149" s="2">
        <f>INDEX('Data sources'!R:R,MATCH(G149,'Data sources'!A:A,0),1)</f>
        <v>1</v>
      </c>
      <c r="K149" s="2">
        <f>INDEX('Data sources'!S:S,MATCH(G149,'Data sources'!A:A,0),1)</f>
        <v>0</v>
      </c>
      <c r="L149" t="str">
        <f t="shared" si="2"/>
        <v>Combustion of fuels_Mining of hard coal</v>
      </c>
      <c r="M149">
        <f>INDEX('Data sources'!U:U,MATCH($G149,'Data sources'!$A:$A,0),1)</f>
        <v>0.78416348147957027</v>
      </c>
      <c r="N149">
        <f>INDEX('Data sources'!V:V,MATCH($G149,'Data sources'!$A:$A,0),1)</f>
        <v>0.72535139859924458</v>
      </c>
    </row>
    <row r="150" spans="1:14" x14ac:dyDescent="0.2">
      <c r="A150" t="s">
        <v>10</v>
      </c>
      <c r="B150" t="s">
        <v>250</v>
      </c>
      <c r="C150" t="s">
        <v>58</v>
      </c>
      <c r="D150" t="s">
        <v>403</v>
      </c>
      <c r="E150" t="s">
        <v>242</v>
      </c>
      <c r="F150">
        <v>4</v>
      </c>
      <c r="G150" s="30" t="s">
        <v>325</v>
      </c>
      <c r="H150" s="2">
        <f>INDEX('Data sources'!G:G,MATCH(G150,'Data sources'!A:A,0),1)</f>
        <v>5.79E-2</v>
      </c>
      <c r="I150" s="2">
        <f>INDEX('Data sources'!J:J,MATCH(G150,'Data sources'!A:A,0),1)</f>
        <v>4.2599999999999999E-2</v>
      </c>
      <c r="J150" s="2">
        <f>INDEX('Data sources'!R:R,MATCH(G150,'Data sources'!A:A,0),1)</f>
        <v>1</v>
      </c>
      <c r="K150" s="2">
        <f>INDEX('Data sources'!S:S,MATCH(G150,'Data sources'!A:A,0),1)</f>
        <v>0</v>
      </c>
      <c r="L150" t="str">
        <f t="shared" si="2"/>
        <v>Combustion of fuels_Operation of gravel and sand pits</v>
      </c>
      <c r="M150">
        <f>INDEX('Data sources'!U:U,MATCH($G150,'Data sources'!$A:$A,0),1)</f>
        <v>0.78416348147957027</v>
      </c>
      <c r="N150">
        <f>INDEX('Data sources'!V:V,MATCH($G150,'Data sources'!$A:$A,0),1)</f>
        <v>0.72535139859924458</v>
      </c>
    </row>
    <row r="151" spans="1:14" x14ac:dyDescent="0.2">
      <c r="A151" t="s">
        <v>10</v>
      </c>
      <c r="B151" t="s">
        <v>254</v>
      </c>
      <c r="C151" t="s">
        <v>58</v>
      </c>
      <c r="D151" t="s">
        <v>403</v>
      </c>
      <c r="E151" t="s">
        <v>242</v>
      </c>
      <c r="F151">
        <v>4</v>
      </c>
      <c r="G151" s="30" t="s">
        <v>325</v>
      </c>
      <c r="H151" s="2">
        <f>INDEX('Data sources'!G:G,MATCH(G151,'Data sources'!A:A,0),1)</f>
        <v>5.79E-2</v>
      </c>
      <c r="I151" s="2">
        <f>INDEX('Data sources'!J:J,MATCH(G151,'Data sources'!A:A,0),1)</f>
        <v>4.2599999999999999E-2</v>
      </c>
      <c r="J151" s="2">
        <f>INDEX('Data sources'!R:R,MATCH(G151,'Data sources'!A:A,0),1)</f>
        <v>1</v>
      </c>
      <c r="K151" s="2">
        <f>INDEX('Data sources'!S:S,MATCH(G151,'Data sources'!A:A,0),1)</f>
        <v>0</v>
      </c>
      <c r="L151" t="str">
        <f t="shared" si="2"/>
        <v>Combustion of fuels_Other mining and quarrying n.e.c.</v>
      </c>
      <c r="M151">
        <f>INDEX('Data sources'!U:U,MATCH($G151,'Data sources'!$A:$A,0),1)</f>
        <v>0.78416348147957027</v>
      </c>
      <c r="N151">
        <f>INDEX('Data sources'!V:V,MATCH($G151,'Data sources'!$A:$A,0),1)</f>
        <v>0.72535139859924458</v>
      </c>
    </row>
    <row r="152" spans="1:14" x14ac:dyDescent="0.2">
      <c r="A152" t="s">
        <v>10</v>
      </c>
      <c r="B152" t="s">
        <v>22</v>
      </c>
      <c r="C152" t="s">
        <v>6</v>
      </c>
      <c r="D152" t="s">
        <v>256</v>
      </c>
      <c r="E152" t="s">
        <v>256</v>
      </c>
      <c r="F152">
        <v>2</v>
      </c>
      <c r="G152" s="30" t="s">
        <v>354</v>
      </c>
      <c r="H152" s="2">
        <f>INDEX('Data sources'!G:G,MATCH(G152,'Data sources'!A:A,0),1)</f>
        <v>1.6536666666666668</v>
      </c>
      <c r="I152" s="2">
        <f>INDEX('Data sources'!J:J,MATCH(G152,'Data sources'!A:A,0),1)</f>
        <v>1.5946666666666667</v>
      </c>
      <c r="J152" s="2">
        <f>INDEX('Data sources'!R:R,MATCH(G152,'Data sources'!A:A,0),1)</f>
        <v>2.2680000000000002</v>
      </c>
      <c r="K152" s="2">
        <f>INDEX('Data sources'!S:S,MATCH(G152,'Data sources'!A:A,0),1)</f>
        <v>0</v>
      </c>
      <c r="L152" t="str">
        <f t="shared" si="2"/>
        <v>Combustion of fuels_Casting of light metals</v>
      </c>
      <c r="M152">
        <f>INDEX('Data sources'!U:U,MATCH($G152,'Data sources'!$A:$A,0),1)</f>
        <v>0.83923856134650876</v>
      </c>
      <c r="N152">
        <f>INDEX('Data sources'!V:V,MATCH($G152,'Data sources'!$A:$A,0),1)</f>
        <v>0.99183492762409997</v>
      </c>
    </row>
    <row r="153" spans="1:14" x14ac:dyDescent="0.2">
      <c r="A153" t="s">
        <v>10</v>
      </c>
      <c r="B153" t="s">
        <v>189</v>
      </c>
      <c r="C153" t="s">
        <v>81</v>
      </c>
      <c r="D153" t="s">
        <v>409</v>
      </c>
      <c r="E153" t="s">
        <v>190</v>
      </c>
      <c r="F153">
        <v>72</v>
      </c>
      <c r="G153" s="30" t="s">
        <v>357</v>
      </c>
      <c r="H153" s="2">
        <f>INDEX('Data sources'!G:G,MATCH(G153,'Data sources'!A:A,0),1)</f>
        <v>0.805852417888692</v>
      </c>
      <c r="I153" s="2">
        <f>INDEX('Data sources'!J:J,MATCH(G153,'Data sources'!A:A,0),1)</f>
        <v>0.66291615790238245</v>
      </c>
      <c r="J153" s="2">
        <f>INDEX('Data sources'!R:R,MATCH(G153,'Data sources'!A:A,0),1)</f>
        <v>4.5353855263775982</v>
      </c>
      <c r="K153" s="2">
        <f>INDEX('Data sources'!S:S,MATCH(G153,'Data sources'!A:A,0),1)</f>
        <v>0</v>
      </c>
      <c r="L153" t="str">
        <f t="shared" si="2"/>
        <v>Combustion of fuels_Manufacture of other non-metallic mineral products n.e.c.</v>
      </c>
      <c r="M153">
        <f>INDEX('Data sources'!U:U,MATCH($G153,'Data sources'!$A:$A,0),1)</f>
        <v>0.66884534593018008</v>
      </c>
      <c r="N153">
        <f>INDEX('Data sources'!V:V,MATCH($G153,'Data sources'!$A:$A,0),1)</f>
        <v>0.58742624959688239</v>
      </c>
    </row>
    <row r="154" spans="1:14" x14ac:dyDescent="0.2">
      <c r="A154" t="s">
        <v>10</v>
      </c>
      <c r="B154" t="s">
        <v>13</v>
      </c>
      <c r="C154" t="s">
        <v>14</v>
      </c>
      <c r="D154" t="s">
        <v>403</v>
      </c>
      <c r="E154" t="s">
        <v>15</v>
      </c>
      <c r="F154">
        <v>2</v>
      </c>
      <c r="G154" s="30" t="s">
        <v>325</v>
      </c>
      <c r="H154" s="2">
        <f>INDEX('Data sources'!G:G,MATCH(G154,'Data sources'!A:A,0),1)</f>
        <v>5.79E-2</v>
      </c>
      <c r="I154" s="2">
        <f>INDEX('Data sources'!J:J,MATCH(G154,'Data sources'!A:A,0),1)</f>
        <v>4.2599999999999999E-2</v>
      </c>
      <c r="J154" s="2">
        <f>INDEX('Data sources'!R:R,MATCH(G154,'Data sources'!A:A,0),1)</f>
        <v>1</v>
      </c>
      <c r="K154" s="2">
        <f>INDEX('Data sources'!S:S,MATCH(G154,'Data sources'!A:A,0),1)</f>
        <v>0</v>
      </c>
      <c r="L154" t="str">
        <f t="shared" si="2"/>
        <v>Combustion of fuels_Building of ships and floating structures</v>
      </c>
      <c r="M154">
        <f>INDEX('Data sources'!U:U,MATCH($G154,'Data sources'!$A:$A,0),1)</f>
        <v>0.78416348147957027</v>
      </c>
      <c r="N154">
        <f>INDEX('Data sources'!V:V,MATCH($G154,'Data sources'!$A:$A,0),1)</f>
        <v>0.72535139859924458</v>
      </c>
    </row>
    <row r="155" spans="1:14" x14ac:dyDescent="0.2">
      <c r="A155" t="s">
        <v>10</v>
      </c>
      <c r="B155" t="s">
        <v>27</v>
      </c>
      <c r="C155" t="s">
        <v>28</v>
      </c>
      <c r="D155" t="s">
        <v>403</v>
      </c>
      <c r="E155" t="s">
        <v>15</v>
      </c>
      <c r="F155">
        <v>13</v>
      </c>
      <c r="G155" s="30" t="s">
        <v>325</v>
      </c>
      <c r="H155" s="2">
        <f>INDEX('Data sources'!G:G,MATCH(G155,'Data sources'!A:A,0),1)</f>
        <v>5.79E-2</v>
      </c>
      <c r="I155" s="2">
        <f>INDEX('Data sources'!J:J,MATCH(G155,'Data sources'!A:A,0),1)</f>
        <v>4.2599999999999999E-2</v>
      </c>
      <c r="J155" s="2">
        <f>INDEX('Data sources'!R:R,MATCH(G155,'Data sources'!A:A,0),1)</f>
        <v>1</v>
      </c>
      <c r="K155" s="2">
        <f>INDEX('Data sources'!S:S,MATCH(G155,'Data sources'!A:A,0),1)</f>
        <v>0</v>
      </c>
      <c r="L155" t="str">
        <f t="shared" si="2"/>
        <v>Combustion of fuels_Construction of roads and motorways</v>
      </c>
      <c r="M155">
        <f>INDEX('Data sources'!U:U,MATCH($G155,'Data sources'!$A:$A,0),1)</f>
        <v>0.78416348147957027</v>
      </c>
      <c r="N155">
        <f>INDEX('Data sources'!V:V,MATCH($G155,'Data sources'!$A:$A,0),1)</f>
        <v>0.72535139859924458</v>
      </c>
    </row>
    <row r="156" spans="1:14" x14ac:dyDescent="0.2">
      <c r="A156" t="s">
        <v>10</v>
      </c>
      <c r="B156" t="s">
        <v>31</v>
      </c>
      <c r="C156" t="s">
        <v>32</v>
      </c>
      <c r="D156" t="s">
        <v>403</v>
      </c>
      <c r="E156" t="s">
        <v>15</v>
      </c>
      <c r="F156">
        <v>79</v>
      </c>
      <c r="G156" s="30" t="s">
        <v>325</v>
      </c>
      <c r="H156" s="2">
        <f>INDEX('Data sources'!G:G,MATCH(G156,'Data sources'!A:A,0),1)</f>
        <v>5.79E-2</v>
      </c>
      <c r="I156" s="2">
        <f>INDEX('Data sources'!J:J,MATCH(G156,'Data sources'!A:A,0),1)</f>
        <v>4.2599999999999999E-2</v>
      </c>
      <c r="J156" s="2">
        <f>INDEX('Data sources'!R:R,MATCH(G156,'Data sources'!A:A,0),1)</f>
        <v>1</v>
      </c>
      <c r="K156" s="2">
        <f>INDEX('Data sources'!S:S,MATCH(G156,'Data sources'!A:A,0),1)</f>
        <v>0</v>
      </c>
      <c r="L156" t="str">
        <f t="shared" si="2"/>
        <v>Combustion of fuels_Data processing, hosting and related activities</v>
      </c>
      <c r="M156">
        <f>INDEX('Data sources'!U:U,MATCH($G156,'Data sources'!$A:$A,0),1)</f>
        <v>0.78416348147957027</v>
      </c>
      <c r="N156">
        <f>INDEX('Data sources'!V:V,MATCH($G156,'Data sources'!$A:$A,0),1)</f>
        <v>0.72535139859924458</v>
      </c>
    </row>
    <row r="157" spans="1:14" x14ac:dyDescent="0.2">
      <c r="A157" t="s">
        <v>10</v>
      </c>
      <c r="B157" t="s">
        <v>37</v>
      </c>
      <c r="C157" t="s">
        <v>38</v>
      </c>
      <c r="D157" t="s">
        <v>403</v>
      </c>
      <c r="E157" t="s">
        <v>15</v>
      </c>
      <c r="F157">
        <v>1</v>
      </c>
      <c r="G157" s="30" t="s">
        <v>325</v>
      </c>
      <c r="H157" s="2">
        <f>INDEX('Data sources'!G:G,MATCH(G157,'Data sources'!A:A,0),1)</f>
        <v>5.79E-2</v>
      </c>
      <c r="I157" s="2">
        <f>INDEX('Data sources'!J:J,MATCH(G157,'Data sources'!A:A,0),1)</f>
        <v>4.2599999999999999E-2</v>
      </c>
      <c r="J157" s="2">
        <f>INDEX('Data sources'!R:R,MATCH(G157,'Data sources'!A:A,0),1)</f>
        <v>1</v>
      </c>
      <c r="K157" s="2">
        <f>INDEX('Data sources'!S:S,MATCH(G157,'Data sources'!A:A,0),1)</f>
        <v>0</v>
      </c>
      <c r="L157" t="str">
        <f t="shared" si="2"/>
        <v>Combustion of fuels_Defence activities</v>
      </c>
      <c r="M157">
        <f>INDEX('Data sources'!U:U,MATCH($G157,'Data sources'!$A:$A,0),1)</f>
        <v>0.78416348147957027</v>
      </c>
      <c r="N157">
        <f>INDEX('Data sources'!V:V,MATCH($G157,'Data sources'!$A:$A,0),1)</f>
        <v>0.72535139859924458</v>
      </c>
    </row>
    <row r="158" spans="1:14" x14ac:dyDescent="0.2">
      <c r="A158" t="s">
        <v>10</v>
      </c>
      <c r="B158" t="s">
        <v>39</v>
      </c>
      <c r="C158" t="s">
        <v>40</v>
      </c>
      <c r="D158" t="s">
        <v>403</v>
      </c>
      <c r="E158" t="s">
        <v>15</v>
      </c>
      <c r="F158">
        <v>1</v>
      </c>
      <c r="G158" s="30" t="s">
        <v>325</v>
      </c>
      <c r="H158" s="2">
        <f>INDEX('Data sources'!G:G,MATCH(G158,'Data sources'!A:A,0),1)</f>
        <v>5.79E-2</v>
      </c>
      <c r="I158" s="2">
        <f>INDEX('Data sources'!J:J,MATCH(G158,'Data sources'!A:A,0),1)</f>
        <v>4.2599999999999999E-2</v>
      </c>
      <c r="J158" s="2">
        <f>INDEX('Data sources'!R:R,MATCH(G158,'Data sources'!A:A,0),1)</f>
        <v>1</v>
      </c>
      <c r="K158" s="2">
        <f>INDEX('Data sources'!S:S,MATCH(G158,'Data sources'!A:A,0),1)</f>
        <v>0</v>
      </c>
      <c r="L158" t="str">
        <f t="shared" si="2"/>
        <v>Combustion of fuels_Development of building projects</v>
      </c>
      <c r="M158">
        <f>INDEX('Data sources'!U:U,MATCH($G158,'Data sources'!$A:$A,0),1)</f>
        <v>0.78416348147957027</v>
      </c>
      <c r="N158">
        <f>INDEX('Data sources'!V:V,MATCH($G158,'Data sources'!$A:$A,0),1)</f>
        <v>0.72535139859924458</v>
      </c>
    </row>
    <row r="159" spans="1:14" x14ac:dyDescent="0.2">
      <c r="A159" t="s">
        <v>10</v>
      </c>
      <c r="B159" t="s">
        <v>41</v>
      </c>
      <c r="C159" t="s">
        <v>42</v>
      </c>
      <c r="D159" t="s">
        <v>403</v>
      </c>
      <c r="E159" t="s">
        <v>15</v>
      </c>
      <c r="F159">
        <v>8</v>
      </c>
      <c r="G159" s="30" t="s">
        <v>325</v>
      </c>
      <c r="H159" s="2">
        <f>INDEX('Data sources'!G:G,MATCH(G159,'Data sources'!A:A,0),1)</f>
        <v>5.79E-2</v>
      </c>
      <c r="I159" s="2">
        <f>INDEX('Data sources'!J:J,MATCH(G159,'Data sources'!A:A,0),1)</f>
        <v>4.2599999999999999E-2</v>
      </c>
      <c r="J159" s="2">
        <f>INDEX('Data sources'!R:R,MATCH(G159,'Data sources'!A:A,0),1)</f>
        <v>1</v>
      </c>
      <c r="K159" s="2">
        <f>INDEX('Data sources'!S:S,MATCH(G159,'Data sources'!A:A,0),1)</f>
        <v>0</v>
      </c>
      <c r="L159" t="str">
        <f t="shared" si="2"/>
        <v>Combustion of fuels_Distilling, rectifying and blending of spirits</v>
      </c>
      <c r="M159">
        <f>INDEX('Data sources'!U:U,MATCH($G159,'Data sources'!$A:$A,0),1)</f>
        <v>0.78416348147957027</v>
      </c>
      <c r="N159">
        <f>INDEX('Data sources'!V:V,MATCH($G159,'Data sources'!$A:$A,0),1)</f>
        <v>0.72535139859924458</v>
      </c>
    </row>
    <row r="160" spans="1:14" x14ac:dyDescent="0.2">
      <c r="A160" t="s">
        <v>10</v>
      </c>
      <c r="B160" t="s">
        <v>61</v>
      </c>
      <c r="C160" t="s">
        <v>62</v>
      </c>
      <c r="D160" t="s">
        <v>403</v>
      </c>
      <c r="E160" t="s">
        <v>15</v>
      </c>
      <c r="F160">
        <v>9</v>
      </c>
      <c r="G160" s="30" t="s">
        <v>325</v>
      </c>
      <c r="H160" s="2">
        <f>INDEX('Data sources'!G:G,MATCH(G160,'Data sources'!A:A,0),1)</f>
        <v>5.79E-2</v>
      </c>
      <c r="I160" s="2">
        <f>INDEX('Data sources'!J:J,MATCH(G160,'Data sources'!A:A,0),1)</f>
        <v>4.2599999999999999E-2</v>
      </c>
      <c r="J160" s="2">
        <f>INDEX('Data sources'!R:R,MATCH(G160,'Data sources'!A:A,0),1)</f>
        <v>1</v>
      </c>
      <c r="K160" s="2">
        <f>INDEX('Data sources'!S:S,MATCH(G160,'Data sources'!A:A,0),1)</f>
        <v>0</v>
      </c>
      <c r="L160" t="str">
        <f t="shared" si="2"/>
        <v>Combustion of fuels_Finishing of textiles</v>
      </c>
      <c r="M160">
        <f>INDEX('Data sources'!U:U,MATCH($G160,'Data sources'!$A:$A,0),1)</f>
        <v>0.78416348147957027</v>
      </c>
      <c r="N160">
        <f>INDEX('Data sources'!V:V,MATCH($G160,'Data sources'!$A:$A,0),1)</f>
        <v>0.72535139859924458</v>
      </c>
    </row>
    <row r="161" spans="1:14" x14ac:dyDescent="0.2">
      <c r="A161" t="s">
        <v>10</v>
      </c>
      <c r="B161" t="s">
        <v>66</v>
      </c>
      <c r="C161" t="s">
        <v>67</v>
      </c>
      <c r="D161" t="s">
        <v>403</v>
      </c>
      <c r="E161" t="s">
        <v>15</v>
      </c>
      <c r="F161">
        <v>2</v>
      </c>
      <c r="G161" s="30" t="s">
        <v>325</v>
      </c>
      <c r="H161" s="2">
        <f>INDEX('Data sources'!G:G,MATCH(G161,'Data sources'!A:A,0),1)</f>
        <v>5.79E-2</v>
      </c>
      <c r="I161" s="2">
        <f>INDEX('Data sources'!J:J,MATCH(G161,'Data sources'!A:A,0),1)</f>
        <v>4.2599999999999999E-2</v>
      </c>
      <c r="J161" s="2">
        <f>INDEX('Data sources'!R:R,MATCH(G161,'Data sources'!A:A,0),1)</f>
        <v>1</v>
      </c>
      <c r="K161" s="2">
        <f>INDEX('Data sources'!S:S,MATCH(G161,'Data sources'!A:A,0),1)</f>
        <v>0</v>
      </c>
      <c r="L161" t="str">
        <f t="shared" si="2"/>
        <v>Combustion of fuels_Growing of cereals (except rice), leguminous crops and oil seeds</v>
      </c>
      <c r="M161">
        <f>INDEX('Data sources'!U:U,MATCH($G161,'Data sources'!$A:$A,0),1)</f>
        <v>0.78416348147957027</v>
      </c>
      <c r="N161">
        <f>INDEX('Data sources'!V:V,MATCH($G161,'Data sources'!$A:$A,0),1)</f>
        <v>0.72535139859924458</v>
      </c>
    </row>
    <row r="162" spans="1:14" x14ac:dyDescent="0.2">
      <c r="A162" t="s">
        <v>10</v>
      </c>
      <c r="B162" t="s">
        <v>68</v>
      </c>
      <c r="C162" t="s">
        <v>67</v>
      </c>
      <c r="D162" t="s">
        <v>403</v>
      </c>
      <c r="E162" t="s">
        <v>15</v>
      </c>
      <c r="F162">
        <v>1</v>
      </c>
      <c r="G162" s="30" t="s">
        <v>325</v>
      </c>
      <c r="H162" s="2">
        <f>INDEX('Data sources'!G:G,MATCH(G162,'Data sources'!A:A,0),1)</f>
        <v>5.79E-2</v>
      </c>
      <c r="I162" s="2">
        <f>INDEX('Data sources'!J:J,MATCH(G162,'Data sources'!A:A,0),1)</f>
        <v>4.2599999999999999E-2</v>
      </c>
      <c r="J162" s="2">
        <f>INDEX('Data sources'!R:R,MATCH(G162,'Data sources'!A:A,0),1)</f>
        <v>1</v>
      </c>
      <c r="K162" s="2">
        <f>INDEX('Data sources'!S:S,MATCH(G162,'Data sources'!A:A,0),1)</f>
        <v>0</v>
      </c>
      <c r="L162" t="str">
        <f t="shared" si="2"/>
        <v>Combustion of fuels_Growing of other non-perennial crops</v>
      </c>
      <c r="M162">
        <f>INDEX('Data sources'!U:U,MATCH($G162,'Data sources'!$A:$A,0),1)</f>
        <v>0.78416348147957027</v>
      </c>
      <c r="N162">
        <f>INDEX('Data sources'!V:V,MATCH($G162,'Data sources'!$A:$A,0),1)</f>
        <v>0.72535139859924458</v>
      </c>
    </row>
    <row r="163" spans="1:14" x14ac:dyDescent="0.2">
      <c r="A163" t="s">
        <v>10</v>
      </c>
      <c r="B163" t="s">
        <v>70</v>
      </c>
      <c r="C163" t="s">
        <v>67</v>
      </c>
      <c r="D163" t="s">
        <v>403</v>
      </c>
      <c r="E163" t="s">
        <v>15</v>
      </c>
      <c r="F163">
        <v>9</v>
      </c>
      <c r="G163" s="30" t="s">
        <v>325</v>
      </c>
      <c r="H163" s="2">
        <f>INDEX('Data sources'!G:G,MATCH(G163,'Data sources'!A:A,0),1)</f>
        <v>5.79E-2</v>
      </c>
      <c r="I163" s="2">
        <f>INDEX('Data sources'!J:J,MATCH(G163,'Data sources'!A:A,0),1)</f>
        <v>4.2599999999999999E-2</v>
      </c>
      <c r="J163" s="2">
        <f>INDEX('Data sources'!R:R,MATCH(G163,'Data sources'!A:A,0),1)</f>
        <v>1</v>
      </c>
      <c r="K163" s="2">
        <f>INDEX('Data sources'!S:S,MATCH(G163,'Data sources'!A:A,0),1)</f>
        <v>0</v>
      </c>
      <c r="L163" t="str">
        <f t="shared" si="2"/>
        <v>Combustion of fuels_Growing of vegetables and melons, roots and tubers</v>
      </c>
      <c r="M163">
        <f>INDEX('Data sources'!U:U,MATCH($G163,'Data sources'!$A:$A,0),1)</f>
        <v>0.78416348147957027</v>
      </c>
      <c r="N163">
        <f>INDEX('Data sources'!V:V,MATCH($G163,'Data sources'!$A:$A,0),1)</f>
        <v>0.72535139859924458</v>
      </c>
    </row>
    <row r="164" spans="1:14" x14ac:dyDescent="0.2">
      <c r="A164" t="s">
        <v>10</v>
      </c>
      <c r="B164" t="s">
        <v>71</v>
      </c>
      <c r="C164" t="s">
        <v>72</v>
      </c>
      <c r="D164" t="s">
        <v>403</v>
      </c>
      <c r="E164" t="s">
        <v>15</v>
      </c>
      <c r="F164">
        <v>1</v>
      </c>
      <c r="G164" s="30" t="s">
        <v>325</v>
      </c>
      <c r="H164" s="2">
        <f>INDEX('Data sources'!G:G,MATCH(G164,'Data sources'!A:A,0),1)</f>
        <v>5.79E-2</v>
      </c>
      <c r="I164" s="2">
        <f>INDEX('Data sources'!J:J,MATCH(G164,'Data sources'!A:A,0),1)</f>
        <v>4.2599999999999999E-2</v>
      </c>
      <c r="J164" s="2">
        <f>INDEX('Data sources'!R:R,MATCH(G164,'Data sources'!A:A,0),1)</f>
        <v>1</v>
      </c>
      <c r="K164" s="2">
        <f>INDEX('Data sources'!S:S,MATCH(G164,'Data sources'!A:A,0),1)</f>
        <v>0</v>
      </c>
      <c r="L164" t="str">
        <f t="shared" si="2"/>
        <v>Combustion of fuels_Higher education</v>
      </c>
      <c r="M164">
        <f>INDEX('Data sources'!U:U,MATCH($G164,'Data sources'!$A:$A,0),1)</f>
        <v>0.78416348147957027</v>
      </c>
      <c r="N164">
        <f>INDEX('Data sources'!V:V,MATCH($G164,'Data sources'!$A:$A,0),1)</f>
        <v>0.72535139859924458</v>
      </c>
    </row>
    <row r="165" spans="1:14" x14ac:dyDescent="0.2">
      <c r="A165" t="s">
        <v>10</v>
      </c>
      <c r="B165" t="s">
        <v>73</v>
      </c>
      <c r="C165" t="s">
        <v>74</v>
      </c>
      <c r="D165" t="s">
        <v>403</v>
      </c>
      <c r="E165" t="s">
        <v>15</v>
      </c>
      <c r="F165">
        <v>25</v>
      </c>
      <c r="G165" s="30" t="s">
        <v>325</v>
      </c>
      <c r="H165" s="2">
        <f>INDEX('Data sources'!G:G,MATCH(G165,'Data sources'!A:A,0),1)</f>
        <v>5.79E-2</v>
      </c>
      <c r="I165" s="2">
        <f>INDEX('Data sources'!J:J,MATCH(G165,'Data sources'!A:A,0),1)</f>
        <v>4.2599999999999999E-2</v>
      </c>
      <c r="J165" s="2">
        <f>INDEX('Data sources'!R:R,MATCH(G165,'Data sources'!A:A,0),1)</f>
        <v>1</v>
      </c>
      <c r="K165" s="2">
        <f>INDEX('Data sources'!S:S,MATCH(G165,'Data sources'!A:A,0),1)</f>
        <v>0</v>
      </c>
      <c r="L165" t="str">
        <f t="shared" si="2"/>
        <v>Combustion of fuels_Hospital activities</v>
      </c>
      <c r="M165">
        <f>INDEX('Data sources'!U:U,MATCH($G165,'Data sources'!$A:$A,0),1)</f>
        <v>0.78416348147957027</v>
      </c>
      <c r="N165">
        <f>INDEX('Data sources'!V:V,MATCH($G165,'Data sources'!$A:$A,0),1)</f>
        <v>0.72535139859924458</v>
      </c>
    </row>
    <row r="166" spans="1:14" x14ac:dyDescent="0.2">
      <c r="A166" t="s">
        <v>10</v>
      </c>
      <c r="B166" t="s">
        <v>84</v>
      </c>
      <c r="C166" t="s">
        <v>81</v>
      </c>
      <c r="D166" t="s">
        <v>403</v>
      </c>
      <c r="E166" t="s">
        <v>15</v>
      </c>
      <c r="F166">
        <v>2</v>
      </c>
      <c r="G166" s="30" t="s">
        <v>325</v>
      </c>
      <c r="H166" s="2">
        <f>INDEX('Data sources'!G:G,MATCH(G166,'Data sources'!A:A,0),1)</f>
        <v>5.79E-2</v>
      </c>
      <c r="I166" s="2">
        <f>INDEX('Data sources'!J:J,MATCH(G166,'Data sources'!A:A,0),1)</f>
        <v>4.2599999999999999E-2</v>
      </c>
      <c r="J166" s="2">
        <f>INDEX('Data sources'!R:R,MATCH(G166,'Data sources'!A:A,0),1)</f>
        <v>1</v>
      </c>
      <c r="K166" s="2">
        <f>INDEX('Data sources'!S:S,MATCH(G166,'Data sources'!A:A,0),1)</f>
        <v>0</v>
      </c>
      <c r="L166" t="str">
        <f t="shared" si="2"/>
        <v>Combustion of fuels_Manufacture of abrasive products and non-metallic mineral products n.e.c.</v>
      </c>
      <c r="M166">
        <f>INDEX('Data sources'!U:U,MATCH($G166,'Data sources'!$A:$A,0),1)</f>
        <v>0.78416348147957027</v>
      </c>
      <c r="N166">
        <f>INDEX('Data sources'!V:V,MATCH($G166,'Data sources'!$A:$A,0),1)</f>
        <v>0.72535139859924458</v>
      </c>
    </row>
    <row r="167" spans="1:14" x14ac:dyDescent="0.2">
      <c r="A167" t="s">
        <v>10</v>
      </c>
      <c r="B167" t="s">
        <v>87</v>
      </c>
      <c r="C167" t="s">
        <v>14</v>
      </c>
      <c r="D167" t="s">
        <v>403</v>
      </c>
      <c r="E167" t="s">
        <v>15</v>
      </c>
      <c r="F167">
        <v>29</v>
      </c>
      <c r="G167" s="30" t="s">
        <v>325</v>
      </c>
      <c r="H167" s="2">
        <f>INDEX('Data sources'!G:G,MATCH(G167,'Data sources'!A:A,0),1)</f>
        <v>5.79E-2</v>
      </c>
      <c r="I167" s="2">
        <f>INDEX('Data sources'!J:J,MATCH(G167,'Data sources'!A:A,0),1)</f>
        <v>4.2599999999999999E-2</v>
      </c>
      <c r="J167" s="2">
        <f>INDEX('Data sources'!R:R,MATCH(G167,'Data sources'!A:A,0),1)</f>
        <v>1</v>
      </c>
      <c r="K167" s="2">
        <f>INDEX('Data sources'!S:S,MATCH(G167,'Data sources'!A:A,0),1)</f>
        <v>0</v>
      </c>
      <c r="L167" t="str">
        <f t="shared" si="2"/>
        <v>Combustion of fuels_Manufacture of air and spacecraft and related machinery</v>
      </c>
      <c r="M167">
        <f>INDEX('Data sources'!U:U,MATCH($G167,'Data sources'!$A:$A,0),1)</f>
        <v>0.78416348147957027</v>
      </c>
      <c r="N167">
        <f>INDEX('Data sources'!V:V,MATCH($G167,'Data sources'!$A:$A,0),1)</f>
        <v>0.72535139859924458</v>
      </c>
    </row>
    <row r="168" spans="1:14" x14ac:dyDescent="0.2">
      <c r="A168" t="s">
        <v>10</v>
      </c>
      <c r="B168" t="s">
        <v>96</v>
      </c>
      <c r="C168" t="s">
        <v>86</v>
      </c>
      <c r="D168" t="s">
        <v>403</v>
      </c>
      <c r="E168" t="s">
        <v>15</v>
      </c>
      <c r="F168">
        <v>2</v>
      </c>
      <c r="G168" s="30" t="s">
        <v>325</v>
      </c>
      <c r="H168" s="2">
        <f>INDEX('Data sources'!G:G,MATCH(G168,'Data sources'!A:A,0),1)</f>
        <v>5.79E-2</v>
      </c>
      <c r="I168" s="2">
        <f>INDEX('Data sources'!J:J,MATCH(G168,'Data sources'!A:A,0),1)</f>
        <v>4.2599999999999999E-2</v>
      </c>
      <c r="J168" s="2">
        <f>INDEX('Data sources'!R:R,MATCH(G168,'Data sources'!A:A,0),1)</f>
        <v>1</v>
      </c>
      <c r="K168" s="2">
        <f>INDEX('Data sources'!S:S,MATCH(G168,'Data sources'!A:A,0),1)</f>
        <v>0</v>
      </c>
      <c r="L168" t="str">
        <f t="shared" si="2"/>
        <v>Combustion of fuels_Manufacture of bearings, gears, gearing and driving elements</v>
      </c>
      <c r="M168">
        <f>INDEX('Data sources'!U:U,MATCH($G168,'Data sources'!$A:$A,0),1)</f>
        <v>0.78416348147957027</v>
      </c>
      <c r="N168">
        <f>INDEX('Data sources'!V:V,MATCH($G168,'Data sources'!$A:$A,0),1)</f>
        <v>0.72535139859924458</v>
      </c>
    </row>
    <row r="169" spans="1:14" x14ac:dyDescent="0.2">
      <c r="A169" t="s">
        <v>10</v>
      </c>
      <c r="B169" t="s">
        <v>97</v>
      </c>
      <c r="C169" t="s">
        <v>42</v>
      </c>
      <c r="D169" t="s">
        <v>403</v>
      </c>
      <c r="E169" t="s">
        <v>15</v>
      </c>
      <c r="F169">
        <v>34</v>
      </c>
      <c r="G169" s="30" t="s">
        <v>325</v>
      </c>
      <c r="H169" s="2">
        <f>INDEX('Data sources'!G:G,MATCH(G169,'Data sources'!A:A,0),1)</f>
        <v>5.79E-2</v>
      </c>
      <c r="I169" s="2">
        <f>INDEX('Data sources'!J:J,MATCH(G169,'Data sources'!A:A,0),1)</f>
        <v>4.2599999999999999E-2</v>
      </c>
      <c r="J169" s="2">
        <f>INDEX('Data sources'!R:R,MATCH(G169,'Data sources'!A:A,0),1)</f>
        <v>1</v>
      </c>
      <c r="K169" s="2">
        <f>INDEX('Data sources'!S:S,MATCH(G169,'Data sources'!A:A,0),1)</f>
        <v>0</v>
      </c>
      <c r="L169" t="str">
        <f t="shared" si="2"/>
        <v>Combustion of fuels_Manufacture of beer</v>
      </c>
      <c r="M169">
        <f>INDEX('Data sources'!U:U,MATCH($G169,'Data sources'!$A:$A,0),1)</f>
        <v>0.78416348147957027</v>
      </c>
      <c r="N169">
        <f>INDEX('Data sources'!V:V,MATCH($G169,'Data sources'!$A:$A,0),1)</f>
        <v>0.72535139859924458</v>
      </c>
    </row>
    <row r="170" spans="1:14" x14ac:dyDescent="0.2">
      <c r="A170" t="s">
        <v>10</v>
      </c>
      <c r="B170" t="s">
        <v>98</v>
      </c>
      <c r="C170" t="s">
        <v>99</v>
      </c>
      <c r="D170" t="s">
        <v>403</v>
      </c>
      <c r="E170" t="s">
        <v>15</v>
      </c>
      <c r="F170">
        <v>1</v>
      </c>
      <c r="G170" s="30" t="s">
        <v>325</v>
      </c>
      <c r="H170" s="2">
        <f>INDEX('Data sources'!G:G,MATCH(G170,'Data sources'!A:A,0),1)</f>
        <v>5.79E-2</v>
      </c>
      <c r="I170" s="2">
        <f>INDEX('Data sources'!J:J,MATCH(G170,'Data sources'!A:A,0),1)</f>
        <v>4.2599999999999999E-2</v>
      </c>
      <c r="J170" s="2">
        <f>INDEX('Data sources'!R:R,MATCH(G170,'Data sources'!A:A,0),1)</f>
        <v>1</v>
      </c>
      <c r="K170" s="2">
        <f>INDEX('Data sources'!S:S,MATCH(G170,'Data sources'!A:A,0),1)</f>
        <v>0</v>
      </c>
      <c r="L170" t="str">
        <f t="shared" si="2"/>
        <v>Combustion of fuels_Manufacture of bodies (coachwork) for motor vehicles</v>
      </c>
      <c r="M170">
        <f>INDEX('Data sources'!U:U,MATCH($G170,'Data sources'!$A:$A,0),1)</f>
        <v>0.78416348147957027</v>
      </c>
      <c r="N170">
        <f>INDEX('Data sources'!V:V,MATCH($G170,'Data sources'!$A:$A,0),1)</f>
        <v>0.72535139859924458</v>
      </c>
    </row>
    <row r="171" spans="1:14" x14ac:dyDescent="0.2">
      <c r="A171" t="s">
        <v>10</v>
      </c>
      <c r="B171" t="s">
        <v>103</v>
      </c>
      <c r="C171" t="s">
        <v>62</v>
      </c>
      <c r="D171" t="s">
        <v>403</v>
      </c>
      <c r="E171" t="s">
        <v>15</v>
      </c>
      <c r="F171">
        <v>6</v>
      </c>
      <c r="G171" s="30" t="s">
        <v>325</v>
      </c>
      <c r="H171" s="2">
        <f>INDEX('Data sources'!G:G,MATCH(G171,'Data sources'!A:A,0),1)</f>
        <v>5.79E-2</v>
      </c>
      <c r="I171" s="2">
        <f>INDEX('Data sources'!J:J,MATCH(G171,'Data sources'!A:A,0),1)</f>
        <v>4.2599999999999999E-2</v>
      </c>
      <c r="J171" s="2">
        <f>INDEX('Data sources'!R:R,MATCH(G171,'Data sources'!A:A,0),1)</f>
        <v>1</v>
      </c>
      <c r="K171" s="2">
        <f>INDEX('Data sources'!S:S,MATCH(G171,'Data sources'!A:A,0),1)</f>
        <v>0</v>
      </c>
      <c r="L171" t="str">
        <f t="shared" si="2"/>
        <v>Combustion of fuels_Manufacture of carpets and rugs</v>
      </c>
      <c r="M171">
        <f>INDEX('Data sources'!U:U,MATCH($G171,'Data sources'!$A:$A,0),1)</f>
        <v>0.78416348147957027</v>
      </c>
      <c r="N171">
        <f>INDEX('Data sources'!V:V,MATCH($G171,'Data sources'!$A:$A,0),1)</f>
        <v>0.72535139859924458</v>
      </c>
    </row>
    <row r="172" spans="1:14" x14ac:dyDescent="0.2">
      <c r="A172" t="s">
        <v>10</v>
      </c>
      <c r="B172" t="s">
        <v>112</v>
      </c>
      <c r="C172" t="s">
        <v>113</v>
      </c>
      <c r="D172" t="s">
        <v>403</v>
      </c>
      <c r="E172" t="s">
        <v>15</v>
      </c>
      <c r="F172">
        <v>1</v>
      </c>
      <c r="G172" s="30" t="s">
        <v>325</v>
      </c>
      <c r="H172" s="2">
        <f>INDEX('Data sources'!G:G,MATCH(G172,'Data sources'!A:A,0),1)</f>
        <v>5.79E-2</v>
      </c>
      <c r="I172" s="2">
        <f>INDEX('Data sources'!J:J,MATCH(G172,'Data sources'!A:A,0),1)</f>
        <v>4.2599999999999999E-2</v>
      </c>
      <c r="J172" s="2">
        <f>INDEX('Data sources'!R:R,MATCH(G172,'Data sources'!A:A,0),1)</f>
        <v>1</v>
      </c>
      <c r="K172" s="2">
        <f>INDEX('Data sources'!S:S,MATCH(G172,'Data sources'!A:A,0),1)</f>
        <v>0</v>
      </c>
      <c r="L172" t="str">
        <f t="shared" si="2"/>
        <v>Combustion of fuels_Manufacture of cocoa, chocolate and sugar confectionery</v>
      </c>
      <c r="M172">
        <f>INDEX('Data sources'!U:U,MATCH($G172,'Data sources'!$A:$A,0),1)</f>
        <v>0.78416348147957027</v>
      </c>
      <c r="N172">
        <f>INDEX('Data sources'!V:V,MATCH($G172,'Data sources'!$A:$A,0),1)</f>
        <v>0.72535139859924458</v>
      </c>
    </row>
    <row r="173" spans="1:14" x14ac:dyDescent="0.2">
      <c r="A173" t="s">
        <v>10</v>
      </c>
      <c r="B173" t="s">
        <v>120</v>
      </c>
      <c r="C173" t="s">
        <v>113</v>
      </c>
      <c r="D173" t="s">
        <v>403</v>
      </c>
      <c r="E173" t="s">
        <v>15</v>
      </c>
      <c r="F173">
        <v>1</v>
      </c>
      <c r="G173" s="30" t="s">
        <v>325</v>
      </c>
      <c r="H173" s="2">
        <f>INDEX('Data sources'!G:G,MATCH(G173,'Data sources'!A:A,0),1)</f>
        <v>5.79E-2</v>
      </c>
      <c r="I173" s="2">
        <f>INDEX('Data sources'!J:J,MATCH(G173,'Data sources'!A:A,0),1)</f>
        <v>4.2599999999999999E-2</v>
      </c>
      <c r="J173" s="2">
        <f>INDEX('Data sources'!R:R,MATCH(G173,'Data sources'!A:A,0),1)</f>
        <v>1</v>
      </c>
      <c r="K173" s="2">
        <f>INDEX('Data sources'!S:S,MATCH(G173,'Data sources'!A:A,0),1)</f>
        <v>0</v>
      </c>
      <c r="L173" t="str">
        <f t="shared" si="2"/>
        <v>Combustion of fuels_Manufacture of condiments and seasonings</v>
      </c>
      <c r="M173">
        <f>INDEX('Data sources'!U:U,MATCH($G173,'Data sources'!$A:$A,0),1)</f>
        <v>0.78416348147957027</v>
      </c>
      <c r="N173">
        <f>INDEX('Data sources'!V:V,MATCH($G173,'Data sources'!$A:$A,0),1)</f>
        <v>0.72535139859924458</v>
      </c>
    </row>
    <row r="174" spans="1:14" x14ac:dyDescent="0.2">
      <c r="A174" t="s">
        <v>10</v>
      </c>
      <c r="B174" t="s">
        <v>126</v>
      </c>
      <c r="C174" t="s">
        <v>127</v>
      </c>
      <c r="D174" t="s">
        <v>403</v>
      </c>
      <c r="E174" t="s">
        <v>15</v>
      </c>
      <c r="F174">
        <v>2</v>
      </c>
      <c r="G174" s="30" t="s">
        <v>325</v>
      </c>
      <c r="H174" s="2">
        <f>INDEX('Data sources'!G:G,MATCH(G174,'Data sources'!A:A,0),1)</f>
        <v>5.79E-2</v>
      </c>
      <c r="I174" s="2">
        <f>INDEX('Data sources'!J:J,MATCH(G174,'Data sources'!A:A,0),1)</f>
        <v>4.2599999999999999E-2</v>
      </c>
      <c r="J174" s="2">
        <f>INDEX('Data sources'!R:R,MATCH(G174,'Data sources'!A:A,0),1)</f>
        <v>1</v>
      </c>
      <c r="K174" s="2">
        <f>INDEX('Data sources'!S:S,MATCH(G174,'Data sources'!A:A,0),1)</f>
        <v>0</v>
      </c>
      <c r="L174" t="str">
        <f t="shared" si="2"/>
        <v>Combustion of fuels_Manufacture of electric domestic appliances</v>
      </c>
      <c r="M174">
        <f>INDEX('Data sources'!U:U,MATCH($G174,'Data sources'!$A:$A,0),1)</f>
        <v>0.78416348147957027</v>
      </c>
      <c r="N174">
        <f>INDEX('Data sources'!V:V,MATCH($G174,'Data sources'!$A:$A,0),1)</f>
        <v>0.72535139859924458</v>
      </c>
    </row>
    <row r="175" spans="1:14" x14ac:dyDescent="0.2">
      <c r="A175" t="s">
        <v>10</v>
      </c>
      <c r="B175" t="s">
        <v>128</v>
      </c>
      <c r="C175" t="s">
        <v>127</v>
      </c>
      <c r="D175" t="s">
        <v>403</v>
      </c>
      <c r="E175" t="s">
        <v>15</v>
      </c>
      <c r="F175">
        <v>1</v>
      </c>
      <c r="G175" s="30" t="s">
        <v>325</v>
      </c>
      <c r="H175" s="2">
        <f>INDEX('Data sources'!G:G,MATCH(G175,'Data sources'!A:A,0),1)</f>
        <v>5.79E-2</v>
      </c>
      <c r="I175" s="2">
        <f>INDEX('Data sources'!J:J,MATCH(G175,'Data sources'!A:A,0),1)</f>
        <v>4.2599999999999999E-2</v>
      </c>
      <c r="J175" s="2">
        <f>INDEX('Data sources'!R:R,MATCH(G175,'Data sources'!A:A,0),1)</f>
        <v>1</v>
      </c>
      <c r="K175" s="2">
        <f>INDEX('Data sources'!S:S,MATCH(G175,'Data sources'!A:A,0),1)</f>
        <v>0</v>
      </c>
      <c r="L175" t="str">
        <f t="shared" si="2"/>
        <v>Combustion of fuels_Manufacture of electric lighting equipment</v>
      </c>
      <c r="M175">
        <f>INDEX('Data sources'!U:U,MATCH($G175,'Data sources'!$A:$A,0),1)</f>
        <v>0.78416348147957027</v>
      </c>
      <c r="N175">
        <f>INDEX('Data sources'!V:V,MATCH($G175,'Data sources'!$A:$A,0),1)</f>
        <v>0.72535139859924458</v>
      </c>
    </row>
    <row r="176" spans="1:14" x14ac:dyDescent="0.2">
      <c r="A176" t="s">
        <v>10</v>
      </c>
      <c r="B176" t="s">
        <v>130</v>
      </c>
      <c r="C176" t="s">
        <v>127</v>
      </c>
      <c r="D176" t="s">
        <v>403</v>
      </c>
      <c r="E176" t="s">
        <v>15</v>
      </c>
      <c r="F176">
        <v>1</v>
      </c>
      <c r="G176" s="30" t="s">
        <v>325</v>
      </c>
      <c r="H176" s="2">
        <f>INDEX('Data sources'!G:G,MATCH(G176,'Data sources'!A:A,0),1)</f>
        <v>5.79E-2</v>
      </c>
      <c r="I176" s="2">
        <f>INDEX('Data sources'!J:J,MATCH(G176,'Data sources'!A:A,0),1)</f>
        <v>4.2599999999999999E-2</v>
      </c>
      <c r="J176" s="2">
        <f>INDEX('Data sources'!R:R,MATCH(G176,'Data sources'!A:A,0),1)</f>
        <v>1</v>
      </c>
      <c r="K176" s="2">
        <f>INDEX('Data sources'!S:S,MATCH(G176,'Data sources'!A:A,0),1)</f>
        <v>0</v>
      </c>
      <c r="L176" t="str">
        <f t="shared" si="2"/>
        <v>Combustion of fuels_Manufacture of electricity distribution and control apparatus</v>
      </c>
      <c r="M176">
        <f>INDEX('Data sources'!U:U,MATCH($G176,'Data sources'!$A:$A,0),1)</f>
        <v>0.78416348147957027</v>
      </c>
      <c r="N176">
        <f>INDEX('Data sources'!V:V,MATCH($G176,'Data sources'!$A:$A,0),1)</f>
        <v>0.72535139859924458</v>
      </c>
    </row>
    <row r="177" spans="1:14" x14ac:dyDescent="0.2">
      <c r="A177" t="s">
        <v>10</v>
      </c>
      <c r="B177" t="s">
        <v>131</v>
      </c>
      <c r="C177" t="s">
        <v>118</v>
      </c>
      <c r="D177" t="s">
        <v>403</v>
      </c>
      <c r="E177" t="s">
        <v>15</v>
      </c>
      <c r="F177">
        <v>4</v>
      </c>
      <c r="G177" s="30" t="s">
        <v>325</v>
      </c>
      <c r="H177" s="2">
        <f>INDEX('Data sources'!G:G,MATCH(G177,'Data sources'!A:A,0),1)</f>
        <v>5.79E-2</v>
      </c>
      <c r="I177" s="2">
        <f>INDEX('Data sources'!J:J,MATCH(G177,'Data sources'!A:A,0),1)</f>
        <v>4.2599999999999999E-2</v>
      </c>
      <c r="J177" s="2">
        <f>INDEX('Data sources'!R:R,MATCH(G177,'Data sources'!A:A,0),1)</f>
        <v>1</v>
      </c>
      <c r="K177" s="2">
        <f>INDEX('Data sources'!S:S,MATCH(G177,'Data sources'!A:A,0),1)</f>
        <v>0</v>
      </c>
      <c r="L177" t="str">
        <f t="shared" si="2"/>
        <v>Combustion of fuels_Manufacture of electronic components</v>
      </c>
      <c r="M177">
        <f>INDEX('Data sources'!U:U,MATCH($G177,'Data sources'!$A:$A,0),1)</f>
        <v>0.78416348147957027</v>
      </c>
      <c r="N177">
        <f>INDEX('Data sources'!V:V,MATCH($G177,'Data sources'!$A:$A,0),1)</f>
        <v>0.72535139859924458</v>
      </c>
    </row>
    <row r="178" spans="1:14" x14ac:dyDescent="0.2">
      <c r="A178" t="s">
        <v>10</v>
      </c>
      <c r="B178" t="s">
        <v>132</v>
      </c>
      <c r="C178" t="s">
        <v>86</v>
      </c>
      <c r="D178" t="s">
        <v>403</v>
      </c>
      <c r="E178" t="s">
        <v>15</v>
      </c>
      <c r="F178">
        <v>13</v>
      </c>
      <c r="G178" s="30" t="s">
        <v>325</v>
      </c>
      <c r="H178" s="2">
        <f>INDEX('Data sources'!G:G,MATCH(G178,'Data sources'!A:A,0),1)</f>
        <v>5.79E-2</v>
      </c>
      <c r="I178" s="2">
        <f>INDEX('Data sources'!J:J,MATCH(G178,'Data sources'!A:A,0),1)</f>
        <v>4.2599999999999999E-2</v>
      </c>
      <c r="J178" s="2">
        <f>INDEX('Data sources'!R:R,MATCH(G178,'Data sources'!A:A,0),1)</f>
        <v>1</v>
      </c>
      <c r="K178" s="2">
        <f>INDEX('Data sources'!S:S,MATCH(G178,'Data sources'!A:A,0),1)</f>
        <v>0</v>
      </c>
      <c r="L178" t="str">
        <f t="shared" si="2"/>
        <v>Combustion of fuels_Manufacture of engines and turbines, except aircraft, vehicle and cycle engines</v>
      </c>
      <c r="M178">
        <f>INDEX('Data sources'!U:U,MATCH($G178,'Data sources'!$A:$A,0),1)</f>
        <v>0.78416348147957027</v>
      </c>
      <c r="N178">
        <f>INDEX('Data sources'!V:V,MATCH($G178,'Data sources'!$A:$A,0),1)</f>
        <v>0.72535139859924458</v>
      </c>
    </row>
    <row r="179" spans="1:14" x14ac:dyDescent="0.2">
      <c r="A179" t="s">
        <v>10</v>
      </c>
      <c r="B179" t="s">
        <v>139</v>
      </c>
      <c r="C179" t="s">
        <v>113</v>
      </c>
      <c r="D179" t="s">
        <v>403</v>
      </c>
      <c r="E179" t="s">
        <v>15</v>
      </c>
      <c r="F179">
        <v>8</v>
      </c>
      <c r="G179" s="30" t="s">
        <v>325</v>
      </c>
      <c r="H179" s="2">
        <f>INDEX('Data sources'!G:G,MATCH(G179,'Data sources'!A:A,0),1)</f>
        <v>5.79E-2</v>
      </c>
      <c r="I179" s="2">
        <f>INDEX('Data sources'!J:J,MATCH(G179,'Data sources'!A:A,0),1)</f>
        <v>4.2599999999999999E-2</v>
      </c>
      <c r="J179" s="2">
        <f>INDEX('Data sources'!R:R,MATCH(G179,'Data sources'!A:A,0),1)</f>
        <v>1</v>
      </c>
      <c r="K179" s="2">
        <f>INDEX('Data sources'!S:S,MATCH(G179,'Data sources'!A:A,0),1)</f>
        <v>0</v>
      </c>
      <c r="L179" t="str">
        <f t="shared" si="2"/>
        <v>Combustion of fuels_Manufacture of fruit and vegetable juice</v>
      </c>
      <c r="M179">
        <f>INDEX('Data sources'!U:U,MATCH($G179,'Data sources'!$A:$A,0),1)</f>
        <v>0.78416348147957027</v>
      </c>
      <c r="N179">
        <f>INDEX('Data sources'!V:V,MATCH($G179,'Data sources'!$A:$A,0),1)</f>
        <v>0.72535139859924458</v>
      </c>
    </row>
    <row r="180" spans="1:14" x14ac:dyDescent="0.2">
      <c r="A180" t="s">
        <v>10</v>
      </c>
      <c r="B180" t="s">
        <v>145</v>
      </c>
      <c r="C180" t="s">
        <v>113</v>
      </c>
      <c r="D180" t="s">
        <v>403</v>
      </c>
      <c r="E180" t="s">
        <v>15</v>
      </c>
      <c r="F180">
        <v>2</v>
      </c>
      <c r="G180" s="30" t="s">
        <v>325</v>
      </c>
      <c r="H180" s="2">
        <f>INDEX('Data sources'!G:G,MATCH(G180,'Data sources'!A:A,0),1)</f>
        <v>5.79E-2</v>
      </c>
      <c r="I180" s="2">
        <f>INDEX('Data sources'!J:J,MATCH(G180,'Data sources'!A:A,0),1)</f>
        <v>4.2599999999999999E-2</v>
      </c>
      <c r="J180" s="2">
        <f>INDEX('Data sources'!R:R,MATCH(G180,'Data sources'!A:A,0),1)</f>
        <v>1</v>
      </c>
      <c r="K180" s="2">
        <f>INDEX('Data sources'!S:S,MATCH(G180,'Data sources'!A:A,0),1)</f>
        <v>0</v>
      </c>
      <c r="L180" t="str">
        <f t="shared" si="2"/>
        <v>Combustion of fuels_Manufacture of grain mill products</v>
      </c>
      <c r="M180">
        <f>INDEX('Data sources'!U:U,MATCH($G180,'Data sources'!$A:$A,0),1)</f>
        <v>0.78416348147957027</v>
      </c>
      <c r="N180">
        <f>INDEX('Data sources'!V:V,MATCH($G180,'Data sources'!$A:$A,0),1)</f>
        <v>0.72535139859924458</v>
      </c>
    </row>
    <row r="181" spans="1:14" x14ac:dyDescent="0.2">
      <c r="A181" t="s">
        <v>10</v>
      </c>
      <c r="B181" t="s">
        <v>147</v>
      </c>
      <c r="C181" t="s">
        <v>113</v>
      </c>
      <c r="D181" t="s">
        <v>403</v>
      </c>
      <c r="E181" t="s">
        <v>15</v>
      </c>
      <c r="F181">
        <v>5</v>
      </c>
      <c r="G181" s="30" t="s">
        <v>325</v>
      </c>
      <c r="H181" s="2">
        <f>INDEX('Data sources'!G:G,MATCH(G181,'Data sources'!A:A,0),1)</f>
        <v>5.79E-2</v>
      </c>
      <c r="I181" s="2">
        <f>INDEX('Data sources'!J:J,MATCH(G181,'Data sources'!A:A,0),1)</f>
        <v>4.2599999999999999E-2</v>
      </c>
      <c r="J181" s="2">
        <f>INDEX('Data sources'!R:R,MATCH(G181,'Data sources'!A:A,0),1)</f>
        <v>1</v>
      </c>
      <c r="K181" s="2">
        <f>INDEX('Data sources'!S:S,MATCH(G181,'Data sources'!A:A,0),1)</f>
        <v>0</v>
      </c>
      <c r="L181" t="str">
        <f t="shared" si="2"/>
        <v>Combustion of fuels_Manufacture of homogenised food preparations and dietetic food</v>
      </c>
      <c r="M181">
        <f>INDEX('Data sources'!U:U,MATCH($G181,'Data sources'!$A:$A,0),1)</f>
        <v>0.78416348147957027</v>
      </c>
      <c r="N181">
        <f>INDEX('Data sources'!V:V,MATCH($G181,'Data sources'!$A:$A,0),1)</f>
        <v>0.72535139859924458</v>
      </c>
    </row>
    <row r="182" spans="1:14" x14ac:dyDescent="0.2">
      <c r="A182" t="s">
        <v>10</v>
      </c>
      <c r="B182" t="s">
        <v>150</v>
      </c>
      <c r="C182" t="s">
        <v>113</v>
      </c>
      <c r="D182" t="s">
        <v>403</v>
      </c>
      <c r="E182" t="s">
        <v>15</v>
      </c>
      <c r="F182">
        <v>1</v>
      </c>
      <c r="G182" s="30" t="s">
        <v>325</v>
      </c>
      <c r="H182" s="2">
        <f>INDEX('Data sources'!G:G,MATCH(G182,'Data sources'!A:A,0),1)</f>
        <v>5.79E-2</v>
      </c>
      <c r="I182" s="2">
        <f>INDEX('Data sources'!J:J,MATCH(G182,'Data sources'!A:A,0),1)</f>
        <v>4.2599999999999999E-2</v>
      </c>
      <c r="J182" s="2">
        <f>INDEX('Data sources'!R:R,MATCH(G182,'Data sources'!A:A,0),1)</f>
        <v>1</v>
      </c>
      <c r="K182" s="2">
        <f>INDEX('Data sources'!S:S,MATCH(G182,'Data sources'!A:A,0),1)</f>
        <v>0</v>
      </c>
      <c r="L182" t="str">
        <f t="shared" si="2"/>
        <v>Combustion of fuels_Manufacture of ice cream</v>
      </c>
      <c r="M182">
        <f>INDEX('Data sources'!U:U,MATCH($G182,'Data sources'!$A:$A,0),1)</f>
        <v>0.78416348147957027</v>
      </c>
      <c r="N182">
        <f>INDEX('Data sources'!V:V,MATCH($G182,'Data sources'!$A:$A,0),1)</f>
        <v>0.72535139859924458</v>
      </c>
    </row>
    <row r="183" spans="1:14" x14ac:dyDescent="0.2">
      <c r="A183" t="s">
        <v>10</v>
      </c>
      <c r="B183" t="s">
        <v>153</v>
      </c>
      <c r="C183" t="s">
        <v>65</v>
      </c>
      <c r="D183" t="s">
        <v>403</v>
      </c>
      <c r="E183" t="s">
        <v>15</v>
      </c>
      <c r="F183">
        <v>1</v>
      </c>
      <c r="G183" s="30" t="s">
        <v>325</v>
      </c>
      <c r="H183" s="2">
        <f>INDEX('Data sources'!G:G,MATCH(G183,'Data sources'!A:A,0),1)</f>
        <v>5.79E-2</v>
      </c>
      <c r="I183" s="2">
        <f>INDEX('Data sources'!J:J,MATCH(G183,'Data sources'!A:A,0),1)</f>
        <v>4.2599999999999999E-2</v>
      </c>
      <c r="J183" s="2">
        <f>INDEX('Data sources'!R:R,MATCH(G183,'Data sources'!A:A,0),1)</f>
        <v>1</v>
      </c>
      <c r="K183" s="2">
        <f>INDEX('Data sources'!S:S,MATCH(G183,'Data sources'!A:A,0),1)</f>
        <v>0</v>
      </c>
      <c r="L183" t="str">
        <f t="shared" si="2"/>
        <v>Combustion of fuels_Manufacture of light metal packaging</v>
      </c>
      <c r="M183">
        <f>INDEX('Data sources'!U:U,MATCH($G183,'Data sources'!$A:$A,0),1)</f>
        <v>0.78416348147957027</v>
      </c>
      <c r="N183">
        <f>INDEX('Data sources'!V:V,MATCH($G183,'Data sources'!$A:$A,0),1)</f>
        <v>0.72535139859924458</v>
      </c>
    </row>
    <row r="184" spans="1:14" x14ac:dyDescent="0.2">
      <c r="A184" t="s">
        <v>10</v>
      </c>
      <c r="B184" t="s">
        <v>157</v>
      </c>
      <c r="C184" t="s">
        <v>86</v>
      </c>
      <c r="D184" t="s">
        <v>403</v>
      </c>
      <c r="E184" t="s">
        <v>15</v>
      </c>
      <c r="F184">
        <v>1</v>
      </c>
      <c r="G184" s="30" t="s">
        <v>325</v>
      </c>
      <c r="H184" s="2">
        <f>INDEX('Data sources'!G:G,MATCH(G184,'Data sources'!A:A,0),1)</f>
        <v>5.79E-2</v>
      </c>
      <c r="I184" s="2">
        <f>INDEX('Data sources'!J:J,MATCH(G184,'Data sources'!A:A,0),1)</f>
        <v>4.2599999999999999E-2</v>
      </c>
      <c r="J184" s="2">
        <f>INDEX('Data sources'!R:R,MATCH(G184,'Data sources'!A:A,0),1)</f>
        <v>1</v>
      </c>
      <c r="K184" s="2">
        <f>INDEX('Data sources'!S:S,MATCH(G184,'Data sources'!A:A,0),1)</f>
        <v>0</v>
      </c>
      <c r="L184" t="str">
        <f t="shared" si="2"/>
        <v>Combustion of fuels_Manufacture of machinery for metallurgy</v>
      </c>
      <c r="M184">
        <f>INDEX('Data sources'!U:U,MATCH($G184,'Data sources'!$A:$A,0),1)</f>
        <v>0.78416348147957027</v>
      </c>
      <c r="N184">
        <f>INDEX('Data sources'!V:V,MATCH($G184,'Data sources'!$A:$A,0),1)</f>
        <v>0.72535139859924458</v>
      </c>
    </row>
    <row r="185" spans="1:14" x14ac:dyDescent="0.2">
      <c r="A185" t="s">
        <v>10</v>
      </c>
      <c r="B185" t="s">
        <v>161</v>
      </c>
      <c r="C185" t="s">
        <v>42</v>
      </c>
      <c r="D185" t="s">
        <v>403</v>
      </c>
      <c r="E185" t="s">
        <v>15</v>
      </c>
      <c r="F185">
        <v>13</v>
      </c>
      <c r="G185" s="30" t="s">
        <v>325</v>
      </c>
      <c r="H185" s="2">
        <f>INDEX('Data sources'!G:G,MATCH(G185,'Data sources'!A:A,0),1)</f>
        <v>5.79E-2</v>
      </c>
      <c r="I185" s="2">
        <f>INDEX('Data sources'!J:J,MATCH(G185,'Data sources'!A:A,0),1)</f>
        <v>4.2599999999999999E-2</v>
      </c>
      <c r="J185" s="2">
        <f>INDEX('Data sources'!R:R,MATCH(G185,'Data sources'!A:A,0),1)</f>
        <v>1</v>
      </c>
      <c r="K185" s="2">
        <f>INDEX('Data sources'!S:S,MATCH(G185,'Data sources'!A:A,0),1)</f>
        <v>0</v>
      </c>
      <c r="L185" t="str">
        <f t="shared" si="2"/>
        <v>Combustion of fuels_Manufacture of malt</v>
      </c>
      <c r="M185">
        <f>INDEX('Data sources'!U:U,MATCH($G185,'Data sources'!$A:$A,0),1)</f>
        <v>0.78416348147957027</v>
      </c>
      <c r="N185">
        <f>INDEX('Data sources'!V:V,MATCH($G185,'Data sources'!$A:$A,0),1)</f>
        <v>0.72535139859924458</v>
      </c>
    </row>
    <row r="186" spans="1:14" x14ac:dyDescent="0.2">
      <c r="A186" t="s">
        <v>10</v>
      </c>
      <c r="B186" t="s">
        <v>163</v>
      </c>
      <c r="C186" t="s">
        <v>164</v>
      </c>
      <c r="D186" t="s">
        <v>403</v>
      </c>
      <c r="E186" t="s">
        <v>15</v>
      </c>
      <c r="F186">
        <v>2</v>
      </c>
      <c r="G186" s="30" t="s">
        <v>325</v>
      </c>
      <c r="H186" s="2">
        <f>INDEX('Data sources'!G:G,MATCH(G186,'Data sources'!A:A,0),1)</f>
        <v>5.79E-2</v>
      </c>
      <c r="I186" s="2">
        <f>INDEX('Data sources'!J:J,MATCH(G186,'Data sources'!A:A,0),1)</f>
        <v>4.2599999999999999E-2</v>
      </c>
      <c r="J186" s="2">
        <f>INDEX('Data sources'!R:R,MATCH(G186,'Data sources'!A:A,0),1)</f>
        <v>1</v>
      </c>
      <c r="K186" s="2">
        <f>INDEX('Data sources'!S:S,MATCH(G186,'Data sources'!A:A,0),1)</f>
        <v>0</v>
      </c>
      <c r="L186" t="str">
        <f t="shared" si="2"/>
        <v>Combustion of fuels_Manufacture of medical and dental instruments and supplies</v>
      </c>
      <c r="M186">
        <f>INDEX('Data sources'!U:U,MATCH($G186,'Data sources'!$A:$A,0),1)</f>
        <v>0.78416348147957027</v>
      </c>
      <c r="N186">
        <f>INDEX('Data sources'!V:V,MATCH($G186,'Data sources'!$A:$A,0),1)</f>
        <v>0.72535139859924458</v>
      </c>
    </row>
    <row r="187" spans="1:14" x14ac:dyDescent="0.2">
      <c r="A187" t="s">
        <v>10</v>
      </c>
      <c r="B187" t="s">
        <v>167</v>
      </c>
      <c r="C187" t="s">
        <v>99</v>
      </c>
      <c r="D187" t="s">
        <v>403</v>
      </c>
      <c r="E187" t="s">
        <v>15</v>
      </c>
      <c r="F187">
        <v>42</v>
      </c>
      <c r="G187" s="30" t="s">
        <v>325</v>
      </c>
      <c r="H187" s="2">
        <f>INDEX('Data sources'!G:G,MATCH(G187,'Data sources'!A:A,0),1)</f>
        <v>5.79E-2</v>
      </c>
      <c r="I187" s="2">
        <f>INDEX('Data sources'!J:J,MATCH(G187,'Data sources'!A:A,0),1)</f>
        <v>4.2599999999999999E-2</v>
      </c>
      <c r="J187" s="2">
        <f>INDEX('Data sources'!R:R,MATCH(G187,'Data sources'!A:A,0),1)</f>
        <v>1</v>
      </c>
      <c r="K187" s="2">
        <f>INDEX('Data sources'!S:S,MATCH(G187,'Data sources'!A:A,0),1)</f>
        <v>0</v>
      </c>
      <c r="L187" t="str">
        <f t="shared" si="2"/>
        <v>Combustion of fuels_Manufacture of motor vehicles</v>
      </c>
      <c r="M187">
        <f>INDEX('Data sources'!U:U,MATCH($G187,'Data sources'!$A:$A,0),1)</f>
        <v>0.78416348147957027</v>
      </c>
      <c r="N187">
        <f>INDEX('Data sources'!V:V,MATCH($G187,'Data sources'!$A:$A,0),1)</f>
        <v>0.72535139859924458</v>
      </c>
    </row>
    <row r="188" spans="1:14" x14ac:dyDescent="0.2">
      <c r="A188" t="s">
        <v>10</v>
      </c>
      <c r="B188" t="s">
        <v>168</v>
      </c>
      <c r="C188" t="s">
        <v>14</v>
      </c>
      <c r="D188" t="s">
        <v>403</v>
      </c>
      <c r="E188" t="s">
        <v>15</v>
      </c>
      <c r="F188">
        <v>2</v>
      </c>
      <c r="G188" s="30" t="s">
        <v>325</v>
      </c>
      <c r="H188" s="2">
        <f>INDEX('Data sources'!G:G,MATCH(G188,'Data sources'!A:A,0),1)</f>
        <v>5.79E-2</v>
      </c>
      <c r="I188" s="2">
        <f>INDEX('Data sources'!J:J,MATCH(G188,'Data sources'!A:A,0),1)</f>
        <v>4.2599999999999999E-2</v>
      </c>
      <c r="J188" s="2">
        <f>INDEX('Data sources'!R:R,MATCH(G188,'Data sources'!A:A,0),1)</f>
        <v>1</v>
      </c>
      <c r="K188" s="2">
        <f>INDEX('Data sources'!S:S,MATCH(G188,'Data sources'!A:A,0),1)</f>
        <v>0</v>
      </c>
      <c r="L188" t="str">
        <f t="shared" si="2"/>
        <v>Combustion of fuels_Manufacture of motorcycles</v>
      </c>
      <c r="M188">
        <f>INDEX('Data sources'!U:U,MATCH($G188,'Data sources'!$A:$A,0),1)</f>
        <v>0.78416348147957027</v>
      </c>
      <c r="N188">
        <f>INDEX('Data sources'!V:V,MATCH($G188,'Data sources'!$A:$A,0),1)</f>
        <v>0.72535139859924458</v>
      </c>
    </row>
    <row r="189" spans="1:14" x14ac:dyDescent="0.2">
      <c r="A189" t="s">
        <v>10</v>
      </c>
      <c r="B189" t="s">
        <v>170</v>
      </c>
      <c r="C189" t="s">
        <v>62</v>
      </c>
      <c r="D189" t="s">
        <v>403</v>
      </c>
      <c r="E189" t="s">
        <v>15</v>
      </c>
      <c r="F189">
        <v>2</v>
      </c>
      <c r="G189" s="30" t="s">
        <v>325</v>
      </c>
      <c r="H189" s="2">
        <f>INDEX('Data sources'!G:G,MATCH(G189,'Data sources'!A:A,0),1)</f>
        <v>5.79E-2</v>
      </c>
      <c r="I189" s="2">
        <f>INDEX('Data sources'!J:J,MATCH(G189,'Data sources'!A:A,0),1)</f>
        <v>4.2599999999999999E-2</v>
      </c>
      <c r="J189" s="2">
        <f>INDEX('Data sources'!R:R,MATCH(G189,'Data sources'!A:A,0),1)</f>
        <v>1</v>
      </c>
      <c r="K189" s="2">
        <f>INDEX('Data sources'!S:S,MATCH(G189,'Data sources'!A:A,0),1)</f>
        <v>0</v>
      </c>
      <c r="L189" t="str">
        <f t="shared" si="2"/>
        <v>Combustion of fuels_Manufacture of non-wovens and articles made from non-wovens, except apparel</v>
      </c>
      <c r="M189">
        <f>INDEX('Data sources'!U:U,MATCH($G189,'Data sources'!$A:$A,0),1)</f>
        <v>0.78416348147957027</v>
      </c>
      <c r="N189">
        <f>INDEX('Data sources'!V:V,MATCH($G189,'Data sources'!$A:$A,0),1)</f>
        <v>0.72535139859924458</v>
      </c>
    </row>
    <row r="190" spans="1:14" x14ac:dyDescent="0.2">
      <c r="A190" t="s">
        <v>10</v>
      </c>
      <c r="B190" t="s">
        <v>171</v>
      </c>
      <c r="C190" t="s">
        <v>113</v>
      </c>
      <c r="D190" t="s">
        <v>403</v>
      </c>
      <c r="E190" t="s">
        <v>15</v>
      </c>
      <c r="F190">
        <v>60</v>
      </c>
      <c r="G190" s="30" t="s">
        <v>325</v>
      </c>
      <c r="H190" s="2">
        <f>INDEX('Data sources'!G:G,MATCH(G190,'Data sources'!A:A,0),1)</f>
        <v>5.79E-2</v>
      </c>
      <c r="I190" s="2">
        <f>INDEX('Data sources'!J:J,MATCH(G190,'Data sources'!A:A,0),1)</f>
        <v>4.2599999999999999E-2</v>
      </c>
      <c r="J190" s="2">
        <f>INDEX('Data sources'!R:R,MATCH(G190,'Data sources'!A:A,0),1)</f>
        <v>1</v>
      </c>
      <c r="K190" s="2">
        <f>INDEX('Data sources'!S:S,MATCH(G190,'Data sources'!A:A,0),1)</f>
        <v>0</v>
      </c>
      <c r="L190" t="str">
        <f t="shared" si="2"/>
        <v>Combustion of fuels_Manufacture of oils and fats</v>
      </c>
      <c r="M190">
        <f>INDEX('Data sources'!U:U,MATCH($G190,'Data sources'!$A:$A,0),1)</f>
        <v>0.78416348147957027</v>
      </c>
      <c r="N190">
        <f>INDEX('Data sources'!V:V,MATCH($G190,'Data sources'!$A:$A,0),1)</f>
        <v>0.72535139859924458</v>
      </c>
    </row>
    <row r="191" spans="1:14" x14ac:dyDescent="0.2">
      <c r="A191" t="s">
        <v>10</v>
      </c>
      <c r="B191" t="s">
        <v>174</v>
      </c>
      <c r="C191" t="s">
        <v>89</v>
      </c>
      <c r="D191" t="s">
        <v>403</v>
      </c>
      <c r="E191" t="s">
        <v>15</v>
      </c>
      <c r="F191">
        <v>1</v>
      </c>
      <c r="G191" s="30" t="s">
        <v>325</v>
      </c>
      <c r="H191" s="2">
        <f>INDEX('Data sources'!G:G,MATCH(G191,'Data sources'!A:A,0),1)</f>
        <v>5.79E-2</v>
      </c>
      <c r="I191" s="2">
        <f>INDEX('Data sources'!J:J,MATCH(G191,'Data sources'!A:A,0),1)</f>
        <v>4.2599999999999999E-2</v>
      </c>
      <c r="J191" s="2">
        <f>INDEX('Data sources'!R:R,MATCH(G191,'Data sources'!A:A,0),1)</f>
        <v>1</v>
      </c>
      <c r="K191" s="2">
        <f>INDEX('Data sources'!S:S,MATCH(G191,'Data sources'!A:A,0),1)</f>
        <v>0</v>
      </c>
      <c r="L191" t="str">
        <f t="shared" si="2"/>
        <v>Combustion of fuels_Manufacture of other builders' carpentry and joinery</v>
      </c>
      <c r="M191">
        <f>INDEX('Data sources'!U:U,MATCH($G191,'Data sources'!$A:$A,0),1)</f>
        <v>0.78416348147957027</v>
      </c>
      <c r="N191">
        <f>INDEX('Data sources'!V:V,MATCH($G191,'Data sources'!$A:$A,0),1)</f>
        <v>0.72535139859924458</v>
      </c>
    </row>
    <row r="192" spans="1:14" x14ac:dyDescent="0.2">
      <c r="A192" t="s">
        <v>10</v>
      </c>
      <c r="B192" t="s">
        <v>178</v>
      </c>
      <c r="C192" t="s">
        <v>127</v>
      </c>
      <c r="D192" t="s">
        <v>403</v>
      </c>
      <c r="E192" t="s">
        <v>15</v>
      </c>
      <c r="F192">
        <v>2</v>
      </c>
      <c r="G192" s="30" t="s">
        <v>325</v>
      </c>
      <c r="H192" s="2">
        <f>INDEX('Data sources'!G:G,MATCH(G192,'Data sources'!A:A,0),1)</f>
        <v>5.79E-2</v>
      </c>
      <c r="I192" s="2">
        <f>INDEX('Data sources'!J:J,MATCH(G192,'Data sources'!A:A,0),1)</f>
        <v>4.2599999999999999E-2</v>
      </c>
      <c r="J192" s="2">
        <f>INDEX('Data sources'!R:R,MATCH(G192,'Data sources'!A:A,0),1)</f>
        <v>1</v>
      </c>
      <c r="K192" s="2">
        <f>INDEX('Data sources'!S:S,MATCH(G192,'Data sources'!A:A,0),1)</f>
        <v>0</v>
      </c>
      <c r="L192" t="str">
        <f t="shared" si="2"/>
        <v>Combustion of fuels_Manufacture of other electrical equipment</v>
      </c>
      <c r="M192">
        <f>INDEX('Data sources'!U:U,MATCH($G192,'Data sources'!$A:$A,0),1)</f>
        <v>0.78416348147957027</v>
      </c>
      <c r="N192">
        <f>INDEX('Data sources'!V:V,MATCH($G192,'Data sources'!$A:$A,0),1)</f>
        <v>0.72535139859924458</v>
      </c>
    </row>
    <row r="193" spans="1:14" x14ac:dyDescent="0.2">
      <c r="A193" t="s">
        <v>10</v>
      </c>
      <c r="B193" t="s">
        <v>179</v>
      </c>
      <c r="C193" t="s">
        <v>127</v>
      </c>
      <c r="D193" t="s">
        <v>403</v>
      </c>
      <c r="E193" t="s">
        <v>15</v>
      </c>
      <c r="F193">
        <v>2</v>
      </c>
      <c r="G193" s="30" t="s">
        <v>325</v>
      </c>
      <c r="H193" s="2">
        <f>INDEX('Data sources'!G:G,MATCH(G193,'Data sources'!A:A,0),1)</f>
        <v>5.79E-2</v>
      </c>
      <c r="I193" s="2">
        <f>INDEX('Data sources'!J:J,MATCH(G193,'Data sources'!A:A,0),1)</f>
        <v>4.2599999999999999E-2</v>
      </c>
      <c r="J193" s="2">
        <f>INDEX('Data sources'!R:R,MATCH(G193,'Data sources'!A:A,0),1)</f>
        <v>1</v>
      </c>
      <c r="K193" s="2">
        <f>INDEX('Data sources'!S:S,MATCH(G193,'Data sources'!A:A,0),1)</f>
        <v>0</v>
      </c>
      <c r="L193" t="str">
        <f t="shared" si="2"/>
        <v>Combustion of fuels_Manufacture of other electronic and electric wires and cables</v>
      </c>
      <c r="M193">
        <f>INDEX('Data sources'!U:U,MATCH($G193,'Data sources'!$A:$A,0),1)</f>
        <v>0.78416348147957027</v>
      </c>
      <c r="N193">
        <f>INDEX('Data sources'!V:V,MATCH($G193,'Data sources'!$A:$A,0),1)</f>
        <v>0.72535139859924458</v>
      </c>
    </row>
    <row r="194" spans="1:14" x14ac:dyDescent="0.2">
      <c r="A194" t="s">
        <v>10</v>
      </c>
      <c r="B194" t="s">
        <v>181</v>
      </c>
      <c r="C194" t="s">
        <v>113</v>
      </c>
      <c r="D194" t="s">
        <v>403</v>
      </c>
      <c r="E194" t="s">
        <v>15</v>
      </c>
      <c r="F194">
        <v>1</v>
      </c>
      <c r="G194" s="30" t="s">
        <v>325</v>
      </c>
      <c r="H194" s="2">
        <f>INDEX('Data sources'!G:G,MATCH(G194,'Data sources'!A:A,0),1)</f>
        <v>5.79E-2</v>
      </c>
      <c r="I194" s="2">
        <f>INDEX('Data sources'!J:J,MATCH(G194,'Data sources'!A:A,0),1)</f>
        <v>4.2599999999999999E-2</v>
      </c>
      <c r="J194" s="2">
        <f>INDEX('Data sources'!R:R,MATCH(G194,'Data sources'!A:A,0),1)</f>
        <v>1</v>
      </c>
      <c r="K194" s="2">
        <f>INDEX('Data sources'!S:S,MATCH(G194,'Data sources'!A:A,0),1)</f>
        <v>0</v>
      </c>
      <c r="L194" t="str">
        <f t="shared" ref="L194:L257" si="3">IF(B194="",A194,A194&amp;"_"&amp;B194)</f>
        <v>Combustion of fuels_Manufacture of other food products</v>
      </c>
      <c r="M194">
        <f>INDEX('Data sources'!U:U,MATCH($G194,'Data sources'!$A:$A,0),1)</f>
        <v>0.78416348147957027</v>
      </c>
      <c r="N194">
        <f>INDEX('Data sources'!V:V,MATCH($G194,'Data sources'!$A:$A,0),1)</f>
        <v>0.72535139859924458</v>
      </c>
    </row>
    <row r="195" spans="1:14" x14ac:dyDescent="0.2">
      <c r="A195" t="s">
        <v>10</v>
      </c>
      <c r="B195" t="s">
        <v>182</v>
      </c>
      <c r="C195" t="s">
        <v>113</v>
      </c>
      <c r="D195" t="s">
        <v>403</v>
      </c>
      <c r="E195" t="s">
        <v>15</v>
      </c>
      <c r="F195">
        <v>11</v>
      </c>
      <c r="G195" s="30" t="s">
        <v>325</v>
      </c>
      <c r="H195" s="2">
        <f>INDEX('Data sources'!G:G,MATCH(G195,'Data sources'!A:A,0),1)</f>
        <v>5.79E-2</v>
      </c>
      <c r="I195" s="2">
        <f>INDEX('Data sources'!J:J,MATCH(G195,'Data sources'!A:A,0),1)</f>
        <v>4.2599999999999999E-2</v>
      </c>
      <c r="J195" s="2">
        <f>INDEX('Data sources'!R:R,MATCH(G195,'Data sources'!A:A,0),1)</f>
        <v>1</v>
      </c>
      <c r="K195" s="2">
        <f>INDEX('Data sources'!S:S,MATCH(G195,'Data sources'!A:A,0),1)</f>
        <v>0</v>
      </c>
      <c r="L195" t="str">
        <f t="shared" si="3"/>
        <v>Combustion of fuels_Manufacture of other food products n.e.c.</v>
      </c>
      <c r="M195">
        <f>INDEX('Data sources'!U:U,MATCH($G195,'Data sources'!$A:$A,0),1)</f>
        <v>0.78416348147957027</v>
      </c>
      <c r="N195">
        <f>INDEX('Data sources'!V:V,MATCH($G195,'Data sources'!$A:$A,0),1)</f>
        <v>0.72535139859924458</v>
      </c>
    </row>
    <row r="196" spans="1:14" x14ac:dyDescent="0.2">
      <c r="A196" t="s">
        <v>10</v>
      </c>
      <c r="B196" t="s">
        <v>188</v>
      </c>
      <c r="C196" t="s">
        <v>42</v>
      </c>
      <c r="D196" t="s">
        <v>403</v>
      </c>
      <c r="E196" t="s">
        <v>15</v>
      </c>
      <c r="F196">
        <v>2</v>
      </c>
      <c r="G196" s="30" t="s">
        <v>325</v>
      </c>
      <c r="H196" s="2">
        <f>INDEX('Data sources'!G:G,MATCH(G196,'Data sources'!A:A,0),1)</f>
        <v>5.79E-2</v>
      </c>
      <c r="I196" s="2">
        <f>INDEX('Data sources'!J:J,MATCH(G196,'Data sources'!A:A,0),1)</f>
        <v>4.2599999999999999E-2</v>
      </c>
      <c r="J196" s="2">
        <f>INDEX('Data sources'!R:R,MATCH(G196,'Data sources'!A:A,0),1)</f>
        <v>1</v>
      </c>
      <c r="K196" s="2">
        <f>INDEX('Data sources'!S:S,MATCH(G196,'Data sources'!A:A,0),1)</f>
        <v>0</v>
      </c>
      <c r="L196" t="str">
        <f t="shared" si="3"/>
        <v>Combustion of fuels_Manufacture of other non-distilled fermented beverages</v>
      </c>
      <c r="M196">
        <f>INDEX('Data sources'!U:U,MATCH($G196,'Data sources'!$A:$A,0),1)</f>
        <v>0.78416348147957027</v>
      </c>
      <c r="N196">
        <f>INDEX('Data sources'!V:V,MATCH($G196,'Data sources'!$A:$A,0),1)</f>
        <v>0.72535139859924458</v>
      </c>
    </row>
    <row r="197" spans="1:14" x14ac:dyDescent="0.2">
      <c r="A197" t="s">
        <v>10</v>
      </c>
      <c r="B197" t="s">
        <v>196</v>
      </c>
      <c r="C197" t="s">
        <v>99</v>
      </c>
      <c r="D197" t="s">
        <v>403</v>
      </c>
      <c r="E197" t="s">
        <v>15</v>
      </c>
      <c r="F197">
        <v>8</v>
      </c>
      <c r="G197" s="30" t="s">
        <v>325</v>
      </c>
      <c r="H197" s="2">
        <f>INDEX('Data sources'!G:G,MATCH(G197,'Data sources'!A:A,0),1)</f>
        <v>5.79E-2</v>
      </c>
      <c r="I197" s="2">
        <f>INDEX('Data sources'!J:J,MATCH(G197,'Data sources'!A:A,0),1)</f>
        <v>4.2599999999999999E-2</v>
      </c>
      <c r="J197" s="2">
        <f>INDEX('Data sources'!R:R,MATCH(G197,'Data sources'!A:A,0),1)</f>
        <v>1</v>
      </c>
      <c r="K197" s="2">
        <f>INDEX('Data sources'!S:S,MATCH(G197,'Data sources'!A:A,0),1)</f>
        <v>0</v>
      </c>
      <c r="L197" t="str">
        <f t="shared" si="3"/>
        <v>Combustion of fuels_Manufacture of other parts and accessories for motor vehicles</v>
      </c>
      <c r="M197">
        <f>INDEX('Data sources'!U:U,MATCH($G197,'Data sources'!$A:$A,0),1)</f>
        <v>0.78416348147957027</v>
      </c>
      <c r="N197">
        <f>INDEX('Data sources'!V:V,MATCH($G197,'Data sources'!$A:$A,0),1)</f>
        <v>0.72535139859924458</v>
      </c>
    </row>
    <row r="198" spans="1:14" x14ac:dyDescent="0.2">
      <c r="A198" t="s">
        <v>10</v>
      </c>
      <c r="B198" t="s">
        <v>200</v>
      </c>
      <c r="C198" t="s">
        <v>89</v>
      </c>
      <c r="D198" t="s">
        <v>403</v>
      </c>
      <c r="E198" t="s">
        <v>15</v>
      </c>
      <c r="F198">
        <v>1</v>
      </c>
      <c r="G198" s="30" t="s">
        <v>325</v>
      </c>
      <c r="H198" s="2">
        <f>INDEX('Data sources'!G:G,MATCH(G198,'Data sources'!A:A,0),1)</f>
        <v>5.79E-2</v>
      </c>
      <c r="I198" s="2">
        <f>INDEX('Data sources'!J:J,MATCH(G198,'Data sources'!A:A,0),1)</f>
        <v>4.2599999999999999E-2</v>
      </c>
      <c r="J198" s="2">
        <f>INDEX('Data sources'!R:R,MATCH(G198,'Data sources'!A:A,0),1)</f>
        <v>1</v>
      </c>
      <c r="K198" s="2">
        <f>INDEX('Data sources'!S:S,MATCH(G198,'Data sources'!A:A,0),1)</f>
        <v>0</v>
      </c>
      <c r="L198" t="str">
        <f t="shared" si="3"/>
        <v>Combustion of fuels_Manufacture of other products of wood</v>
      </c>
      <c r="M198">
        <f>INDEX('Data sources'!U:U,MATCH($G198,'Data sources'!$A:$A,0),1)</f>
        <v>0.78416348147957027</v>
      </c>
      <c r="N198">
        <f>INDEX('Data sources'!V:V,MATCH($G198,'Data sources'!$A:$A,0),1)</f>
        <v>0.72535139859924458</v>
      </c>
    </row>
    <row r="199" spans="1:14" x14ac:dyDescent="0.2">
      <c r="A199" t="s">
        <v>10</v>
      </c>
      <c r="B199" t="s">
        <v>201</v>
      </c>
      <c r="C199" t="s">
        <v>86</v>
      </c>
      <c r="D199" t="s">
        <v>403</v>
      </c>
      <c r="E199" t="s">
        <v>15</v>
      </c>
      <c r="F199">
        <v>1</v>
      </c>
      <c r="G199" s="30" t="s">
        <v>325</v>
      </c>
      <c r="H199" s="2">
        <f>INDEX('Data sources'!G:G,MATCH(G199,'Data sources'!A:A,0),1)</f>
        <v>5.79E-2</v>
      </c>
      <c r="I199" s="2">
        <f>INDEX('Data sources'!J:J,MATCH(G199,'Data sources'!A:A,0),1)</f>
        <v>4.2599999999999999E-2</v>
      </c>
      <c r="J199" s="2">
        <f>INDEX('Data sources'!R:R,MATCH(G199,'Data sources'!A:A,0),1)</f>
        <v>1</v>
      </c>
      <c r="K199" s="2">
        <f>INDEX('Data sources'!S:S,MATCH(G199,'Data sources'!A:A,0),1)</f>
        <v>0</v>
      </c>
      <c r="L199" t="str">
        <f t="shared" si="3"/>
        <v>Combustion of fuels_Manufacture of other pumps and compressors</v>
      </c>
      <c r="M199">
        <f>INDEX('Data sources'!U:U,MATCH($G199,'Data sources'!$A:$A,0),1)</f>
        <v>0.78416348147957027</v>
      </c>
      <c r="N199">
        <f>INDEX('Data sources'!V:V,MATCH($G199,'Data sources'!$A:$A,0),1)</f>
        <v>0.72535139859924458</v>
      </c>
    </row>
    <row r="200" spans="1:14" x14ac:dyDescent="0.2">
      <c r="A200" t="s">
        <v>10</v>
      </c>
      <c r="B200" t="s">
        <v>204</v>
      </c>
      <c r="C200" t="s">
        <v>86</v>
      </c>
      <c r="D200" t="s">
        <v>403</v>
      </c>
      <c r="E200" t="s">
        <v>15</v>
      </c>
      <c r="F200">
        <v>1</v>
      </c>
      <c r="G200" s="30" t="s">
        <v>325</v>
      </c>
      <c r="H200" s="2">
        <f>INDEX('Data sources'!G:G,MATCH(G200,'Data sources'!A:A,0),1)</f>
        <v>5.79E-2</v>
      </c>
      <c r="I200" s="2">
        <f>INDEX('Data sources'!J:J,MATCH(G200,'Data sources'!A:A,0),1)</f>
        <v>4.2599999999999999E-2</v>
      </c>
      <c r="J200" s="2">
        <f>INDEX('Data sources'!R:R,MATCH(G200,'Data sources'!A:A,0),1)</f>
        <v>1</v>
      </c>
      <c r="K200" s="2">
        <f>INDEX('Data sources'!S:S,MATCH(G200,'Data sources'!A:A,0),1)</f>
        <v>0</v>
      </c>
      <c r="L200" t="str">
        <f t="shared" si="3"/>
        <v>Combustion of fuels_Manufacture of other taps and valves</v>
      </c>
      <c r="M200">
        <f>INDEX('Data sources'!U:U,MATCH($G200,'Data sources'!$A:$A,0),1)</f>
        <v>0.78416348147957027</v>
      </c>
      <c r="N200">
        <f>INDEX('Data sources'!V:V,MATCH($G200,'Data sources'!$A:$A,0),1)</f>
        <v>0.72535139859924458</v>
      </c>
    </row>
    <row r="201" spans="1:14" x14ac:dyDescent="0.2">
      <c r="A201" t="s">
        <v>10</v>
      </c>
      <c r="B201" t="s">
        <v>206</v>
      </c>
      <c r="C201" t="s">
        <v>62</v>
      </c>
      <c r="D201" t="s">
        <v>403</v>
      </c>
      <c r="E201" t="s">
        <v>15</v>
      </c>
      <c r="F201">
        <v>1</v>
      </c>
      <c r="G201" s="30" t="s">
        <v>325</v>
      </c>
      <c r="H201" s="2">
        <f>INDEX('Data sources'!G:G,MATCH(G201,'Data sources'!A:A,0),1)</f>
        <v>5.79E-2</v>
      </c>
      <c r="I201" s="2">
        <f>INDEX('Data sources'!J:J,MATCH(G201,'Data sources'!A:A,0),1)</f>
        <v>4.2599999999999999E-2</v>
      </c>
      <c r="J201" s="2">
        <f>INDEX('Data sources'!R:R,MATCH(G201,'Data sources'!A:A,0),1)</f>
        <v>1</v>
      </c>
      <c r="K201" s="2">
        <f>INDEX('Data sources'!S:S,MATCH(G201,'Data sources'!A:A,0),1)</f>
        <v>0</v>
      </c>
      <c r="L201" t="str">
        <f t="shared" si="3"/>
        <v>Combustion of fuels_Manufacture of other textiles n.e.c.</v>
      </c>
      <c r="M201">
        <f>INDEX('Data sources'!U:U,MATCH($G201,'Data sources'!$A:$A,0),1)</f>
        <v>0.78416348147957027</v>
      </c>
      <c r="N201">
        <f>INDEX('Data sources'!V:V,MATCH($G201,'Data sources'!$A:$A,0),1)</f>
        <v>0.72535139859924458</v>
      </c>
    </row>
    <row r="202" spans="1:14" x14ac:dyDescent="0.2">
      <c r="A202" t="s">
        <v>10</v>
      </c>
      <c r="B202" t="s">
        <v>217</v>
      </c>
      <c r="C202" t="s">
        <v>113</v>
      </c>
      <c r="D202" t="s">
        <v>403</v>
      </c>
      <c r="E202" t="s">
        <v>15</v>
      </c>
      <c r="F202">
        <v>23</v>
      </c>
      <c r="G202" s="30" t="s">
        <v>325</v>
      </c>
      <c r="H202" s="2">
        <f>INDEX('Data sources'!G:G,MATCH(G202,'Data sources'!A:A,0),1)</f>
        <v>5.79E-2</v>
      </c>
      <c r="I202" s="2">
        <f>INDEX('Data sources'!J:J,MATCH(G202,'Data sources'!A:A,0),1)</f>
        <v>4.2599999999999999E-2</v>
      </c>
      <c r="J202" s="2">
        <f>INDEX('Data sources'!R:R,MATCH(G202,'Data sources'!A:A,0),1)</f>
        <v>1</v>
      </c>
      <c r="K202" s="2">
        <f>INDEX('Data sources'!S:S,MATCH(G202,'Data sources'!A:A,0),1)</f>
        <v>0</v>
      </c>
      <c r="L202" t="str">
        <f t="shared" si="3"/>
        <v>Combustion of fuels_Manufacture of prepared feeds for farm animals</v>
      </c>
      <c r="M202">
        <f>INDEX('Data sources'!U:U,MATCH($G202,'Data sources'!$A:$A,0),1)</f>
        <v>0.78416348147957027</v>
      </c>
      <c r="N202">
        <f>INDEX('Data sources'!V:V,MATCH($G202,'Data sources'!$A:$A,0),1)</f>
        <v>0.72535139859924458</v>
      </c>
    </row>
    <row r="203" spans="1:14" x14ac:dyDescent="0.2">
      <c r="A203" t="s">
        <v>10</v>
      </c>
      <c r="B203" t="s">
        <v>218</v>
      </c>
      <c r="C203" t="s">
        <v>113</v>
      </c>
      <c r="D203" t="s">
        <v>403</v>
      </c>
      <c r="E203" t="s">
        <v>15</v>
      </c>
      <c r="F203">
        <v>4</v>
      </c>
      <c r="G203" s="30" t="s">
        <v>325</v>
      </c>
      <c r="H203" s="2">
        <f>INDEX('Data sources'!G:G,MATCH(G203,'Data sources'!A:A,0),1)</f>
        <v>5.79E-2</v>
      </c>
      <c r="I203" s="2">
        <f>INDEX('Data sources'!J:J,MATCH(G203,'Data sources'!A:A,0),1)</f>
        <v>4.2599999999999999E-2</v>
      </c>
      <c r="J203" s="2">
        <f>INDEX('Data sources'!R:R,MATCH(G203,'Data sources'!A:A,0),1)</f>
        <v>1</v>
      </c>
      <c r="K203" s="2">
        <f>INDEX('Data sources'!S:S,MATCH(G203,'Data sources'!A:A,0),1)</f>
        <v>0</v>
      </c>
      <c r="L203" t="str">
        <f t="shared" si="3"/>
        <v>Combustion of fuels_Manufacture of prepared meals and dishes</v>
      </c>
      <c r="M203">
        <f>INDEX('Data sources'!U:U,MATCH($G203,'Data sources'!$A:$A,0),1)</f>
        <v>0.78416348147957027</v>
      </c>
      <c r="N203">
        <f>INDEX('Data sources'!V:V,MATCH($G203,'Data sources'!$A:$A,0),1)</f>
        <v>0.72535139859924458</v>
      </c>
    </row>
    <row r="204" spans="1:14" x14ac:dyDescent="0.2">
      <c r="A204" t="s">
        <v>10</v>
      </c>
      <c r="B204" t="s">
        <v>219</v>
      </c>
      <c r="C204" t="s">
        <v>113</v>
      </c>
      <c r="D204" t="s">
        <v>403</v>
      </c>
      <c r="E204" t="s">
        <v>15</v>
      </c>
      <c r="F204">
        <v>6</v>
      </c>
      <c r="G204" s="30" t="s">
        <v>325</v>
      </c>
      <c r="H204" s="2">
        <f>INDEX('Data sources'!G:G,MATCH(G204,'Data sources'!A:A,0),1)</f>
        <v>5.79E-2</v>
      </c>
      <c r="I204" s="2">
        <f>INDEX('Data sources'!J:J,MATCH(G204,'Data sources'!A:A,0),1)</f>
        <v>4.2599999999999999E-2</v>
      </c>
      <c r="J204" s="2">
        <f>INDEX('Data sources'!R:R,MATCH(G204,'Data sources'!A:A,0),1)</f>
        <v>1</v>
      </c>
      <c r="K204" s="2">
        <f>INDEX('Data sources'!S:S,MATCH(G204,'Data sources'!A:A,0),1)</f>
        <v>0</v>
      </c>
      <c r="L204" t="str">
        <f t="shared" si="3"/>
        <v>Combustion of fuels_Manufacture of prepared pet foods</v>
      </c>
      <c r="M204">
        <f>INDEX('Data sources'!U:U,MATCH($G204,'Data sources'!$A:$A,0),1)</f>
        <v>0.78416348147957027</v>
      </c>
      <c r="N204">
        <f>INDEX('Data sources'!V:V,MATCH($G204,'Data sources'!$A:$A,0),1)</f>
        <v>0.72535139859924458</v>
      </c>
    </row>
    <row r="205" spans="1:14" x14ac:dyDescent="0.2">
      <c r="A205" t="s">
        <v>10</v>
      </c>
      <c r="B205" t="s">
        <v>222</v>
      </c>
      <c r="C205" t="s">
        <v>14</v>
      </c>
      <c r="D205" t="s">
        <v>403</v>
      </c>
      <c r="E205" t="s">
        <v>15</v>
      </c>
      <c r="F205">
        <v>1</v>
      </c>
      <c r="G205" s="30" t="s">
        <v>325</v>
      </c>
      <c r="H205" s="2">
        <f>INDEX('Data sources'!G:G,MATCH(G205,'Data sources'!A:A,0),1)</f>
        <v>5.79E-2</v>
      </c>
      <c r="I205" s="2">
        <f>INDEX('Data sources'!J:J,MATCH(G205,'Data sources'!A:A,0),1)</f>
        <v>4.2599999999999999E-2</v>
      </c>
      <c r="J205" s="2">
        <f>INDEX('Data sources'!R:R,MATCH(G205,'Data sources'!A:A,0),1)</f>
        <v>1</v>
      </c>
      <c r="K205" s="2">
        <f>INDEX('Data sources'!S:S,MATCH(G205,'Data sources'!A:A,0),1)</f>
        <v>0</v>
      </c>
      <c r="L205" t="str">
        <f t="shared" si="3"/>
        <v>Combustion of fuels_Manufacture of railway locomotives and rolling stock</v>
      </c>
      <c r="M205">
        <f>INDEX('Data sources'!U:U,MATCH($G205,'Data sources'!$A:$A,0),1)</f>
        <v>0.78416348147957027</v>
      </c>
      <c r="N205">
        <f>INDEX('Data sources'!V:V,MATCH($G205,'Data sources'!$A:$A,0),1)</f>
        <v>0.72535139859924458</v>
      </c>
    </row>
    <row r="206" spans="1:14" x14ac:dyDescent="0.2">
      <c r="A206" t="s">
        <v>10</v>
      </c>
      <c r="B206" t="s">
        <v>227</v>
      </c>
      <c r="C206" t="s">
        <v>113</v>
      </c>
      <c r="D206" t="s">
        <v>403</v>
      </c>
      <c r="E206" t="s">
        <v>15</v>
      </c>
      <c r="F206">
        <v>2</v>
      </c>
      <c r="G206" s="30" t="s">
        <v>325</v>
      </c>
      <c r="H206" s="2">
        <f>INDEX('Data sources'!G:G,MATCH(G206,'Data sources'!A:A,0),1)</f>
        <v>5.79E-2</v>
      </c>
      <c r="I206" s="2">
        <f>INDEX('Data sources'!J:J,MATCH(G206,'Data sources'!A:A,0),1)</f>
        <v>4.2599999999999999E-2</v>
      </c>
      <c r="J206" s="2">
        <f>INDEX('Data sources'!R:R,MATCH(G206,'Data sources'!A:A,0),1)</f>
        <v>1</v>
      </c>
      <c r="K206" s="2">
        <f>INDEX('Data sources'!S:S,MATCH(G206,'Data sources'!A:A,0),1)</f>
        <v>0</v>
      </c>
      <c r="L206" t="str">
        <f t="shared" si="3"/>
        <v>Combustion of fuels_Manufacture of rusks and biscuits</v>
      </c>
      <c r="M206">
        <f>INDEX('Data sources'!U:U,MATCH($G206,'Data sources'!$A:$A,0),1)</f>
        <v>0.78416348147957027</v>
      </c>
      <c r="N206">
        <f>INDEX('Data sources'!V:V,MATCH($G206,'Data sources'!$A:$A,0),1)</f>
        <v>0.72535139859924458</v>
      </c>
    </row>
    <row r="207" spans="1:14" x14ac:dyDescent="0.2">
      <c r="A207" t="s">
        <v>10</v>
      </c>
      <c r="B207" t="s">
        <v>229</v>
      </c>
      <c r="C207" t="s">
        <v>113</v>
      </c>
      <c r="D207" t="s">
        <v>403</v>
      </c>
      <c r="E207" t="s">
        <v>15</v>
      </c>
      <c r="F207">
        <v>38</v>
      </c>
      <c r="G207" s="30" t="s">
        <v>325</v>
      </c>
      <c r="H207" s="2">
        <f>INDEX('Data sources'!G:G,MATCH(G207,'Data sources'!A:A,0),1)</f>
        <v>5.79E-2</v>
      </c>
      <c r="I207" s="2">
        <f>INDEX('Data sources'!J:J,MATCH(G207,'Data sources'!A:A,0),1)</f>
        <v>4.2599999999999999E-2</v>
      </c>
      <c r="J207" s="2">
        <f>INDEX('Data sources'!R:R,MATCH(G207,'Data sources'!A:A,0),1)</f>
        <v>1</v>
      </c>
      <c r="K207" s="2">
        <f>INDEX('Data sources'!S:S,MATCH(G207,'Data sources'!A:A,0),1)</f>
        <v>0</v>
      </c>
      <c r="L207" t="str">
        <f t="shared" si="3"/>
        <v>Combustion of fuels_Manufacture of starches and starch products</v>
      </c>
      <c r="M207">
        <f>INDEX('Data sources'!U:U,MATCH($G207,'Data sources'!$A:$A,0),1)</f>
        <v>0.78416348147957027</v>
      </c>
      <c r="N207">
        <f>INDEX('Data sources'!V:V,MATCH($G207,'Data sources'!$A:$A,0),1)</f>
        <v>0.72535139859924458</v>
      </c>
    </row>
    <row r="208" spans="1:14" x14ac:dyDescent="0.2">
      <c r="A208" t="s">
        <v>10</v>
      </c>
      <c r="B208" t="s">
        <v>230</v>
      </c>
      <c r="C208" t="s">
        <v>113</v>
      </c>
      <c r="D208" t="s">
        <v>403</v>
      </c>
      <c r="E208" t="s">
        <v>15</v>
      </c>
      <c r="F208">
        <v>63</v>
      </c>
      <c r="G208" s="30" t="s">
        <v>325</v>
      </c>
      <c r="H208" s="2">
        <f>INDEX('Data sources'!G:G,MATCH(G208,'Data sources'!A:A,0),1)</f>
        <v>5.79E-2</v>
      </c>
      <c r="I208" s="2">
        <f>INDEX('Data sources'!J:J,MATCH(G208,'Data sources'!A:A,0),1)</f>
        <v>4.2599999999999999E-2</v>
      </c>
      <c r="J208" s="2">
        <f>INDEX('Data sources'!R:R,MATCH(G208,'Data sources'!A:A,0),1)</f>
        <v>1</v>
      </c>
      <c r="K208" s="2">
        <f>INDEX('Data sources'!S:S,MATCH(G208,'Data sources'!A:A,0),1)</f>
        <v>0</v>
      </c>
      <c r="L208" t="str">
        <f t="shared" si="3"/>
        <v>Combustion of fuels_Manufacture of sugar</v>
      </c>
      <c r="M208">
        <f>INDEX('Data sources'!U:U,MATCH($G208,'Data sources'!$A:$A,0),1)</f>
        <v>0.78416348147957027</v>
      </c>
      <c r="N208">
        <f>INDEX('Data sources'!V:V,MATCH($G208,'Data sources'!$A:$A,0),1)</f>
        <v>0.72535139859924458</v>
      </c>
    </row>
    <row r="209" spans="1:14" x14ac:dyDescent="0.2">
      <c r="A209" t="s">
        <v>10</v>
      </c>
      <c r="B209" t="s">
        <v>232</v>
      </c>
      <c r="C209" t="s">
        <v>65</v>
      </c>
      <c r="D209" t="s">
        <v>403</v>
      </c>
      <c r="E209" t="s">
        <v>15</v>
      </c>
      <c r="F209">
        <v>1</v>
      </c>
      <c r="G209" s="30" t="s">
        <v>325</v>
      </c>
      <c r="H209" s="2">
        <f>INDEX('Data sources'!G:G,MATCH(G209,'Data sources'!A:A,0),1)</f>
        <v>5.79E-2</v>
      </c>
      <c r="I209" s="2">
        <f>INDEX('Data sources'!J:J,MATCH(G209,'Data sources'!A:A,0),1)</f>
        <v>4.2599999999999999E-2</v>
      </c>
      <c r="J209" s="2">
        <f>INDEX('Data sources'!R:R,MATCH(G209,'Data sources'!A:A,0),1)</f>
        <v>1</v>
      </c>
      <c r="K209" s="2">
        <f>INDEX('Data sources'!S:S,MATCH(G209,'Data sources'!A:A,0),1)</f>
        <v>0</v>
      </c>
      <c r="L209" t="str">
        <f t="shared" si="3"/>
        <v>Combustion of fuels_Manufacture of tanks, reservoirs and containers of metal</v>
      </c>
      <c r="M209">
        <f>INDEX('Data sources'!U:U,MATCH($G209,'Data sources'!$A:$A,0),1)</f>
        <v>0.78416348147957027</v>
      </c>
      <c r="N209">
        <f>INDEX('Data sources'!V:V,MATCH($G209,'Data sources'!$A:$A,0),1)</f>
        <v>0.72535139859924458</v>
      </c>
    </row>
    <row r="210" spans="1:14" x14ac:dyDescent="0.2">
      <c r="A210" t="s">
        <v>10</v>
      </c>
      <c r="B210" t="s">
        <v>233</v>
      </c>
      <c r="C210" t="s">
        <v>234</v>
      </c>
      <c r="D210" t="s">
        <v>403</v>
      </c>
      <c r="E210" t="s">
        <v>15</v>
      </c>
      <c r="F210">
        <v>3</v>
      </c>
      <c r="G210" s="30" t="s">
        <v>325</v>
      </c>
      <c r="H210" s="2">
        <f>INDEX('Data sources'!G:G,MATCH(G210,'Data sources'!A:A,0),1)</f>
        <v>5.79E-2</v>
      </c>
      <c r="I210" s="2">
        <f>INDEX('Data sources'!J:J,MATCH(G210,'Data sources'!A:A,0),1)</f>
        <v>4.2599999999999999E-2</v>
      </c>
      <c r="J210" s="2">
        <f>INDEX('Data sources'!R:R,MATCH(G210,'Data sources'!A:A,0),1)</f>
        <v>1</v>
      </c>
      <c r="K210" s="2">
        <f>INDEX('Data sources'!S:S,MATCH(G210,'Data sources'!A:A,0),1)</f>
        <v>0</v>
      </c>
      <c r="L210" t="str">
        <f t="shared" si="3"/>
        <v>Combustion of fuels_Manufacture of tobacco products</v>
      </c>
      <c r="M210">
        <f>INDEX('Data sources'!U:U,MATCH($G210,'Data sources'!$A:$A,0),1)</f>
        <v>0.78416348147957027</v>
      </c>
      <c r="N210">
        <f>INDEX('Data sources'!V:V,MATCH($G210,'Data sources'!$A:$A,0),1)</f>
        <v>0.72535139859924458</v>
      </c>
    </row>
    <row r="211" spans="1:14" x14ac:dyDescent="0.2">
      <c r="A211" t="s">
        <v>10</v>
      </c>
      <c r="B211" t="s">
        <v>238</v>
      </c>
      <c r="C211" t="s">
        <v>89</v>
      </c>
      <c r="D211" t="s">
        <v>403</v>
      </c>
      <c r="E211" t="s">
        <v>15</v>
      </c>
      <c r="F211">
        <v>93</v>
      </c>
      <c r="G211" s="30" t="s">
        <v>325</v>
      </c>
      <c r="H211" s="2">
        <f>INDEX('Data sources'!G:G,MATCH(G211,'Data sources'!A:A,0),1)</f>
        <v>5.79E-2</v>
      </c>
      <c r="I211" s="2">
        <f>INDEX('Data sources'!J:J,MATCH(G211,'Data sources'!A:A,0),1)</f>
        <v>4.2599999999999999E-2</v>
      </c>
      <c r="J211" s="2">
        <f>INDEX('Data sources'!R:R,MATCH(G211,'Data sources'!A:A,0),1)</f>
        <v>1</v>
      </c>
      <c r="K211" s="2">
        <f>INDEX('Data sources'!S:S,MATCH(G211,'Data sources'!A:A,0),1)</f>
        <v>0</v>
      </c>
      <c r="L211" t="str">
        <f t="shared" si="3"/>
        <v>Combustion of fuels_Manufacture of veneer sheets and wood-based panels</v>
      </c>
      <c r="M211">
        <f>INDEX('Data sources'!U:U,MATCH($G211,'Data sources'!$A:$A,0),1)</f>
        <v>0.78416348147957027</v>
      </c>
      <c r="N211">
        <f>INDEX('Data sources'!V:V,MATCH($G211,'Data sources'!$A:$A,0),1)</f>
        <v>0.72535139859924458</v>
      </c>
    </row>
    <row r="212" spans="1:14" x14ac:dyDescent="0.2">
      <c r="A212" t="s">
        <v>10</v>
      </c>
      <c r="B212" t="s">
        <v>240</v>
      </c>
      <c r="C212" t="s">
        <v>65</v>
      </c>
      <c r="D212" t="s">
        <v>403</v>
      </c>
      <c r="E212" t="s">
        <v>15</v>
      </c>
      <c r="F212">
        <v>2</v>
      </c>
      <c r="G212" s="30" t="s">
        <v>325</v>
      </c>
      <c r="H212" s="2">
        <f>INDEX('Data sources'!G:G,MATCH(G212,'Data sources'!A:A,0),1)</f>
        <v>5.79E-2</v>
      </c>
      <c r="I212" s="2">
        <f>INDEX('Data sources'!J:J,MATCH(G212,'Data sources'!A:A,0),1)</f>
        <v>4.2599999999999999E-2</v>
      </c>
      <c r="J212" s="2">
        <f>INDEX('Data sources'!R:R,MATCH(G212,'Data sources'!A:A,0),1)</f>
        <v>1</v>
      </c>
      <c r="K212" s="2">
        <f>INDEX('Data sources'!S:S,MATCH(G212,'Data sources'!A:A,0),1)</f>
        <v>0</v>
      </c>
      <c r="L212" t="str">
        <f t="shared" si="3"/>
        <v>Combustion of fuels_Manufacture of weapons and ammunition</v>
      </c>
      <c r="M212">
        <f>INDEX('Data sources'!U:U,MATCH($G212,'Data sources'!$A:$A,0),1)</f>
        <v>0.78416348147957027</v>
      </c>
      <c r="N212">
        <f>INDEX('Data sources'!V:V,MATCH($G212,'Data sources'!$A:$A,0),1)</f>
        <v>0.72535139859924458</v>
      </c>
    </row>
    <row r="213" spans="1:14" x14ac:dyDescent="0.2">
      <c r="A213" t="s">
        <v>10</v>
      </c>
      <c r="B213" t="s">
        <v>248</v>
      </c>
      <c r="C213" t="s">
        <v>60</v>
      </c>
      <c r="D213" t="s">
        <v>403</v>
      </c>
      <c r="E213" t="s">
        <v>15</v>
      </c>
      <c r="F213">
        <v>2</v>
      </c>
      <c r="G213" s="30" t="s">
        <v>325</v>
      </c>
      <c r="H213" s="2">
        <f>INDEX('Data sources'!G:G,MATCH(G213,'Data sources'!A:A,0),1)</f>
        <v>5.79E-2</v>
      </c>
      <c r="I213" s="2">
        <f>INDEX('Data sources'!J:J,MATCH(G213,'Data sources'!A:A,0),1)</f>
        <v>4.2599999999999999E-2</v>
      </c>
      <c r="J213" s="2">
        <f>INDEX('Data sources'!R:R,MATCH(G213,'Data sources'!A:A,0),1)</f>
        <v>1</v>
      </c>
      <c r="K213" s="2">
        <f>INDEX('Data sources'!S:S,MATCH(G213,'Data sources'!A:A,0),1)</f>
        <v>0</v>
      </c>
      <c r="L213" t="str">
        <f t="shared" si="3"/>
        <v>Combustion of fuels_Monetary intermediation</v>
      </c>
      <c r="M213">
        <f>INDEX('Data sources'!U:U,MATCH($G213,'Data sources'!$A:$A,0),1)</f>
        <v>0.78416348147957027</v>
      </c>
      <c r="N213">
        <f>INDEX('Data sources'!V:V,MATCH($G213,'Data sources'!$A:$A,0),1)</f>
        <v>0.72535139859924458</v>
      </c>
    </row>
    <row r="214" spans="1:14" x14ac:dyDescent="0.2">
      <c r="A214" t="s">
        <v>10</v>
      </c>
      <c r="B214" t="s">
        <v>249</v>
      </c>
      <c r="C214" t="s">
        <v>113</v>
      </c>
      <c r="D214" t="s">
        <v>403</v>
      </c>
      <c r="E214" t="s">
        <v>15</v>
      </c>
      <c r="F214">
        <v>85</v>
      </c>
      <c r="G214" s="30" t="s">
        <v>325</v>
      </c>
      <c r="H214" s="2">
        <f>INDEX('Data sources'!G:G,MATCH(G214,'Data sources'!A:A,0),1)</f>
        <v>5.79E-2</v>
      </c>
      <c r="I214" s="2">
        <f>INDEX('Data sources'!J:J,MATCH(G214,'Data sources'!A:A,0),1)</f>
        <v>4.2599999999999999E-2</v>
      </c>
      <c r="J214" s="2">
        <f>INDEX('Data sources'!R:R,MATCH(G214,'Data sources'!A:A,0),1)</f>
        <v>1</v>
      </c>
      <c r="K214" s="2">
        <f>INDEX('Data sources'!S:S,MATCH(G214,'Data sources'!A:A,0),1)</f>
        <v>0</v>
      </c>
      <c r="L214" t="str">
        <f t="shared" si="3"/>
        <v>Combustion of fuels_Operation of dairies and cheese making</v>
      </c>
      <c r="M214">
        <f>INDEX('Data sources'!U:U,MATCH($G214,'Data sources'!$A:$A,0),1)</f>
        <v>0.78416348147957027</v>
      </c>
      <c r="N214">
        <f>INDEX('Data sources'!V:V,MATCH($G214,'Data sources'!$A:$A,0),1)</f>
        <v>0.72535139859924458</v>
      </c>
    </row>
    <row r="215" spans="1:14" x14ac:dyDescent="0.2">
      <c r="A215" t="s">
        <v>10</v>
      </c>
      <c r="B215" t="s">
        <v>251</v>
      </c>
      <c r="C215" t="s">
        <v>252</v>
      </c>
      <c r="D215" t="s">
        <v>403</v>
      </c>
      <c r="E215" t="s">
        <v>15</v>
      </c>
      <c r="F215">
        <v>2</v>
      </c>
      <c r="G215" s="30" t="s">
        <v>325</v>
      </c>
      <c r="H215" s="2">
        <f>INDEX('Data sources'!G:G,MATCH(G215,'Data sources'!A:A,0),1)</f>
        <v>5.79E-2</v>
      </c>
      <c r="I215" s="2">
        <f>INDEX('Data sources'!J:J,MATCH(G215,'Data sources'!A:A,0),1)</f>
        <v>4.2599999999999999E-2</v>
      </c>
      <c r="J215" s="2">
        <f>INDEX('Data sources'!R:R,MATCH(G215,'Data sources'!A:A,0),1)</f>
        <v>1</v>
      </c>
      <c r="K215" s="2">
        <f>INDEX('Data sources'!S:S,MATCH(G215,'Data sources'!A:A,0),1)</f>
        <v>0</v>
      </c>
      <c r="L215" t="str">
        <f t="shared" si="3"/>
        <v>Combustion of fuels_Other business support service activities n.e.c.</v>
      </c>
      <c r="M215">
        <f>INDEX('Data sources'!U:U,MATCH($G215,'Data sources'!$A:$A,0),1)</f>
        <v>0.78416348147957027</v>
      </c>
      <c r="N215">
        <f>INDEX('Data sources'!V:V,MATCH($G215,'Data sources'!$A:$A,0),1)</f>
        <v>0.72535139859924458</v>
      </c>
    </row>
    <row r="216" spans="1:14" x14ac:dyDescent="0.2">
      <c r="A216" t="s">
        <v>10</v>
      </c>
      <c r="B216" t="s">
        <v>257</v>
      </c>
      <c r="C216" t="s">
        <v>258</v>
      </c>
      <c r="D216" t="s">
        <v>403</v>
      </c>
      <c r="E216" t="s">
        <v>15</v>
      </c>
      <c r="F216">
        <v>2</v>
      </c>
      <c r="G216" s="30" t="s">
        <v>325</v>
      </c>
      <c r="H216" s="2">
        <f>INDEX('Data sources'!G:G,MATCH(G216,'Data sources'!A:A,0),1)</f>
        <v>5.79E-2</v>
      </c>
      <c r="I216" s="2">
        <f>INDEX('Data sources'!J:J,MATCH(G216,'Data sources'!A:A,0),1)</f>
        <v>4.2599999999999999E-2</v>
      </c>
      <c r="J216" s="2">
        <f>INDEX('Data sources'!R:R,MATCH(G216,'Data sources'!A:A,0),1)</f>
        <v>1</v>
      </c>
      <c r="K216" s="2">
        <f>INDEX('Data sources'!S:S,MATCH(G216,'Data sources'!A:A,0),1)</f>
        <v>0</v>
      </c>
      <c r="L216" t="str">
        <f t="shared" si="3"/>
        <v>Combustion of fuels_Other printing</v>
      </c>
      <c r="M216">
        <f>INDEX('Data sources'!U:U,MATCH($G216,'Data sources'!$A:$A,0),1)</f>
        <v>0.78416348147957027</v>
      </c>
      <c r="N216">
        <f>INDEX('Data sources'!V:V,MATCH($G216,'Data sources'!$A:$A,0),1)</f>
        <v>0.72535139859924458</v>
      </c>
    </row>
    <row r="217" spans="1:14" x14ac:dyDescent="0.2">
      <c r="A217" t="s">
        <v>10</v>
      </c>
      <c r="B217" t="s">
        <v>259</v>
      </c>
      <c r="C217" t="s">
        <v>113</v>
      </c>
      <c r="D217" t="s">
        <v>403</v>
      </c>
      <c r="E217" t="s">
        <v>15</v>
      </c>
      <c r="F217">
        <v>59</v>
      </c>
      <c r="G217" s="30" t="s">
        <v>325</v>
      </c>
      <c r="H217" s="2">
        <f>INDEX('Data sources'!G:G,MATCH(G217,'Data sources'!A:A,0),1)</f>
        <v>5.79E-2</v>
      </c>
      <c r="I217" s="2">
        <f>INDEX('Data sources'!J:J,MATCH(G217,'Data sources'!A:A,0),1)</f>
        <v>4.2599999999999999E-2</v>
      </c>
      <c r="J217" s="2">
        <f>INDEX('Data sources'!R:R,MATCH(G217,'Data sources'!A:A,0),1)</f>
        <v>1</v>
      </c>
      <c r="K217" s="2">
        <f>INDEX('Data sources'!S:S,MATCH(G217,'Data sources'!A:A,0),1)</f>
        <v>0</v>
      </c>
      <c r="L217" t="str">
        <f t="shared" si="3"/>
        <v>Combustion of fuels_Other processing and preserving of fruit and vegetables</v>
      </c>
      <c r="M217">
        <f>INDEX('Data sources'!U:U,MATCH($G217,'Data sources'!$A:$A,0),1)</f>
        <v>0.78416348147957027</v>
      </c>
      <c r="N217">
        <f>INDEX('Data sources'!V:V,MATCH($G217,'Data sources'!$A:$A,0),1)</f>
        <v>0.72535139859924458</v>
      </c>
    </row>
    <row r="218" spans="1:14" x14ac:dyDescent="0.2">
      <c r="A218" t="s">
        <v>10</v>
      </c>
      <c r="B218" t="s">
        <v>260</v>
      </c>
      <c r="C218" t="s">
        <v>261</v>
      </c>
      <c r="D218" t="s">
        <v>403</v>
      </c>
      <c r="E218" t="s">
        <v>15</v>
      </c>
      <c r="F218">
        <v>3</v>
      </c>
      <c r="G218" s="30" t="s">
        <v>325</v>
      </c>
      <c r="H218" s="2">
        <f>INDEX('Data sources'!G:G,MATCH(G218,'Data sources'!A:A,0),1)</f>
        <v>5.79E-2</v>
      </c>
      <c r="I218" s="2">
        <f>INDEX('Data sources'!J:J,MATCH(G218,'Data sources'!A:A,0),1)</f>
        <v>4.2599999999999999E-2</v>
      </c>
      <c r="J218" s="2">
        <f>INDEX('Data sources'!R:R,MATCH(G218,'Data sources'!A:A,0),1)</f>
        <v>1</v>
      </c>
      <c r="K218" s="2">
        <f>INDEX('Data sources'!S:S,MATCH(G218,'Data sources'!A:A,0),1)</f>
        <v>0</v>
      </c>
      <c r="L218" t="str">
        <f t="shared" si="3"/>
        <v>Combustion of fuels_Other research and experimental development on natural sciences and engineering</v>
      </c>
      <c r="M218">
        <f>INDEX('Data sources'!U:U,MATCH($G218,'Data sources'!$A:$A,0),1)</f>
        <v>0.78416348147957027</v>
      </c>
      <c r="N218">
        <f>INDEX('Data sources'!V:V,MATCH($G218,'Data sources'!$A:$A,0),1)</f>
        <v>0.72535139859924458</v>
      </c>
    </row>
    <row r="219" spans="1:14" x14ac:dyDescent="0.2">
      <c r="A219" t="s">
        <v>10</v>
      </c>
      <c r="B219" t="s">
        <v>262</v>
      </c>
      <c r="C219" t="s">
        <v>263</v>
      </c>
      <c r="D219" t="s">
        <v>403</v>
      </c>
      <c r="E219" t="s">
        <v>15</v>
      </c>
      <c r="F219">
        <v>1</v>
      </c>
      <c r="G219" s="30" t="s">
        <v>325</v>
      </c>
      <c r="H219" s="2">
        <f>INDEX('Data sources'!G:G,MATCH(G219,'Data sources'!A:A,0),1)</f>
        <v>5.79E-2</v>
      </c>
      <c r="I219" s="2">
        <f>INDEX('Data sources'!J:J,MATCH(G219,'Data sources'!A:A,0),1)</f>
        <v>4.2599999999999999E-2</v>
      </c>
      <c r="J219" s="2">
        <f>INDEX('Data sources'!R:R,MATCH(G219,'Data sources'!A:A,0),1)</f>
        <v>1</v>
      </c>
      <c r="K219" s="2">
        <f>INDEX('Data sources'!S:S,MATCH(G219,'Data sources'!A:A,0),1)</f>
        <v>0</v>
      </c>
      <c r="L219" t="str">
        <f t="shared" si="3"/>
        <v>Combustion of fuels_Other specialised construction activities n.e.c.</v>
      </c>
      <c r="M219">
        <f>INDEX('Data sources'!U:U,MATCH($G219,'Data sources'!$A:$A,0),1)</f>
        <v>0.78416348147957027</v>
      </c>
      <c r="N219">
        <f>INDEX('Data sources'!V:V,MATCH($G219,'Data sources'!$A:$A,0),1)</f>
        <v>0.72535139859924458</v>
      </c>
    </row>
    <row r="220" spans="1:14" x14ac:dyDescent="0.2">
      <c r="A220" t="s">
        <v>10</v>
      </c>
      <c r="B220" t="s">
        <v>264</v>
      </c>
      <c r="C220" t="s">
        <v>265</v>
      </c>
      <c r="D220" t="s">
        <v>403</v>
      </c>
      <c r="E220" t="s">
        <v>15</v>
      </c>
      <c r="F220">
        <v>1</v>
      </c>
      <c r="G220" s="30" t="s">
        <v>325</v>
      </c>
      <c r="H220" s="2">
        <f>INDEX('Data sources'!G:G,MATCH(G220,'Data sources'!A:A,0),1)</f>
        <v>5.79E-2</v>
      </c>
      <c r="I220" s="2">
        <f>INDEX('Data sources'!J:J,MATCH(G220,'Data sources'!A:A,0),1)</f>
        <v>4.2599999999999999E-2</v>
      </c>
      <c r="J220" s="2">
        <f>INDEX('Data sources'!R:R,MATCH(G220,'Data sources'!A:A,0),1)</f>
        <v>1</v>
      </c>
      <c r="K220" s="2">
        <f>INDEX('Data sources'!S:S,MATCH(G220,'Data sources'!A:A,0),1)</f>
        <v>0</v>
      </c>
      <c r="L220" t="str">
        <f t="shared" si="3"/>
        <v>Combustion of fuels_Other telecommunications activities</v>
      </c>
      <c r="M220">
        <f>INDEX('Data sources'!U:U,MATCH($G220,'Data sources'!$A:$A,0),1)</f>
        <v>0.78416348147957027</v>
      </c>
      <c r="N220">
        <f>INDEX('Data sources'!V:V,MATCH($G220,'Data sources'!$A:$A,0),1)</f>
        <v>0.72535139859924458</v>
      </c>
    </row>
    <row r="221" spans="1:14" x14ac:dyDescent="0.2">
      <c r="A221" t="s">
        <v>10</v>
      </c>
      <c r="B221" t="s">
        <v>266</v>
      </c>
      <c r="C221" t="s">
        <v>267</v>
      </c>
      <c r="D221" t="s">
        <v>403</v>
      </c>
      <c r="E221" t="s">
        <v>15</v>
      </c>
      <c r="F221">
        <v>2</v>
      </c>
      <c r="G221" s="30" t="s">
        <v>325</v>
      </c>
      <c r="H221" s="2">
        <f>INDEX('Data sources'!G:G,MATCH(G221,'Data sources'!A:A,0),1)</f>
        <v>5.79E-2</v>
      </c>
      <c r="I221" s="2">
        <f>INDEX('Data sources'!J:J,MATCH(G221,'Data sources'!A:A,0),1)</f>
        <v>4.2599999999999999E-2</v>
      </c>
      <c r="J221" s="2">
        <f>INDEX('Data sources'!R:R,MATCH(G221,'Data sources'!A:A,0),1)</f>
        <v>1</v>
      </c>
      <c r="K221" s="2">
        <f>INDEX('Data sources'!S:S,MATCH(G221,'Data sources'!A:A,0),1)</f>
        <v>0</v>
      </c>
      <c r="L221" t="str">
        <f t="shared" si="3"/>
        <v>Combustion of fuels_Passenger air transport</v>
      </c>
      <c r="M221">
        <f>INDEX('Data sources'!U:U,MATCH($G221,'Data sources'!$A:$A,0),1)</f>
        <v>0.78416348147957027</v>
      </c>
      <c r="N221">
        <f>INDEX('Data sources'!V:V,MATCH($G221,'Data sources'!$A:$A,0),1)</f>
        <v>0.72535139859924458</v>
      </c>
    </row>
    <row r="222" spans="1:14" x14ac:dyDescent="0.2">
      <c r="A222" t="s">
        <v>10</v>
      </c>
      <c r="B222" t="s">
        <v>270</v>
      </c>
      <c r="C222" t="s">
        <v>263</v>
      </c>
      <c r="D222" t="s">
        <v>403</v>
      </c>
      <c r="E222" t="s">
        <v>15</v>
      </c>
      <c r="F222">
        <v>1</v>
      </c>
      <c r="G222" s="30" t="s">
        <v>325</v>
      </c>
      <c r="H222" s="2">
        <f>INDEX('Data sources'!G:G,MATCH(G222,'Data sources'!A:A,0),1)</f>
        <v>5.79E-2</v>
      </c>
      <c r="I222" s="2">
        <f>INDEX('Data sources'!J:J,MATCH(G222,'Data sources'!A:A,0),1)</f>
        <v>4.2599999999999999E-2</v>
      </c>
      <c r="J222" s="2">
        <f>INDEX('Data sources'!R:R,MATCH(G222,'Data sources'!A:A,0),1)</f>
        <v>1</v>
      </c>
      <c r="K222" s="2">
        <f>INDEX('Data sources'!S:S,MATCH(G222,'Data sources'!A:A,0),1)</f>
        <v>0</v>
      </c>
      <c r="L222" t="str">
        <f t="shared" si="3"/>
        <v>Combustion of fuels_Plumbing, heat and air-conditioning installation</v>
      </c>
      <c r="M222">
        <f>INDEX('Data sources'!U:U,MATCH($G222,'Data sources'!$A:$A,0),1)</f>
        <v>0.78416348147957027</v>
      </c>
      <c r="N222">
        <f>INDEX('Data sources'!V:V,MATCH($G222,'Data sources'!$A:$A,0),1)</f>
        <v>0.72535139859924458</v>
      </c>
    </row>
    <row r="223" spans="1:14" x14ac:dyDescent="0.2">
      <c r="A223" t="s">
        <v>10</v>
      </c>
      <c r="B223" t="s">
        <v>271</v>
      </c>
      <c r="C223" t="s">
        <v>67</v>
      </c>
      <c r="D223" t="s">
        <v>403</v>
      </c>
      <c r="E223" t="s">
        <v>15</v>
      </c>
      <c r="F223">
        <v>1</v>
      </c>
      <c r="G223" s="30" t="s">
        <v>325</v>
      </c>
      <c r="H223" s="2">
        <f>INDEX('Data sources'!G:G,MATCH(G223,'Data sources'!A:A,0),1)</f>
        <v>5.79E-2</v>
      </c>
      <c r="I223" s="2">
        <f>INDEX('Data sources'!J:J,MATCH(G223,'Data sources'!A:A,0),1)</f>
        <v>4.2599999999999999E-2</v>
      </c>
      <c r="J223" s="2">
        <f>INDEX('Data sources'!R:R,MATCH(G223,'Data sources'!A:A,0),1)</f>
        <v>1</v>
      </c>
      <c r="K223" s="2">
        <f>INDEX('Data sources'!S:S,MATCH(G223,'Data sources'!A:A,0),1)</f>
        <v>0</v>
      </c>
      <c r="L223" t="str">
        <f t="shared" si="3"/>
        <v>Combustion of fuels_Post-harvest crop activities</v>
      </c>
      <c r="M223">
        <f>INDEX('Data sources'!U:U,MATCH($G223,'Data sources'!$A:$A,0),1)</f>
        <v>0.78416348147957027</v>
      </c>
      <c r="N223">
        <f>INDEX('Data sources'!V:V,MATCH($G223,'Data sources'!$A:$A,0),1)</f>
        <v>0.72535139859924458</v>
      </c>
    </row>
    <row r="224" spans="1:14" x14ac:dyDescent="0.2">
      <c r="A224" t="s">
        <v>10</v>
      </c>
      <c r="B224" t="s">
        <v>272</v>
      </c>
      <c r="C224" t="s">
        <v>72</v>
      </c>
      <c r="D224" t="s">
        <v>403</v>
      </c>
      <c r="E224" t="s">
        <v>15</v>
      </c>
      <c r="F224">
        <v>1</v>
      </c>
      <c r="G224" s="30" t="s">
        <v>325</v>
      </c>
      <c r="H224" s="2">
        <f>INDEX('Data sources'!G:G,MATCH(G224,'Data sources'!A:A,0),1)</f>
        <v>5.79E-2</v>
      </c>
      <c r="I224" s="2">
        <f>INDEX('Data sources'!J:J,MATCH(G224,'Data sources'!A:A,0),1)</f>
        <v>4.2599999999999999E-2</v>
      </c>
      <c r="J224" s="2">
        <f>INDEX('Data sources'!R:R,MATCH(G224,'Data sources'!A:A,0),1)</f>
        <v>1</v>
      </c>
      <c r="K224" s="2">
        <f>INDEX('Data sources'!S:S,MATCH(G224,'Data sources'!A:A,0),1)</f>
        <v>0</v>
      </c>
      <c r="L224" t="str">
        <f t="shared" si="3"/>
        <v>Combustion of fuels_Post-secondary non-tertiary education</v>
      </c>
      <c r="M224">
        <f>INDEX('Data sources'!U:U,MATCH($G224,'Data sources'!$A:$A,0),1)</f>
        <v>0.78416348147957027</v>
      </c>
      <c r="N224">
        <f>INDEX('Data sources'!V:V,MATCH($G224,'Data sources'!$A:$A,0),1)</f>
        <v>0.72535139859924458</v>
      </c>
    </row>
    <row r="225" spans="1:14" x14ac:dyDescent="0.2">
      <c r="A225" t="s">
        <v>10</v>
      </c>
      <c r="B225" t="s">
        <v>273</v>
      </c>
      <c r="C225" t="s">
        <v>62</v>
      </c>
      <c r="D225" t="s">
        <v>403</v>
      </c>
      <c r="E225" t="s">
        <v>15</v>
      </c>
      <c r="F225">
        <v>1</v>
      </c>
      <c r="G225" s="30" t="s">
        <v>325</v>
      </c>
      <c r="H225" s="2">
        <f>INDEX('Data sources'!G:G,MATCH(G225,'Data sources'!A:A,0),1)</f>
        <v>5.79E-2</v>
      </c>
      <c r="I225" s="2">
        <f>INDEX('Data sources'!J:J,MATCH(G225,'Data sources'!A:A,0),1)</f>
        <v>4.2599999999999999E-2</v>
      </c>
      <c r="J225" s="2">
        <f>INDEX('Data sources'!R:R,MATCH(G225,'Data sources'!A:A,0),1)</f>
        <v>1</v>
      </c>
      <c r="K225" s="2">
        <f>INDEX('Data sources'!S:S,MATCH(G225,'Data sources'!A:A,0),1)</f>
        <v>0</v>
      </c>
      <c r="L225" t="str">
        <f t="shared" si="3"/>
        <v>Combustion of fuels_Preparation and spinning of textile fibres</v>
      </c>
      <c r="M225">
        <f>INDEX('Data sources'!U:U,MATCH($G225,'Data sources'!$A:$A,0),1)</f>
        <v>0.78416348147957027</v>
      </c>
      <c r="N225">
        <f>INDEX('Data sources'!V:V,MATCH($G225,'Data sources'!$A:$A,0),1)</f>
        <v>0.72535139859924458</v>
      </c>
    </row>
    <row r="226" spans="1:14" x14ac:dyDescent="0.2">
      <c r="A226" t="s">
        <v>10</v>
      </c>
      <c r="B226" t="s">
        <v>274</v>
      </c>
      <c r="C226" t="s">
        <v>113</v>
      </c>
      <c r="D226" t="s">
        <v>403</v>
      </c>
      <c r="E226" t="s">
        <v>15</v>
      </c>
      <c r="F226">
        <v>13</v>
      </c>
      <c r="G226" s="30" t="s">
        <v>325</v>
      </c>
      <c r="H226" s="2">
        <f>INDEX('Data sources'!G:G,MATCH(G226,'Data sources'!A:A,0),1)</f>
        <v>5.79E-2</v>
      </c>
      <c r="I226" s="2">
        <f>INDEX('Data sources'!J:J,MATCH(G226,'Data sources'!A:A,0),1)</f>
        <v>4.2599999999999999E-2</v>
      </c>
      <c r="J226" s="2">
        <f>INDEX('Data sources'!R:R,MATCH(G226,'Data sources'!A:A,0),1)</f>
        <v>1</v>
      </c>
      <c r="K226" s="2">
        <f>INDEX('Data sources'!S:S,MATCH(G226,'Data sources'!A:A,0),1)</f>
        <v>0</v>
      </c>
      <c r="L226" t="str">
        <f t="shared" si="3"/>
        <v>Combustion of fuels_Processing and preserving of fish, crustaceans and molluscs</v>
      </c>
      <c r="M226">
        <f>INDEX('Data sources'!U:U,MATCH($G226,'Data sources'!$A:$A,0),1)</f>
        <v>0.78416348147957027</v>
      </c>
      <c r="N226">
        <f>INDEX('Data sources'!V:V,MATCH($G226,'Data sources'!$A:$A,0),1)</f>
        <v>0.72535139859924458</v>
      </c>
    </row>
    <row r="227" spans="1:14" x14ac:dyDescent="0.2">
      <c r="A227" t="s">
        <v>10</v>
      </c>
      <c r="B227" t="s">
        <v>275</v>
      </c>
      <c r="C227" t="s">
        <v>113</v>
      </c>
      <c r="D227" t="s">
        <v>403</v>
      </c>
      <c r="E227" t="s">
        <v>15</v>
      </c>
      <c r="F227">
        <v>1</v>
      </c>
      <c r="G227" s="30" t="s">
        <v>325</v>
      </c>
      <c r="H227" s="2">
        <f>INDEX('Data sources'!G:G,MATCH(G227,'Data sources'!A:A,0),1)</f>
        <v>5.79E-2</v>
      </c>
      <c r="I227" s="2">
        <f>INDEX('Data sources'!J:J,MATCH(G227,'Data sources'!A:A,0),1)</f>
        <v>4.2599999999999999E-2</v>
      </c>
      <c r="J227" s="2">
        <f>INDEX('Data sources'!R:R,MATCH(G227,'Data sources'!A:A,0),1)</f>
        <v>1</v>
      </c>
      <c r="K227" s="2">
        <f>INDEX('Data sources'!S:S,MATCH(G227,'Data sources'!A:A,0),1)</f>
        <v>0</v>
      </c>
      <c r="L227" t="str">
        <f t="shared" si="3"/>
        <v>Combustion of fuels_Processing and preserving of fruit and vegetables</v>
      </c>
      <c r="M227">
        <f>INDEX('Data sources'!U:U,MATCH($G227,'Data sources'!$A:$A,0),1)</f>
        <v>0.78416348147957027</v>
      </c>
      <c r="N227">
        <f>INDEX('Data sources'!V:V,MATCH($G227,'Data sources'!$A:$A,0),1)</f>
        <v>0.72535139859924458</v>
      </c>
    </row>
    <row r="228" spans="1:14" x14ac:dyDescent="0.2">
      <c r="A228" t="s">
        <v>10</v>
      </c>
      <c r="B228" t="s">
        <v>276</v>
      </c>
      <c r="C228" t="s">
        <v>113</v>
      </c>
      <c r="D228" t="s">
        <v>403</v>
      </c>
      <c r="E228" t="s">
        <v>15</v>
      </c>
      <c r="F228">
        <v>12</v>
      </c>
      <c r="G228" s="30" t="s">
        <v>325</v>
      </c>
      <c r="H228" s="2">
        <f>INDEX('Data sources'!G:G,MATCH(G228,'Data sources'!A:A,0),1)</f>
        <v>5.79E-2</v>
      </c>
      <c r="I228" s="2">
        <f>INDEX('Data sources'!J:J,MATCH(G228,'Data sources'!A:A,0),1)</f>
        <v>4.2599999999999999E-2</v>
      </c>
      <c r="J228" s="2">
        <f>INDEX('Data sources'!R:R,MATCH(G228,'Data sources'!A:A,0),1)</f>
        <v>1</v>
      </c>
      <c r="K228" s="2">
        <f>INDEX('Data sources'!S:S,MATCH(G228,'Data sources'!A:A,0),1)</f>
        <v>0</v>
      </c>
      <c r="L228" t="str">
        <f t="shared" si="3"/>
        <v>Combustion of fuels_Processing and preserving of meat</v>
      </c>
      <c r="M228">
        <f>INDEX('Data sources'!U:U,MATCH($G228,'Data sources'!$A:$A,0),1)</f>
        <v>0.78416348147957027</v>
      </c>
      <c r="N228">
        <f>INDEX('Data sources'!V:V,MATCH($G228,'Data sources'!$A:$A,0),1)</f>
        <v>0.72535139859924458</v>
      </c>
    </row>
    <row r="229" spans="1:14" x14ac:dyDescent="0.2">
      <c r="A229" t="s">
        <v>10</v>
      </c>
      <c r="B229" t="s">
        <v>277</v>
      </c>
      <c r="C229" t="s">
        <v>113</v>
      </c>
      <c r="D229" t="s">
        <v>403</v>
      </c>
      <c r="E229" t="s">
        <v>15</v>
      </c>
      <c r="F229">
        <v>26</v>
      </c>
      <c r="G229" s="30" t="s">
        <v>325</v>
      </c>
      <c r="H229" s="2">
        <f>INDEX('Data sources'!G:G,MATCH(G229,'Data sources'!A:A,0),1)</f>
        <v>5.79E-2</v>
      </c>
      <c r="I229" s="2">
        <f>INDEX('Data sources'!J:J,MATCH(G229,'Data sources'!A:A,0),1)</f>
        <v>4.2599999999999999E-2</v>
      </c>
      <c r="J229" s="2">
        <f>INDEX('Data sources'!R:R,MATCH(G229,'Data sources'!A:A,0),1)</f>
        <v>1</v>
      </c>
      <c r="K229" s="2">
        <f>INDEX('Data sources'!S:S,MATCH(G229,'Data sources'!A:A,0),1)</f>
        <v>0</v>
      </c>
      <c r="L229" t="str">
        <f t="shared" si="3"/>
        <v>Combustion of fuels_Processing and preserving of potatoes</v>
      </c>
      <c r="M229">
        <f>INDEX('Data sources'!U:U,MATCH($G229,'Data sources'!$A:$A,0),1)</f>
        <v>0.78416348147957027</v>
      </c>
      <c r="N229">
        <f>INDEX('Data sources'!V:V,MATCH($G229,'Data sources'!$A:$A,0),1)</f>
        <v>0.72535139859924458</v>
      </c>
    </row>
    <row r="230" spans="1:14" x14ac:dyDescent="0.2">
      <c r="A230" t="s">
        <v>10</v>
      </c>
      <c r="B230" t="s">
        <v>278</v>
      </c>
      <c r="C230" t="s">
        <v>113</v>
      </c>
      <c r="D230" t="s">
        <v>403</v>
      </c>
      <c r="E230" t="s">
        <v>15</v>
      </c>
      <c r="F230">
        <v>1</v>
      </c>
      <c r="G230" s="30" t="s">
        <v>325</v>
      </c>
      <c r="H230" s="2">
        <f>INDEX('Data sources'!G:G,MATCH(G230,'Data sources'!A:A,0),1)</f>
        <v>5.79E-2</v>
      </c>
      <c r="I230" s="2">
        <f>INDEX('Data sources'!J:J,MATCH(G230,'Data sources'!A:A,0),1)</f>
        <v>4.2599999999999999E-2</v>
      </c>
      <c r="J230" s="2">
        <f>INDEX('Data sources'!R:R,MATCH(G230,'Data sources'!A:A,0),1)</f>
        <v>1</v>
      </c>
      <c r="K230" s="2">
        <f>INDEX('Data sources'!S:S,MATCH(G230,'Data sources'!A:A,0),1)</f>
        <v>0</v>
      </c>
      <c r="L230" t="str">
        <f t="shared" si="3"/>
        <v>Combustion of fuels_Processing and preserving of poultry meat</v>
      </c>
      <c r="M230">
        <f>INDEX('Data sources'!U:U,MATCH($G230,'Data sources'!$A:$A,0),1)</f>
        <v>0.78416348147957027</v>
      </c>
      <c r="N230">
        <f>INDEX('Data sources'!V:V,MATCH($G230,'Data sources'!$A:$A,0),1)</f>
        <v>0.72535139859924458</v>
      </c>
    </row>
    <row r="231" spans="1:14" x14ac:dyDescent="0.2">
      <c r="A231" t="s">
        <v>10</v>
      </c>
      <c r="B231" t="s">
        <v>279</v>
      </c>
      <c r="C231" t="s">
        <v>6</v>
      </c>
      <c r="D231" t="s">
        <v>403</v>
      </c>
      <c r="E231" t="s">
        <v>15</v>
      </c>
      <c r="F231">
        <v>1</v>
      </c>
      <c r="G231" s="30" t="s">
        <v>325</v>
      </c>
      <c r="H231" s="2">
        <f>INDEX('Data sources'!G:G,MATCH(G231,'Data sources'!A:A,0),1)</f>
        <v>5.79E-2</v>
      </c>
      <c r="I231" s="2">
        <f>INDEX('Data sources'!J:J,MATCH(G231,'Data sources'!A:A,0),1)</f>
        <v>4.2599999999999999E-2</v>
      </c>
      <c r="J231" s="2">
        <f>INDEX('Data sources'!R:R,MATCH(G231,'Data sources'!A:A,0),1)</f>
        <v>1</v>
      </c>
      <c r="K231" s="2">
        <f>INDEX('Data sources'!S:S,MATCH(G231,'Data sources'!A:A,0),1)</f>
        <v>0</v>
      </c>
      <c r="L231" t="str">
        <f t="shared" si="3"/>
        <v>Combustion of fuels_Processing of nuclear fuel</v>
      </c>
      <c r="M231">
        <f>INDEX('Data sources'!U:U,MATCH($G231,'Data sources'!$A:$A,0),1)</f>
        <v>0.78416348147957027</v>
      </c>
      <c r="N231">
        <f>INDEX('Data sources'!V:V,MATCH($G231,'Data sources'!$A:$A,0),1)</f>
        <v>0.72535139859924458</v>
      </c>
    </row>
    <row r="232" spans="1:14" x14ac:dyDescent="0.2">
      <c r="A232" t="s">
        <v>10</v>
      </c>
      <c r="B232" t="s">
        <v>280</v>
      </c>
      <c r="C232" t="s">
        <v>113</v>
      </c>
      <c r="D232" t="s">
        <v>403</v>
      </c>
      <c r="E232" t="s">
        <v>15</v>
      </c>
      <c r="F232">
        <v>9</v>
      </c>
      <c r="G232" s="30" t="s">
        <v>325</v>
      </c>
      <c r="H232" s="2">
        <f>INDEX('Data sources'!G:G,MATCH(G232,'Data sources'!A:A,0),1)</f>
        <v>5.79E-2</v>
      </c>
      <c r="I232" s="2">
        <f>INDEX('Data sources'!J:J,MATCH(G232,'Data sources'!A:A,0),1)</f>
        <v>4.2599999999999999E-2</v>
      </c>
      <c r="J232" s="2">
        <f>INDEX('Data sources'!R:R,MATCH(G232,'Data sources'!A:A,0),1)</f>
        <v>1</v>
      </c>
      <c r="K232" s="2">
        <f>INDEX('Data sources'!S:S,MATCH(G232,'Data sources'!A:A,0),1)</f>
        <v>0</v>
      </c>
      <c r="L232" t="str">
        <f t="shared" si="3"/>
        <v>Combustion of fuels_Processing of tea and coffee</v>
      </c>
      <c r="M232">
        <f>INDEX('Data sources'!U:U,MATCH($G232,'Data sources'!$A:$A,0),1)</f>
        <v>0.78416348147957027</v>
      </c>
      <c r="N232">
        <f>INDEX('Data sources'!V:V,MATCH($G232,'Data sources'!$A:$A,0),1)</f>
        <v>0.72535139859924458</v>
      </c>
    </row>
    <row r="233" spans="1:14" x14ac:dyDescent="0.2">
      <c r="A233" t="s">
        <v>10</v>
      </c>
      <c r="B233" t="s">
        <v>283</v>
      </c>
      <c r="C233" t="s">
        <v>113</v>
      </c>
      <c r="D233" t="s">
        <v>403</v>
      </c>
      <c r="E233" t="s">
        <v>15</v>
      </c>
      <c r="F233">
        <v>9</v>
      </c>
      <c r="G233" s="30" t="s">
        <v>325</v>
      </c>
      <c r="H233" s="2">
        <f>INDEX('Data sources'!G:G,MATCH(G233,'Data sources'!A:A,0),1)</f>
        <v>5.79E-2</v>
      </c>
      <c r="I233" s="2">
        <f>INDEX('Data sources'!J:J,MATCH(G233,'Data sources'!A:A,0),1)</f>
        <v>4.2599999999999999E-2</v>
      </c>
      <c r="J233" s="2">
        <f>INDEX('Data sources'!R:R,MATCH(G233,'Data sources'!A:A,0),1)</f>
        <v>1</v>
      </c>
      <c r="K233" s="2">
        <f>INDEX('Data sources'!S:S,MATCH(G233,'Data sources'!A:A,0),1)</f>
        <v>0</v>
      </c>
      <c r="L233" t="str">
        <f t="shared" si="3"/>
        <v>Combustion of fuels_Production of meat and poultry meat products</v>
      </c>
      <c r="M233">
        <f>INDEX('Data sources'!U:U,MATCH($G233,'Data sources'!$A:$A,0),1)</f>
        <v>0.78416348147957027</v>
      </c>
      <c r="N233">
        <f>INDEX('Data sources'!V:V,MATCH($G233,'Data sources'!$A:$A,0),1)</f>
        <v>0.72535139859924458</v>
      </c>
    </row>
    <row r="234" spans="1:14" x14ac:dyDescent="0.2">
      <c r="A234" t="s">
        <v>10</v>
      </c>
      <c r="B234" t="s">
        <v>284</v>
      </c>
      <c r="C234" t="s">
        <v>58</v>
      </c>
      <c r="D234" t="s">
        <v>403</v>
      </c>
      <c r="E234" t="s">
        <v>15</v>
      </c>
      <c r="F234">
        <v>1</v>
      </c>
      <c r="G234" s="30" t="s">
        <v>325</v>
      </c>
      <c r="H234" s="2">
        <f>INDEX('Data sources'!G:G,MATCH(G234,'Data sources'!A:A,0),1)</f>
        <v>5.79E-2</v>
      </c>
      <c r="I234" s="2">
        <f>INDEX('Data sources'!J:J,MATCH(G234,'Data sources'!A:A,0),1)</f>
        <v>4.2599999999999999E-2</v>
      </c>
      <c r="J234" s="2">
        <f>INDEX('Data sources'!R:R,MATCH(G234,'Data sources'!A:A,0),1)</f>
        <v>1</v>
      </c>
      <c r="K234" s="2">
        <f>INDEX('Data sources'!S:S,MATCH(G234,'Data sources'!A:A,0),1)</f>
        <v>0</v>
      </c>
      <c r="L234" t="str">
        <f t="shared" si="3"/>
        <v>Combustion of fuels_Quarrying of ornamental and building stone, limestone, gypsum, chalk and slate</v>
      </c>
      <c r="M234">
        <f>INDEX('Data sources'!U:U,MATCH($G234,'Data sources'!$A:$A,0),1)</f>
        <v>0.78416348147957027</v>
      </c>
      <c r="N234">
        <f>INDEX('Data sources'!V:V,MATCH($G234,'Data sources'!$A:$A,0),1)</f>
        <v>0.72535139859924458</v>
      </c>
    </row>
    <row r="235" spans="1:14" x14ac:dyDescent="0.2">
      <c r="A235" t="s">
        <v>10</v>
      </c>
      <c r="B235" t="s">
        <v>285</v>
      </c>
      <c r="C235" t="s">
        <v>286</v>
      </c>
      <c r="D235" t="s">
        <v>403</v>
      </c>
      <c r="E235" t="s">
        <v>15</v>
      </c>
      <c r="F235">
        <v>9</v>
      </c>
      <c r="G235" s="30" t="s">
        <v>325</v>
      </c>
      <c r="H235" s="2">
        <f>INDEX('Data sources'!G:G,MATCH(G235,'Data sources'!A:A,0),1)</f>
        <v>5.79E-2</v>
      </c>
      <c r="I235" s="2">
        <f>INDEX('Data sources'!J:J,MATCH(G235,'Data sources'!A:A,0),1)</f>
        <v>4.2599999999999999E-2</v>
      </c>
      <c r="J235" s="2">
        <f>INDEX('Data sources'!R:R,MATCH(G235,'Data sources'!A:A,0),1)</f>
        <v>1</v>
      </c>
      <c r="K235" s="2">
        <f>INDEX('Data sources'!S:S,MATCH(G235,'Data sources'!A:A,0),1)</f>
        <v>0</v>
      </c>
      <c r="L235" t="str">
        <f t="shared" si="3"/>
        <v>Combustion of fuels_Recovery of sorted materials</v>
      </c>
      <c r="M235">
        <f>INDEX('Data sources'!U:U,MATCH($G235,'Data sources'!$A:$A,0),1)</f>
        <v>0.78416348147957027</v>
      </c>
      <c r="N235">
        <f>INDEX('Data sources'!V:V,MATCH($G235,'Data sources'!$A:$A,0),1)</f>
        <v>0.72535139859924458</v>
      </c>
    </row>
    <row r="236" spans="1:14" x14ac:dyDescent="0.2">
      <c r="A236" t="s">
        <v>10</v>
      </c>
      <c r="B236" t="s">
        <v>287</v>
      </c>
      <c r="C236" t="s">
        <v>288</v>
      </c>
      <c r="D236" t="s">
        <v>403</v>
      </c>
      <c r="E236" t="s">
        <v>15</v>
      </c>
      <c r="F236">
        <v>1</v>
      </c>
      <c r="G236" s="30" t="s">
        <v>325</v>
      </c>
      <c r="H236" s="2">
        <f>INDEX('Data sources'!G:G,MATCH(G236,'Data sources'!A:A,0),1)</f>
        <v>5.79E-2</v>
      </c>
      <c r="I236" s="2">
        <f>INDEX('Data sources'!J:J,MATCH(G236,'Data sources'!A:A,0),1)</f>
        <v>4.2599999999999999E-2</v>
      </c>
      <c r="J236" s="2">
        <f>INDEX('Data sources'!R:R,MATCH(G236,'Data sources'!A:A,0),1)</f>
        <v>1</v>
      </c>
      <c r="K236" s="2">
        <f>INDEX('Data sources'!S:S,MATCH(G236,'Data sources'!A:A,0),1)</f>
        <v>0</v>
      </c>
      <c r="L236" t="str">
        <f t="shared" si="3"/>
        <v>Combustion of fuels_Rental and operating of own or leased real estate</v>
      </c>
      <c r="M236">
        <f>INDEX('Data sources'!U:U,MATCH($G236,'Data sources'!$A:$A,0),1)</f>
        <v>0.78416348147957027</v>
      </c>
      <c r="N236">
        <f>INDEX('Data sources'!V:V,MATCH($G236,'Data sources'!$A:$A,0),1)</f>
        <v>0.72535139859924458</v>
      </c>
    </row>
    <row r="237" spans="1:14" x14ac:dyDescent="0.2">
      <c r="A237" t="s">
        <v>10</v>
      </c>
      <c r="B237" t="s">
        <v>289</v>
      </c>
      <c r="C237" t="s">
        <v>290</v>
      </c>
      <c r="D237" t="s">
        <v>403</v>
      </c>
      <c r="E237" t="s">
        <v>15</v>
      </c>
      <c r="F237">
        <v>7</v>
      </c>
      <c r="G237" s="30" t="s">
        <v>325</v>
      </c>
      <c r="H237" s="2">
        <f>INDEX('Data sources'!G:G,MATCH(G237,'Data sources'!A:A,0),1)</f>
        <v>5.79E-2</v>
      </c>
      <c r="I237" s="2">
        <f>INDEX('Data sources'!J:J,MATCH(G237,'Data sources'!A:A,0),1)</f>
        <v>4.2599999999999999E-2</v>
      </c>
      <c r="J237" s="2">
        <f>INDEX('Data sources'!R:R,MATCH(G237,'Data sources'!A:A,0),1)</f>
        <v>1</v>
      </c>
      <c r="K237" s="2">
        <f>INDEX('Data sources'!S:S,MATCH(G237,'Data sources'!A:A,0),1)</f>
        <v>0</v>
      </c>
      <c r="L237" t="str">
        <f t="shared" si="3"/>
        <v>Combustion of fuels_Repair and maintenance of aircraft and spacecraft</v>
      </c>
      <c r="M237">
        <f>INDEX('Data sources'!U:U,MATCH($G237,'Data sources'!$A:$A,0),1)</f>
        <v>0.78416348147957027</v>
      </c>
      <c r="N237">
        <f>INDEX('Data sources'!V:V,MATCH($G237,'Data sources'!$A:$A,0),1)</f>
        <v>0.72535139859924458</v>
      </c>
    </row>
    <row r="238" spans="1:14" x14ac:dyDescent="0.2">
      <c r="A238" t="s">
        <v>10</v>
      </c>
      <c r="B238" t="s">
        <v>291</v>
      </c>
      <c r="C238" t="s">
        <v>290</v>
      </c>
      <c r="D238" t="s">
        <v>403</v>
      </c>
      <c r="E238" t="s">
        <v>15</v>
      </c>
      <c r="F238">
        <v>1</v>
      </c>
      <c r="G238" s="30" t="s">
        <v>325</v>
      </c>
      <c r="H238" s="2">
        <f>INDEX('Data sources'!G:G,MATCH(G238,'Data sources'!A:A,0),1)</f>
        <v>5.79E-2</v>
      </c>
      <c r="I238" s="2">
        <f>INDEX('Data sources'!J:J,MATCH(G238,'Data sources'!A:A,0),1)</f>
        <v>4.2599999999999999E-2</v>
      </c>
      <c r="J238" s="2">
        <f>INDEX('Data sources'!R:R,MATCH(G238,'Data sources'!A:A,0),1)</f>
        <v>1</v>
      </c>
      <c r="K238" s="2">
        <f>INDEX('Data sources'!S:S,MATCH(G238,'Data sources'!A:A,0),1)</f>
        <v>0</v>
      </c>
      <c r="L238" t="str">
        <f t="shared" si="3"/>
        <v>Combustion of fuels_Repair of machinery</v>
      </c>
      <c r="M238">
        <f>INDEX('Data sources'!U:U,MATCH($G238,'Data sources'!$A:$A,0),1)</f>
        <v>0.78416348147957027</v>
      </c>
      <c r="N238">
        <f>INDEX('Data sources'!V:V,MATCH($G238,'Data sources'!$A:$A,0),1)</f>
        <v>0.72535139859924458</v>
      </c>
    </row>
    <row r="239" spans="1:14" x14ac:dyDescent="0.2">
      <c r="A239" t="s">
        <v>10</v>
      </c>
      <c r="B239" t="s">
        <v>292</v>
      </c>
      <c r="C239" t="s">
        <v>261</v>
      </c>
      <c r="D239" t="s">
        <v>403</v>
      </c>
      <c r="E239" t="s">
        <v>15</v>
      </c>
      <c r="F239">
        <v>1</v>
      </c>
      <c r="G239" s="30" t="s">
        <v>325</v>
      </c>
      <c r="H239" s="2">
        <f>INDEX('Data sources'!G:G,MATCH(G239,'Data sources'!A:A,0),1)</f>
        <v>5.79E-2</v>
      </c>
      <c r="I239" s="2">
        <f>INDEX('Data sources'!J:J,MATCH(G239,'Data sources'!A:A,0),1)</f>
        <v>4.2599999999999999E-2</v>
      </c>
      <c r="J239" s="2">
        <f>INDEX('Data sources'!R:R,MATCH(G239,'Data sources'!A:A,0),1)</f>
        <v>1</v>
      </c>
      <c r="K239" s="2">
        <f>INDEX('Data sources'!S:S,MATCH(G239,'Data sources'!A:A,0),1)</f>
        <v>0</v>
      </c>
      <c r="L239" t="str">
        <f t="shared" si="3"/>
        <v>Combustion of fuels_Research and experimental development on social sciences and humanities</v>
      </c>
      <c r="M239">
        <f>INDEX('Data sources'!U:U,MATCH($G239,'Data sources'!$A:$A,0),1)</f>
        <v>0.78416348147957027</v>
      </c>
      <c r="N239">
        <f>INDEX('Data sources'!V:V,MATCH($G239,'Data sources'!$A:$A,0),1)</f>
        <v>0.72535139859924458</v>
      </c>
    </row>
    <row r="240" spans="1:14" x14ac:dyDescent="0.2">
      <c r="A240" t="s">
        <v>10</v>
      </c>
      <c r="B240" t="s">
        <v>293</v>
      </c>
      <c r="C240" t="s">
        <v>294</v>
      </c>
      <c r="D240" t="s">
        <v>403</v>
      </c>
      <c r="E240" t="s">
        <v>15</v>
      </c>
      <c r="F240">
        <v>1</v>
      </c>
      <c r="G240" s="30" t="s">
        <v>325</v>
      </c>
      <c r="H240" s="2">
        <f>INDEX('Data sources'!G:G,MATCH(G240,'Data sources'!A:A,0),1)</f>
        <v>5.79E-2</v>
      </c>
      <c r="I240" s="2">
        <f>INDEX('Data sources'!J:J,MATCH(G240,'Data sources'!A:A,0),1)</f>
        <v>4.2599999999999999E-2</v>
      </c>
      <c r="J240" s="2">
        <f>INDEX('Data sources'!R:R,MATCH(G240,'Data sources'!A:A,0),1)</f>
        <v>1</v>
      </c>
      <c r="K240" s="2">
        <f>INDEX('Data sources'!S:S,MATCH(G240,'Data sources'!A:A,0),1)</f>
        <v>0</v>
      </c>
      <c r="L240" t="str">
        <f t="shared" si="3"/>
        <v>Combustion of fuels_Restaurants and mobile food service activities</v>
      </c>
      <c r="M240">
        <f>INDEX('Data sources'!U:U,MATCH($G240,'Data sources'!$A:$A,0),1)</f>
        <v>0.78416348147957027</v>
      </c>
      <c r="N240">
        <f>INDEX('Data sources'!V:V,MATCH($G240,'Data sources'!$A:$A,0),1)</f>
        <v>0.72535139859924458</v>
      </c>
    </row>
    <row r="241" spans="1:14" x14ac:dyDescent="0.2">
      <c r="A241" t="s">
        <v>10</v>
      </c>
      <c r="B241" t="s">
        <v>295</v>
      </c>
      <c r="C241" t="s">
        <v>89</v>
      </c>
      <c r="D241" t="s">
        <v>403</v>
      </c>
      <c r="E241" t="s">
        <v>15</v>
      </c>
      <c r="F241">
        <v>6</v>
      </c>
      <c r="G241" s="30" t="s">
        <v>325</v>
      </c>
      <c r="H241" s="2">
        <f>INDEX('Data sources'!G:G,MATCH(G241,'Data sources'!A:A,0),1)</f>
        <v>5.79E-2</v>
      </c>
      <c r="I241" s="2">
        <f>INDEX('Data sources'!J:J,MATCH(G241,'Data sources'!A:A,0),1)</f>
        <v>4.2599999999999999E-2</v>
      </c>
      <c r="J241" s="2">
        <f>INDEX('Data sources'!R:R,MATCH(G241,'Data sources'!A:A,0),1)</f>
        <v>1</v>
      </c>
      <c r="K241" s="2">
        <f>INDEX('Data sources'!S:S,MATCH(G241,'Data sources'!A:A,0),1)</f>
        <v>0</v>
      </c>
      <c r="L241" t="str">
        <f t="shared" si="3"/>
        <v>Combustion of fuels_Sawmilling and planing of wood</v>
      </c>
      <c r="M241">
        <f>INDEX('Data sources'!U:U,MATCH($G241,'Data sources'!$A:$A,0),1)</f>
        <v>0.78416348147957027</v>
      </c>
      <c r="N241">
        <f>INDEX('Data sources'!V:V,MATCH($G241,'Data sources'!$A:$A,0),1)</f>
        <v>0.72535139859924458</v>
      </c>
    </row>
    <row r="242" spans="1:14" x14ac:dyDescent="0.2">
      <c r="A242" t="s">
        <v>10</v>
      </c>
      <c r="B242" t="s">
        <v>296</v>
      </c>
      <c r="C242" t="s">
        <v>67</v>
      </c>
      <c r="D242" t="s">
        <v>403</v>
      </c>
      <c r="E242" t="s">
        <v>15</v>
      </c>
      <c r="F242">
        <v>1</v>
      </c>
      <c r="G242" s="30" t="s">
        <v>325</v>
      </c>
      <c r="H242" s="2">
        <f>INDEX('Data sources'!G:G,MATCH(G242,'Data sources'!A:A,0),1)</f>
        <v>5.79E-2</v>
      </c>
      <c r="I242" s="2">
        <f>INDEX('Data sources'!J:J,MATCH(G242,'Data sources'!A:A,0),1)</f>
        <v>4.2599999999999999E-2</v>
      </c>
      <c r="J242" s="2">
        <f>INDEX('Data sources'!R:R,MATCH(G242,'Data sources'!A:A,0),1)</f>
        <v>1</v>
      </c>
      <c r="K242" s="2">
        <f>INDEX('Data sources'!S:S,MATCH(G242,'Data sources'!A:A,0),1)</f>
        <v>0</v>
      </c>
      <c r="L242" t="str">
        <f t="shared" si="3"/>
        <v>Combustion of fuels_Seed processing for propagation</v>
      </c>
      <c r="M242">
        <f>INDEX('Data sources'!U:U,MATCH($G242,'Data sources'!$A:$A,0),1)</f>
        <v>0.78416348147957027</v>
      </c>
      <c r="N242">
        <f>INDEX('Data sources'!V:V,MATCH($G242,'Data sources'!$A:$A,0),1)</f>
        <v>0.72535139859924458</v>
      </c>
    </row>
    <row r="243" spans="1:14" x14ac:dyDescent="0.2">
      <c r="A243" t="s">
        <v>10</v>
      </c>
      <c r="B243" t="s">
        <v>297</v>
      </c>
      <c r="C243" t="s">
        <v>17</v>
      </c>
      <c r="D243" t="s">
        <v>403</v>
      </c>
      <c r="E243" t="s">
        <v>15</v>
      </c>
      <c r="F243">
        <v>7</v>
      </c>
      <c r="G243" s="30" t="s">
        <v>325</v>
      </c>
      <c r="H243" s="2">
        <f>INDEX('Data sources'!G:G,MATCH(G243,'Data sources'!A:A,0),1)</f>
        <v>5.79E-2</v>
      </c>
      <c r="I243" s="2">
        <f>INDEX('Data sources'!J:J,MATCH(G243,'Data sources'!A:A,0),1)</f>
        <v>4.2599999999999999E-2</v>
      </c>
      <c r="J243" s="2">
        <f>INDEX('Data sources'!R:R,MATCH(G243,'Data sources'!A:A,0),1)</f>
        <v>1</v>
      </c>
      <c r="K243" s="2">
        <f>INDEX('Data sources'!S:S,MATCH(G243,'Data sources'!A:A,0),1)</f>
        <v>0</v>
      </c>
      <c r="L243" t="str">
        <f t="shared" si="3"/>
        <v>Combustion of fuels_Service activities incidental to air transportation</v>
      </c>
      <c r="M243">
        <f>INDEX('Data sources'!U:U,MATCH($G243,'Data sources'!$A:$A,0),1)</f>
        <v>0.78416348147957027</v>
      </c>
      <c r="N243">
        <f>INDEX('Data sources'!V:V,MATCH($G243,'Data sources'!$A:$A,0),1)</f>
        <v>0.72535139859924458</v>
      </c>
    </row>
    <row r="244" spans="1:14" x14ac:dyDescent="0.2">
      <c r="A244" t="s">
        <v>10</v>
      </c>
      <c r="B244" t="s">
        <v>298</v>
      </c>
      <c r="C244" t="s">
        <v>17</v>
      </c>
      <c r="D244" t="s">
        <v>403</v>
      </c>
      <c r="E244" t="s">
        <v>15</v>
      </c>
      <c r="F244">
        <v>1</v>
      </c>
      <c r="G244" s="30" t="s">
        <v>325</v>
      </c>
      <c r="H244" s="2">
        <f>INDEX('Data sources'!G:G,MATCH(G244,'Data sources'!A:A,0),1)</f>
        <v>5.79E-2</v>
      </c>
      <c r="I244" s="2">
        <f>INDEX('Data sources'!J:J,MATCH(G244,'Data sources'!A:A,0),1)</f>
        <v>4.2599999999999999E-2</v>
      </c>
      <c r="J244" s="2">
        <f>INDEX('Data sources'!R:R,MATCH(G244,'Data sources'!A:A,0),1)</f>
        <v>1</v>
      </c>
      <c r="K244" s="2">
        <f>INDEX('Data sources'!S:S,MATCH(G244,'Data sources'!A:A,0),1)</f>
        <v>0</v>
      </c>
      <c r="L244" t="str">
        <f t="shared" si="3"/>
        <v>Combustion of fuels_Service activities incidental to water transportation</v>
      </c>
      <c r="M244">
        <f>INDEX('Data sources'!U:U,MATCH($G244,'Data sources'!$A:$A,0),1)</f>
        <v>0.78416348147957027</v>
      </c>
      <c r="N244">
        <f>INDEX('Data sources'!V:V,MATCH($G244,'Data sources'!$A:$A,0),1)</f>
        <v>0.72535139859924458</v>
      </c>
    </row>
    <row r="245" spans="1:14" x14ac:dyDescent="0.2">
      <c r="A245" t="s">
        <v>10</v>
      </c>
      <c r="B245" t="s">
        <v>299</v>
      </c>
      <c r="C245" t="s">
        <v>299</v>
      </c>
      <c r="D245" t="s">
        <v>403</v>
      </c>
      <c r="E245" t="s">
        <v>15</v>
      </c>
      <c r="F245">
        <v>3</v>
      </c>
      <c r="G245" s="30" t="s">
        <v>325</v>
      </c>
      <c r="H245" s="2">
        <f>INDEX('Data sources'!G:G,MATCH(G245,'Data sources'!A:A,0),1)</f>
        <v>5.79E-2</v>
      </c>
      <c r="I245" s="2">
        <f>INDEX('Data sources'!J:J,MATCH(G245,'Data sources'!A:A,0),1)</f>
        <v>4.2599999999999999E-2</v>
      </c>
      <c r="J245" s="2">
        <f>INDEX('Data sources'!R:R,MATCH(G245,'Data sources'!A:A,0),1)</f>
        <v>1</v>
      </c>
      <c r="K245" s="2">
        <f>INDEX('Data sources'!S:S,MATCH(G245,'Data sources'!A:A,0),1)</f>
        <v>0</v>
      </c>
      <c r="L245" t="str">
        <f t="shared" si="3"/>
        <v>Combustion of fuels_Sewerage</v>
      </c>
      <c r="M245">
        <f>INDEX('Data sources'!U:U,MATCH($G245,'Data sources'!$A:$A,0),1)</f>
        <v>0.78416348147957027</v>
      </c>
      <c r="N245">
        <f>INDEX('Data sources'!V:V,MATCH($G245,'Data sources'!$A:$A,0),1)</f>
        <v>0.72535139859924458</v>
      </c>
    </row>
    <row r="246" spans="1:14" x14ac:dyDescent="0.2">
      <c r="A246" t="s">
        <v>10</v>
      </c>
      <c r="B246" t="s">
        <v>300</v>
      </c>
      <c r="C246" t="s">
        <v>81</v>
      </c>
      <c r="D246" t="s">
        <v>403</v>
      </c>
      <c r="E246" t="s">
        <v>15</v>
      </c>
      <c r="F246">
        <v>1</v>
      </c>
      <c r="G246" s="30" t="s">
        <v>325</v>
      </c>
      <c r="H246" s="2">
        <f>INDEX('Data sources'!G:G,MATCH(G246,'Data sources'!A:A,0),1)</f>
        <v>5.79E-2</v>
      </c>
      <c r="I246" s="2">
        <f>INDEX('Data sources'!J:J,MATCH(G246,'Data sources'!A:A,0),1)</f>
        <v>4.2599999999999999E-2</v>
      </c>
      <c r="J246" s="2">
        <f>INDEX('Data sources'!R:R,MATCH(G246,'Data sources'!A:A,0),1)</f>
        <v>1</v>
      </c>
      <c r="K246" s="2">
        <f>INDEX('Data sources'!S:S,MATCH(G246,'Data sources'!A:A,0),1)</f>
        <v>0</v>
      </c>
      <c r="L246" t="str">
        <f t="shared" si="3"/>
        <v>Combustion of fuels_Shaping and processing of flat glass</v>
      </c>
      <c r="M246">
        <f>INDEX('Data sources'!U:U,MATCH($G246,'Data sources'!$A:$A,0),1)</f>
        <v>0.78416348147957027</v>
      </c>
      <c r="N246">
        <f>INDEX('Data sources'!V:V,MATCH($G246,'Data sources'!$A:$A,0),1)</f>
        <v>0.72535139859924458</v>
      </c>
    </row>
    <row r="247" spans="1:14" x14ac:dyDescent="0.2">
      <c r="A247" t="s">
        <v>10</v>
      </c>
      <c r="B247" t="s">
        <v>302</v>
      </c>
      <c r="C247" t="s">
        <v>67</v>
      </c>
      <c r="D247" t="s">
        <v>403</v>
      </c>
      <c r="E247" t="s">
        <v>15</v>
      </c>
      <c r="F247">
        <v>2</v>
      </c>
      <c r="G247" s="30" t="s">
        <v>325</v>
      </c>
      <c r="H247" s="2">
        <f>INDEX('Data sources'!G:G,MATCH(G247,'Data sources'!A:A,0),1)</f>
        <v>5.79E-2</v>
      </c>
      <c r="I247" s="2">
        <f>INDEX('Data sources'!J:J,MATCH(G247,'Data sources'!A:A,0),1)</f>
        <v>4.2599999999999999E-2</v>
      </c>
      <c r="J247" s="2">
        <f>INDEX('Data sources'!R:R,MATCH(G247,'Data sources'!A:A,0),1)</f>
        <v>1</v>
      </c>
      <c r="K247" s="2">
        <f>INDEX('Data sources'!S:S,MATCH(G247,'Data sources'!A:A,0),1)</f>
        <v>0</v>
      </c>
      <c r="L247" t="str">
        <f t="shared" si="3"/>
        <v>Combustion of fuels_Support activities for crop production</v>
      </c>
      <c r="M247">
        <f>INDEX('Data sources'!U:U,MATCH($G247,'Data sources'!$A:$A,0),1)</f>
        <v>0.78416348147957027</v>
      </c>
      <c r="N247">
        <f>INDEX('Data sources'!V:V,MATCH($G247,'Data sources'!$A:$A,0),1)</f>
        <v>0.72535139859924458</v>
      </c>
    </row>
    <row r="248" spans="1:14" x14ac:dyDescent="0.2">
      <c r="A248" t="s">
        <v>10</v>
      </c>
      <c r="B248" t="s">
        <v>305</v>
      </c>
      <c r="C248" t="s">
        <v>306</v>
      </c>
      <c r="D248" t="s">
        <v>403</v>
      </c>
      <c r="E248" t="s">
        <v>15</v>
      </c>
      <c r="F248">
        <v>1</v>
      </c>
      <c r="G248" s="30" t="s">
        <v>325</v>
      </c>
      <c r="H248" s="2">
        <f>INDEX('Data sources'!G:G,MATCH(G248,'Data sources'!A:A,0),1)</f>
        <v>5.79E-2</v>
      </c>
      <c r="I248" s="2">
        <f>INDEX('Data sources'!J:J,MATCH(G248,'Data sources'!A:A,0),1)</f>
        <v>4.2599999999999999E-2</v>
      </c>
      <c r="J248" s="2">
        <f>INDEX('Data sources'!R:R,MATCH(G248,'Data sources'!A:A,0),1)</f>
        <v>1</v>
      </c>
      <c r="K248" s="2">
        <f>INDEX('Data sources'!S:S,MATCH(G248,'Data sources'!A:A,0),1)</f>
        <v>0</v>
      </c>
      <c r="L248" t="str">
        <f t="shared" si="3"/>
        <v>Combustion of fuels_Tanning and dressing of leather</v>
      </c>
      <c r="M248">
        <f>INDEX('Data sources'!U:U,MATCH($G248,'Data sources'!$A:$A,0),1)</f>
        <v>0.78416348147957027</v>
      </c>
      <c r="N248">
        <f>INDEX('Data sources'!V:V,MATCH($G248,'Data sources'!$A:$A,0),1)</f>
        <v>0.72535139859924458</v>
      </c>
    </row>
    <row r="249" spans="1:14" x14ac:dyDescent="0.2">
      <c r="A249" t="s">
        <v>10</v>
      </c>
      <c r="B249" t="s">
        <v>307</v>
      </c>
      <c r="C249" t="s">
        <v>308</v>
      </c>
      <c r="D249" t="s">
        <v>403</v>
      </c>
      <c r="E249" t="s">
        <v>15</v>
      </c>
      <c r="F249">
        <v>1</v>
      </c>
      <c r="G249" s="30" t="s">
        <v>325</v>
      </c>
      <c r="H249" s="2">
        <f>INDEX('Data sources'!G:G,MATCH(G249,'Data sources'!A:A,0),1)</f>
        <v>5.79E-2</v>
      </c>
      <c r="I249" s="2">
        <f>INDEX('Data sources'!J:J,MATCH(G249,'Data sources'!A:A,0),1)</f>
        <v>4.2599999999999999E-2</v>
      </c>
      <c r="J249" s="2">
        <f>INDEX('Data sources'!R:R,MATCH(G249,'Data sources'!A:A,0),1)</f>
        <v>1</v>
      </c>
      <c r="K249" s="2">
        <f>INDEX('Data sources'!S:S,MATCH(G249,'Data sources'!A:A,0),1)</f>
        <v>0</v>
      </c>
      <c r="L249" t="str">
        <f t="shared" si="3"/>
        <v>Combustion of fuels_Technical testing and analysis</v>
      </c>
      <c r="M249">
        <f>INDEX('Data sources'!U:U,MATCH($G249,'Data sources'!$A:$A,0),1)</f>
        <v>0.78416348147957027</v>
      </c>
      <c r="N249">
        <f>INDEX('Data sources'!V:V,MATCH($G249,'Data sources'!$A:$A,0),1)</f>
        <v>0.72535139859924458</v>
      </c>
    </row>
    <row r="250" spans="1:14" x14ac:dyDescent="0.2">
      <c r="A250" t="s">
        <v>10</v>
      </c>
      <c r="B250" t="s">
        <v>309</v>
      </c>
      <c r="C250" t="s">
        <v>72</v>
      </c>
      <c r="D250" t="s">
        <v>403</v>
      </c>
      <c r="E250" t="s">
        <v>15</v>
      </c>
      <c r="F250">
        <v>2</v>
      </c>
      <c r="G250" s="30" t="s">
        <v>325</v>
      </c>
      <c r="H250" s="2">
        <f>INDEX('Data sources'!G:G,MATCH(G250,'Data sources'!A:A,0),1)</f>
        <v>5.79E-2</v>
      </c>
      <c r="I250" s="2">
        <f>INDEX('Data sources'!J:J,MATCH(G250,'Data sources'!A:A,0),1)</f>
        <v>4.2599999999999999E-2</v>
      </c>
      <c r="J250" s="2">
        <f>INDEX('Data sources'!R:R,MATCH(G250,'Data sources'!A:A,0),1)</f>
        <v>1</v>
      </c>
      <c r="K250" s="2">
        <f>INDEX('Data sources'!S:S,MATCH(G250,'Data sources'!A:A,0),1)</f>
        <v>0</v>
      </c>
      <c r="L250" t="str">
        <f t="shared" si="3"/>
        <v>Combustion of fuels_Tertiary education</v>
      </c>
      <c r="M250">
        <f>INDEX('Data sources'!U:U,MATCH($G250,'Data sources'!$A:$A,0),1)</f>
        <v>0.78416348147957027</v>
      </c>
      <c r="N250">
        <f>INDEX('Data sources'!V:V,MATCH($G250,'Data sources'!$A:$A,0),1)</f>
        <v>0.72535139859924458</v>
      </c>
    </row>
    <row r="251" spans="1:14" x14ac:dyDescent="0.2">
      <c r="A251" t="s">
        <v>10</v>
      </c>
      <c r="B251" t="s">
        <v>314</v>
      </c>
      <c r="C251" t="s">
        <v>286</v>
      </c>
      <c r="D251" t="s">
        <v>403</v>
      </c>
      <c r="E251" t="s">
        <v>15</v>
      </c>
      <c r="F251">
        <v>19</v>
      </c>
      <c r="G251" s="30" t="s">
        <v>325</v>
      </c>
      <c r="H251" s="2">
        <f>INDEX('Data sources'!G:G,MATCH(G251,'Data sources'!A:A,0),1)</f>
        <v>5.79E-2</v>
      </c>
      <c r="I251" s="2">
        <f>INDEX('Data sources'!J:J,MATCH(G251,'Data sources'!A:A,0),1)</f>
        <v>4.2599999999999999E-2</v>
      </c>
      <c r="J251" s="2">
        <f>INDEX('Data sources'!R:R,MATCH(G251,'Data sources'!A:A,0),1)</f>
        <v>1</v>
      </c>
      <c r="K251" s="2">
        <f>INDEX('Data sources'!S:S,MATCH(G251,'Data sources'!A:A,0),1)</f>
        <v>0</v>
      </c>
      <c r="L251" t="str">
        <f t="shared" si="3"/>
        <v>Combustion of fuels_Treatment and disposal of non-hazardous waste</v>
      </c>
      <c r="M251">
        <f>INDEX('Data sources'!U:U,MATCH($G251,'Data sources'!$A:$A,0),1)</f>
        <v>0.78416348147957027</v>
      </c>
      <c r="N251">
        <f>INDEX('Data sources'!V:V,MATCH($G251,'Data sources'!$A:$A,0),1)</f>
        <v>0.72535139859924458</v>
      </c>
    </row>
    <row r="252" spans="1:14" x14ac:dyDescent="0.2">
      <c r="A252" t="s">
        <v>10</v>
      </c>
      <c r="B252" t="s">
        <v>315</v>
      </c>
      <c r="C252" t="s">
        <v>17</v>
      </c>
      <c r="D252" t="s">
        <v>403</v>
      </c>
      <c r="E252" t="s">
        <v>15</v>
      </c>
      <c r="F252">
        <v>23</v>
      </c>
      <c r="G252" s="30" t="s">
        <v>325</v>
      </c>
      <c r="H252" s="2">
        <f>INDEX('Data sources'!G:G,MATCH(G252,'Data sources'!A:A,0),1)</f>
        <v>5.79E-2</v>
      </c>
      <c r="I252" s="2">
        <f>INDEX('Data sources'!J:J,MATCH(G252,'Data sources'!A:A,0),1)</f>
        <v>4.2599999999999999E-2</v>
      </c>
      <c r="J252" s="2">
        <f>INDEX('Data sources'!R:R,MATCH(G252,'Data sources'!A:A,0),1)</f>
        <v>1</v>
      </c>
      <c r="K252" s="2">
        <f>INDEX('Data sources'!S:S,MATCH(G252,'Data sources'!A:A,0),1)</f>
        <v>0</v>
      </c>
      <c r="L252" t="str">
        <f t="shared" si="3"/>
        <v>Combustion of fuels_Warehousing and storage</v>
      </c>
      <c r="M252">
        <f>INDEX('Data sources'!U:U,MATCH($G252,'Data sources'!$A:$A,0),1)</f>
        <v>0.78416348147957027</v>
      </c>
      <c r="N252">
        <f>INDEX('Data sources'!V:V,MATCH($G252,'Data sources'!$A:$A,0),1)</f>
        <v>0.72535139859924458</v>
      </c>
    </row>
    <row r="253" spans="1:14" x14ac:dyDescent="0.2">
      <c r="A253" t="s">
        <v>10</v>
      </c>
      <c r="B253" t="s">
        <v>316</v>
      </c>
      <c r="C253" t="s">
        <v>62</v>
      </c>
      <c r="D253" t="s">
        <v>403</v>
      </c>
      <c r="E253" t="s">
        <v>15</v>
      </c>
      <c r="F253">
        <v>5</v>
      </c>
      <c r="G253" s="30" t="s">
        <v>325</v>
      </c>
      <c r="H253" s="2">
        <f>INDEX('Data sources'!G:G,MATCH(G253,'Data sources'!A:A,0),1)</f>
        <v>5.79E-2</v>
      </c>
      <c r="I253" s="2">
        <f>INDEX('Data sources'!J:J,MATCH(G253,'Data sources'!A:A,0),1)</f>
        <v>4.2599999999999999E-2</v>
      </c>
      <c r="J253" s="2">
        <f>INDEX('Data sources'!R:R,MATCH(G253,'Data sources'!A:A,0),1)</f>
        <v>1</v>
      </c>
      <c r="K253" s="2">
        <f>INDEX('Data sources'!S:S,MATCH(G253,'Data sources'!A:A,0),1)</f>
        <v>0</v>
      </c>
      <c r="L253" t="str">
        <f t="shared" si="3"/>
        <v>Combustion of fuels_Weaving of textiles</v>
      </c>
      <c r="M253">
        <f>INDEX('Data sources'!U:U,MATCH($G253,'Data sources'!$A:$A,0),1)</f>
        <v>0.78416348147957027</v>
      </c>
      <c r="N253">
        <f>INDEX('Data sources'!V:V,MATCH($G253,'Data sources'!$A:$A,0),1)</f>
        <v>0.72535139859924458</v>
      </c>
    </row>
    <row r="254" spans="1:14" x14ac:dyDescent="0.2">
      <c r="A254" t="s">
        <v>10</v>
      </c>
      <c r="B254" t="s">
        <v>317</v>
      </c>
      <c r="C254" t="s">
        <v>318</v>
      </c>
      <c r="D254" t="s">
        <v>403</v>
      </c>
      <c r="E254" t="s">
        <v>15</v>
      </c>
      <c r="F254">
        <v>2</v>
      </c>
      <c r="G254" s="30" t="s">
        <v>325</v>
      </c>
      <c r="H254" s="2">
        <f>INDEX('Data sources'!G:G,MATCH(G254,'Data sources'!A:A,0),1)</f>
        <v>5.79E-2</v>
      </c>
      <c r="I254" s="2">
        <f>INDEX('Data sources'!J:J,MATCH(G254,'Data sources'!A:A,0),1)</f>
        <v>4.2599999999999999E-2</v>
      </c>
      <c r="J254" s="2">
        <f>INDEX('Data sources'!R:R,MATCH(G254,'Data sources'!A:A,0),1)</f>
        <v>1</v>
      </c>
      <c r="K254" s="2">
        <f>INDEX('Data sources'!S:S,MATCH(G254,'Data sources'!A:A,0),1)</f>
        <v>0</v>
      </c>
      <c r="L254" t="str">
        <f t="shared" si="3"/>
        <v>Combustion of fuels_Wholesale of flowers and plants</v>
      </c>
      <c r="M254">
        <f>INDEX('Data sources'!U:U,MATCH($G254,'Data sources'!$A:$A,0),1)</f>
        <v>0.78416348147957027</v>
      </c>
      <c r="N254">
        <f>INDEX('Data sources'!V:V,MATCH($G254,'Data sources'!$A:$A,0),1)</f>
        <v>0.72535139859924458</v>
      </c>
    </row>
    <row r="255" spans="1:14" x14ac:dyDescent="0.2">
      <c r="A255" t="s">
        <v>10</v>
      </c>
      <c r="B255" t="s">
        <v>319</v>
      </c>
      <c r="C255" t="s">
        <v>318</v>
      </c>
      <c r="D255" t="s">
        <v>403</v>
      </c>
      <c r="E255" t="s">
        <v>15</v>
      </c>
      <c r="F255">
        <v>33</v>
      </c>
      <c r="G255" s="30" t="s">
        <v>325</v>
      </c>
      <c r="H255" s="2">
        <f>INDEX('Data sources'!G:G,MATCH(G255,'Data sources'!A:A,0),1)</f>
        <v>5.79E-2</v>
      </c>
      <c r="I255" s="2">
        <f>INDEX('Data sources'!J:J,MATCH(G255,'Data sources'!A:A,0),1)</f>
        <v>4.2599999999999999E-2</v>
      </c>
      <c r="J255" s="2">
        <f>INDEX('Data sources'!R:R,MATCH(G255,'Data sources'!A:A,0),1)</f>
        <v>1</v>
      </c>
      <c r="K255" s="2">
        <f>INDEX('Data sources'!S:S,MATCH(G255,'Data sources'!A:A,0),1)</f>
        <v>0</v>
      </c>
      <c r="L255" t="str">
        <f t="shared" si="3"/>
        <v>Combustion of fuels_Wholesale of grain, unmanufactured tobacco, seeds and animal feeds</v>
      </c>
      <c r="M255">
        <f>INDEX('Data sources'!U:U,MATCH($G255,'Data sources'!$A:$A,0),1)</f>
        <v>0.78416348147957027</v>
      </c>
      <c r="N255">
        <f>INDEX('Data sources'!V:V,MATCH($G255,'Data sources'!$A:$A,0),1)</f>
        <v>0.72535139859924458</v>
      </c>
    </row>
    <row r="256" spans="1:14" x14ac:dyDescent="0.2">
      <c r="A256" t="s">
        <v>10</v>
      </c>
      <c r="B256" t="s">
        <v>320</v>
      </c>
      <c r="C256" t="s">
        <v>318</v>
      </c>
      <c r="D256" t="s">
        <v>403</v>
      </c>
      <c r="E256" t="s">
        <v>15</v>
      </c>
      <c r="F256">
        <v>1</v>
      </c>
      <c r="G256" s="30" t="s">
        <v>325</v>
      </c>
      <c r="H256" s="2">
        <f>INDEX('Data sources'!G:G,MATCH(G256,'Data sources'!A:A,0),1)</f>
        <v>5.79E-2</v>
      </c>
      <c r="I256" s="2">
        <f>INDEX('Data sources'!J:J,MATCH(G256,'Data sources'!A:A,0),1)</f>
        <v>4.2599999999999999E-2</v>
      </c>
      <c r="J256" s="2">
        <f>INDEX('Data sources'!R:R,MATCH(G256,'Data sources'!A:A,0),1)</f>
        <v>1</v>
      </c>
      <c r="K256" s="2">
        <f>INDEX('Data sources'!S:S,MATCH(G256,'Data sources'!A:A,0),1)</f>
        <v>0</v>
      </c>
      <c r="L256" t="str">
        <f t="shared" si="3"/>
        <v>Combustion of fuels_Wholesale of pharmaceutical goods</v>
      </c>
      <c r="M256">
        <f>INDEX('Data sources'!U:U,MATCH($G256,'Data sources'!$A:$A,0),1)</f>
        <v>0.78416348147957027</v>
      </c>
      <c r="N256">
        <f>INDEX('Data sources'!V:V,MATCH($G256,'Data sources'!$A:$A,0),1)</f>
        <v>0.72535139859924458</v>
      </c>
    </row>
    <row r="257" spans="1:14" x14ac:dyDescent="0.2">
      <c r="A257" t="s">
        <v>10</v>
      </c>
      <c r="B257" t="s">
        <v>321</v>
      </c>
      <c r="C257" t="s">
        <v>318</v>
      </c>
      <c r="D257" t="s">
        <v>403</v>
      </c>
      <c r="E257" t="s">
        <v>15</v>
      </c>
      <c r="F257">
        <v>1</v>
      </c>
      <c r="G257" s="30" t="s">
        <v>325</v>
      </c>
      <c r="H257" s="2">
        <f>INDEX('Data sources'!G:G,MATCH(G257,'Data sources'!A:A,0),1)</f>
        <v>5.79E-2</v>
      </c>
      <c r="I257" s="2">
        <f>INDEX('Data sources'!J:J,MATCH(G257,'Data sources'!A:A,0),1)</f>
        <v>4.2599999999999999E-2</v>
      </c>
      <c r="J257" s="2">
        <f>INDEX('Data sources'!R:R,MATCH(G257,'Data sources'!A:A,0),1)</f>
        <v>1</v>
      </c>
      <c r="K257" s="2">
        <f>INDEX('Data sources'!S:S,MATCH(G257,'Data sources'!A:A,0),1)</f>
        <v>0</v>
      </c>
      <c r="L257" t="str">
        <f t="shared" si="3"/>
        <v>Combustion of fuels_Wholesale of wood, construction materials and sanitary equipment</v>
      </c>
      <c r="M257">
        <f>INDEX('Data sources'!U:U,MATCH($G257,'Data sources'!$A:$A,0),1)</f>
        <v>0.78416348147957027</v>
      </c>
      <c r="N257">
        <f>INDEX('Data sources'!V:V,MATCH($G257,'Data sources'!$A:$A,0),1)</f>
        <v>0.72535139859924458</v>
      </c>
    </row>
    <row r="258" spans="1:14" x14ac:dyDescent="0.2">
      <c r="A258" t="s">
        <v>10</v>
      </c>
      <c r="B258" t="s">
        <v>172</v>
      </c>
      <c r="C258" t="s">
        <v>122</v>
      </c>
      <c r="D258" t="s">
        <v>410</v>
      </c>
      <c r="E258" t="s">
        <v>173</v>
      </c>
      <c r="F258">
        <v>2</v>
      </c>
      <c r="G258" s="30" t="s">
        <v>356</v>
      </c>
      <c r="H258" s="2">
        <f>INDEX('Data sources'!G:G,MATCH(G258,'Data sources'!A:A,0),1)</f>
        <v>0.2201185822484337</v>
      </c>
      <c r="I258" s="2">
        <f>INDEX('Data sources'!J:J,MATCH(G258,'Data sources'!A:A,0),1)</f>
        <v>0.22144473697589778</v>
      </c>
      <c r="J258" s="2">
        <f>INDEX('Data sources'!R:R,MATCH(G258,'Data sources'!A:A,0),1)</f>
        <v>6.1071928683366004</v>
      </c>
      <c r="K258" s="2">
        <f>INDEX('Data sources'!S:S,MATCH(G258,'Data sources'!A:A,0),1)</f>
        <v>0</v>
      </c>
      <c r="L258" t="str">
        <f t="shared" ref="L258:L321" si="4">IF(B258="",A258,A258&amp;"_"&amp;B258)</f>
        <v>Combustion of fuels_Manufacture of other articles of paper and paperboard</v>
      </c>
      <c r="M258">
        <f>INDEX('Data sources'!U:U,MATCH($G258,'Data sources'!$A:$A,0),1)</f>
        <v>0.8165774412482697</v>
      </c>
      <c r="N258">
        <f>INDEX('Data sources'!V:V,MATCH($G258,'Data sources'!$A:$A,0),1)</f>
        <v>0.94441452831676753</v>
      </c>
    </row>
    <row r="259" spans="1:14" x14ac:dyDescent="0.2">
      <c r="A259" t="s">
        <v>10</v>
      </c>
      <c r="B259" t="s">
        <v>208</v>
      </c>
      <c r="C259" t="s">
        <v>122</v>
      </c>
      <c r="D259" t="s">
        <v>410</v>
      </c>
      <c r="E259" t="s">
        <v>173</v>
      </c>
      <c r="F259">
        <v>3</v>
      </c>
      <c r="G259" s="30" t="s">
        <v>356</v>
      </c>
      <c r="H259" s="2">
        <f>INDEX('Data sources'!G:G,MATCH(G259,'Data sources'!A:A,0),1)</f>
        <v>0.2201185822484337</v>
      </c>
      <c r="I259" s="2">
        <f>INDEX('Data sources'!J:J,MATCH(G259,'Data sources'!A:A,0),1)</f>
        <v>0.22144473697589778</v>
      </c>
      <c r="J259" s="2">
        <f>INDEX('Data sources'!R:R,MATCH(G259,'Data sources'!A:A,0),1)</f>
        <v>6.1071928683366004</v>
      </c>
      <c r="K259" s="2">
        <f>INDEX('Data sources'!S:S,MATCH(G259,'Data sources'!A:A,0),1)</f>
        <v>0</v>
      </c>
      <c r="L259" t="str">
        <f t="shared" si="4"/>
        <v>Combustion of fuels_Manufacture of paper and paperboard</v>
      </c>
      <c r="M259">
        <f>INDEX('Data sources'!U:U,MATCH($G259,'Data sources'!$A:$A,0),1)</f>
        <v>0.8165774412482697</v>
      </c>
      <c r="N259">
        <f>INDEX('Data sources'!V:V,MATCH($G259,'Data sources'!$A:$A,0),1)</f>
        <v>0.94441452831676753</v>
      </c>
    </row>
    <row r="260" spans="1:14" x14ac:dyDescent="0.2">
      <c r="A260" t="s">
        <v>10</v>
      </c>
      <c r="B260" t="s">
        <v>211</v>
      </c>
      <c r="C260" t="s">
        <v>94</v>
      </c>
      <c r="D260" t="s">
        <v>95</v>
      </c>
      <c r="E260" t="s">
        <v>94</v>
      </c>
      <c r="F260">
        <v>31</v>
      </c>
      <c r="G260" s="30" t="s">
        <v>342</v>
      </c>
      <c r="H260" s="2">
        <f>INDEX('Data sources'!G:G,MATCH(G260,'Data sources'!A:A,0),1)</f>
        <v>0.38529467763961761</v>
      </c>
      <c r="I260" s="2">
        <f>INDEX('Data sources'!J:J,MATCH(G260,'Data sources'!A:A,0),1)</f>
        <v>0.65015695160798492</v>
      </c>
      <c r="J260" s="2">
        <f>INDEX('Data sources'!R:R,MATCH(G260,'Data sources'!A:A,0),1)</f>
        <v>0.99664158109543011</v>
      </c>
      <c r="K260" s="2">
        <f>INDEX('Data sources'!S:S,MATCH(G260,'Data sources'!A:A,0),1)</f>
        <v>5.2249389559964285</v>
      </c>
      <c r="L260" t="str">
        <f t="shared" si="4"/>
        <v>Combustion of fuels_Manufacture of pharmaceutical preparations</v>
      </c>
      <c r="M260">
        <f>INDEX('Data sources'!U:U,MATCH($G260,'Data sources'!$A:$A,0),1)</f>
        <v>0.84137119305744412</v>
      </c>
      <c r="N260">
        <f>INDEX('Data sources'!V:V,MATCH($G260,'Data sources'!$A:$A,0),1)</f>
        <v>0.86357922057787184</v>
      </c>
    </row>
    <row r="261" spans="1:14" x14ac:dyDescent="0.2">
      <c r="A261" t="s">
        <v>10</v>
      </c>
      <c r="B261" t="s">
        <v>43</v>
      </c>
      <c r="C261" t="s">
        <v>44</v>
      </c>
      <c r="D261" t="s">
        <v>45</v>
      </c>
      <c r="E261" t="s">
        <v>45</v>
      </c>
      <c r="F261">
        <v>2</v>
      </c>
      <c r="G261" s="30" t="s">
        <v>325</v>
      </c>
      <c r="H261" s="2">
        <f>INDEX('Data sources'!G:G,MATCH(G261,'Data sources'!A:A,0),1)</f>
        <v>5.79E-2</v>
      </c>
      <c r="I261" s="2">
        <f>INDEX('Data sources'!J:J,MATCH(G261,'Data sources'!A:A,0),1)</f>
        <v>4.2599999999999999E-2</v>
      </c>
      <c r="J261" s="2">
        <f>INDEX('Data sources'!R:R,MATCH(G261,'Data sources'!A:A,0),1)</f>
        <v>1</v>
      </c>
      <c r="K261" s="2">
        <f>INDEX('Data sources'!S:S,MATCH(G261,'Data sources'!A:A,0),1)</f>
        <v>0</v>
      </c>
      <c r="L261" t="str">
        <f t="shared" si="4"/>
        <v>Combustion of fuels_Distribution of electricity</v>
      </c>
      <c r="M261">
        <f>INDEX('Data sources'!U:U,MATCH($G261,'Data sources'!$A:$A,0),1)</f>
        <v>0.78416348147957027</v>
      </c>
      <c r="N261">
        <f>INDEX('Data sources'!V:V,MATCH($G261,'Data sources'!$A:$A,0),1)</f>
        <v>0.72535139859924458</v>
      </c>
    </row>
    <row r="262" spans="1:14" x14ac:dyDescent="0.2">
      <c r="A262" t="s">
        <v>10</v>
      </c>
      <c r="B262" t="s">
        <v>46</v>
      </c>
      <c r="C262" t="s">
        <v>44</v>
      </c>
      <c r="D262" t="s">
        <v>45</v>
      </c>
      <c r="E262" t="s">
        <v>45</v>
      </c>
      <c r="F262">
        <v>74</v>
      </c>
      <c r="G262" s="30" t="s">
        <v>325</v>
      </c>
      <c r="H262" s="2">
        <f>INDEX('Data sources'!G:G,MATCH(G262,'Data sources'!A:A,0),1)</f>
        <v>5.79E-2</v>
      </c>
      <c r="I262" s="2">
        <f>INDEX('Data sources'!J:J,MATCH(G262,'Data sources'!A:A,0),1)</f>
        <v>4.2599999999999999E-2</v>
      </c>
      <c r="J262" s="2">
        <f>INDEX('Data sources'!R:R,MATCH(G262,'Data sources'!A:A,0),1)</f>
        <v>1</v>
      </c>
      <c r="K262" s="2">
        <f>INDEX('Data sources'!S:S,MATCH(G262,'Data sources'!A:A,0),1)</f>
        <v>0</v>
      </c>
      <c r="L262" t="str">
        <f t="shared" si="4"/>
        <v>Combustion of fuels_Distribution of gaseous fuels through mains</v>
      </c>
      <c r="M262">
        <f>INDEX('Data sources'!U:U,MATCH($G262,'Data sources'!$A:$A,0),1)</f>
        <v>0.78416348147957027</v>
      </c>
      <c r="N262">
        <f>INDEX('Data sources'!V:V,MATCH($G262,'Data sources'!$A:$A,0),1)</f>
        <v>0.72535139859924458</v>
      </c>
    </row>
    <row r="263" spans="1:14" x14ac:dyDescent="0.2">
      <c r="A263" t="s">
        <v>10</v>
      </c>
      <c r="B263" t="s">
        <v>47</v>
      </c>
      <c r="C263" t="s">
        <v>44</v>
      </c>
      <c r="D263" t="s">
        <v>45</v>
      </c>
      <c r="E263" t="s">
        <v>45</v>
      </c>
      <c r="F263">
        <v>168</v>
      </c>
      <c r="G263" s="30" t="s">
        <v>325</v>
      </c>
      <c r="H263" s="2">
        <f>INDEX('Data sources'!G:G,MATCH(G263,'Data sources'!A:A,0),1)</f>
        <v>5.79E-2</v>
      </c>
      <c r="I263" s="2">
        <f>INDEX('Data sources'!J:J,MATCH(G263,'Data sources'!A:A,0),1)</f>
        <v>4.2599999999999999E-2</v>
      </c>
      <c r="J263" s="2">
        <f>INDEX('Data sources'!R:R,MATCH(G263,'Data sources'!A:A,0),1)</f>
        <v>1</v>
      </c>
      <c r="K263" s="2">
        <f>INDEX('Data sources'!S:S,MATCH(G263,'Data sources'!A:A,0),1)</f>
        <v>0</v>
      </c>
      <c r="L263" t="str">
        <f t="shared" si="4"/>
        <v>Combustion of fuels_Electric power generation, transmission and distribution</v>
      </c>
      <c r="M263">
        <f>INDEX('Data sources'!U:U,MATCH($G263,'Data sources'!$A:$A,0),1)</f>
        <v>0.78416348147957027</v>
      </c>
      <c r="N263">
        <f>INDEX('Data sources'!V:V,MATCH($G263,'Data sources'!$A:$A,0),1)</f>
        <v>0.72535139859924458</v>
      </c>
    </row>
    <row r="264" spans="1:14" x14ac:dyDescent="0.2">
      <c r="A264" t="s">
        <v>10</v>
      </c>
      <c r="B264" t="s">
        <v>44</v>
      </c>
      <c r="C264" t="s">
        <v>44</v>
      </c>
      <c r="D264" t="s">
        <v>45</v>
      </c>
      <c r="E264" t="s">
        <v>45</v>
      </c>
      <c r="F264">
        <v>76</v>
      </c>
      <c r="G264" s="30" t="s">
        <v>329</v>
      </c>
      <c r="H264" s="2">
        <f>INDEX('Data sources'!G:G,MATCH(G264,'Data sources'!A:A,0),1)</f>
        <v>7.6799999999999993E-2</v>
      </c>
      <c r="I264" s="2">
        <f>INDEX('Data sources'!J:J,MATCH(G264,'Data sources'!A:A,0),1)</f>
        <v>4.7300000000000002E-2</v>
      </c>
      <c r="J264" s="2">
        <f>INDEX('Data sources'!R:R,MATCH(G264,'Data sources'!A:A,0),1)</f>
        <v>1</v>
      </c>
      <c r="K264" s="2">
        <f>INDEX('Data sources'!S:S,MATCH(G264,'Data sources'!A:A,0),1)</f>
        <v>0</v>
      </c>
      <c r="L264" t="str">
        <f t="shared" si="4"/>
        <v>Combustion of fuels_Electricity, gas, steam and air conditioning supply</v>
      </c>
      <c r="M264">
        <f>INDEX('Data sources'!U:U,MATCH($G264,'Data sources'!$A:$A,0),1)</f>
        <v>0.78416348147957027</v>
      </c>
      <c r="N264">
        <f>INDEX('Data sources'!V:V,MATCH($G264,'Data sources'!$A:$A,0),1)</f>
        <v>0.72535139859924458</v>
      </c>
    </row>
    <row r="265" spans="1:14" x14ac:dyDescent="0.2">
      <c r="A265" t="s">
        <v>10</v>
      </c>
      <c r="B265" t="s">
        <v>140</v>
      </c>
      <c r="C265" t="s">
        <v>44</v>
      </c>
      <c r="D265" t="s">
        <v>45</v>
      </c>
      <c r="E265" t="s">
        <v>45</v>
      </c>
      <c r="F265">
        <v>14</v>
      </c>
      <c r="G265" s="30" t="s">
        <v>325</v>
      </c>
      <c r="H265" s="2">
        <f>INDEX('Data sources'!G:G,MATCH(G265,'Data sources'!A:A,0),1)</f>
        <v>5.79E-2</v>
      </c>
      <c r="I265" s="2">
        <f>INDEX('Data sources'!J:J,MATCH(G265,'Data sources'!A:A,0),1)</f>
        <v>4.2599999999999999E-2</v>
      </c>
      <c r="J265" s="2">
        <f>INDEX('Data sources'!R:R,MATCH(G265,'Data sources'!A:A,0),1)</f>
        <v>1</v>
      </c>
      <c r="K265" s="2">
        <f>INDEX('Data sources'!S:S,MATCH(G265,'Data sources'!A:A,0),1)</f>
        <v>0</v>
      </c>
      <c r="L265" t="str">
        <f t="shared" si="4"/>
        <v>Combustion of fuels_Manufacture of gas</v>
      </c>
      <c r="M265">
        <f>INDEX('Data sources'!U:U,MATCH($G265,'Data sources'!$A:$A,0),1)</f>
        <v>0.78416348147957027</v>
      </c>
      <c r="N265">
        <f>INDEX('Data sources'!V:V,MATCH($G265,'Data sources'!$A:$A,0),1)</f>
        <v>0.72535139859924458</v>
      </c>
    </row>
    <row r="266" spans="1:14" x14ac:dyDescent="0.2">
      <c r="A266" t="s">
        <v>10</v>
      </c>
      <c r="B266" t="s">
        <v>282</v>
      </c>
      <c r="C266" t="s">
        <v>44</v>
      </c>
      <c r="D266" t="s">
        <v>45</v>
      </c>
      <c r="E266" t="s">
        <v>45</v>
      </c>
      <c r="F266">
        <v>769</v>
      </c>
      <c r="G266" s="30" t="s">
        <v>325</v>
      </c>
      <c r="H266" s="2">
        <f>INDEX('Data sources'!G:G,MATCH(G266,'Data sources'!A:A,0),1)</f>
        <v>5.79E-2</v>
      </c>
      <c r="I266" s="2">
        <f>INDEX('Data sources'!J:J,MATCH(G266,'Data sources'!A:A,0),1)</f>
        <v>4.2599999999999999E-2</v>
      </c>
      <c r="J266" s="2">
        <f>INDEX('Data sources'!R:R,MATCH(G266,'Data sources'!A:A,0),1)</f>
        <v>1</v>
      </c>
      <c r="K266" s="2">
        <f>INDEX('Data sources'!S:S,MATCH(G266,'Data sources'!A:A,0),1)</f>
        <v>0</v>
      </c>
      <c r="L266" t="str">
        <f t="shared" si="4"/>
        <v>Combustion of fuels_Production of electricity</v>
      </c>
      <c r="M266">
        <f>INDEX('Data sources'!U:U,MATCH($G266,'Data sources'!$A:$A,0),1)</f>
        <v>0.78416348147957027</v>
      </c>
      <c r="N266">
        <f>INDEX('Data sources'!V:V,MATCH($G266,'Data sources'!$A:$A,0),1)</f>
        <v>0.72535139859924458</v>
      </c>
    </row>
    <row r="267" spans="1:14" x14ac:dyDescent="0.2">
      <c r="A267" t="s">
        <v>10</v>
      </c>
      <c r="B267" t="s">
        <v>301</v>
      </c>
      <c r="C267" t="s">
        <v>44</v>
      </c>
      <c r="D267" t="s">
        <v>45</v>
      </c>
      <c r="E267" t="s">
        <v>45</v>
      </c>
      <c r="F267">
        <v>1855</v>
      </c>
      <c r="G267" s="30" t="s">
        <v>329</v>
      </c>
      <c r="H267" s="2">
        <f>INDEX('Data sources'!G:G,MATCH(G267,'Data sources'!A:A,0),1)</f>
        <v>7.6799999999999993E-2</v>
      </c>
      <c r="I267" s="2">
        <f>INDEX('Data sources'!J:J,MATCH(G267,'Data sources'!A:A,0),1)</f>
        <v>4.7300000000000002E-2</v>
      </c>
      <c r="J267" s="2">
        <f>INDEX('Data sources'!R:R,MATCH(G267,'Data sources'!A:A,0),1)</f>
        <v>1</v>
      </c>
      <c r="K267" s="2">
        <f>INDEX('Data sources'!S:S,MATCH(G267,'Data sources'!A:A,0),1)</f>
        <v>0</v>
      </c>
      <c r="L267" t="str">
        <f t="shared" si="4"/>
        <v>Combustion of fuels_Steam and air conditioning supply</v>
      </c>
      <c r="M267">
        <f>INDEX('Data sources'!U:U,MATCH($G267,'Data sources'!$A:$A,0),1)</f>
        <v>0.78416348147957027</v>
      </c>
      <c r="N267">
        <f>INDEX('Data sources'!V:V,MATCH($G267,'Data sources'!$A:$A,0),1)</f>
        <v>0.72535139859924458</v>
      </c>
    </row>
    <row r="268" spans="1:14" x14ac:dyDescent="0.2">
      <c r="A268" t="s">
        <v>10</v>
      </c>
      <c r="B268" t="s">
        <v>310</v>
      </c>
      <c r="C268" t="s">
        <v>44</v>
      </c>
      <c r="D268" t="s">
        <v>45</v>
      </c>
      <c r="E268" t="s">
        <v>45</v>
      </c>
      <c r="F268">
        <v>2</v>
      </c>
      <c r="G268" s="30" t="s">
        <v>325</v>
      </c>
      <c r="H268" s="2">
        <f>INDEX('Data sources'!G:G,MATCH(G268,'Data sources'!A:A,0),1)</f>
        <v>5.79E-2</v>
      </c>
      <c r="I268" s="2">
        <f>INDEX('Data sources'!J:J,MATCH(G268,'Data sources'!A:A,0),1)</f>
        <v>4.2599999999999999E-2</v>
      </c>
      <c r="J268" s="2">
        <f>INDEX('Data sources'!R:R,MATCH(G268,'Data sources'!A:A,0),1)</f>
        <v>1</v>
      </c>
      <c r="K268" s="2">
        <f>INDEX('Data sources'!S:S,MATCH(G268,'Data sources'!A:A,0),1)</f>
        <v>0</v>
      </c>
      <c r="L268" t="str">
        <f t="shared" si="4"/>
        <v>Combustion of fuels_Trade of electricity</v>
      </c>
      <c r="M268">
        <f>INDEX('Data sources'!U:U,MATCH($G268,'Data sources'!$A:$A,0),1)</f>
        <v>0.78416348147957027</v>
      </c>
      <c r="N268">
        <f>INDEX('Data sources'!V:V,MATCH($G268,'Data sources'!$A:$A,0),1)</f>
        <v>0.72535139859924458</v>
      </c>
    </row>
    <row r="269" spans="1:14" x14ac:dyDescent="0.2">
      <c r="A269" t="s">
        <v>10</v>
      </c>
      <c r="B269" t="s">
        <v>311</v>
      </c>
      <c r="C269" t="s">
        <v>44</v>
      </c>
      <c r="D269" t="s">
        <v>45</v>
      </c>
      <c r="E269" t="s">
        <v>45</v>
      </c>
      <c r="F269">
        <v>3</v>
      </c>
      <c r="G269" s="30" t="s">
        <v>325</v>
      </c>
      <c r="H269" s="2">
        <f>INDEX('Data sources'!G:G,MATCH(G269,'Data sources'!A:A,0),1)</f>
        <v>5.79E-2</v>
      </c>
      <c r="I269" s="2">
        <f>INDEX('Data sources'!J:J,MATCH(G269,'Data sources'!A:A,0),1)</f>
        <v>4.2599999999999999E-2</v>
      </c>
      <c r="J269" s="2">
        <f>INDEX('Data sources'!R:R,MATCH(G269,'Data sources'!A:A,0),1)</f>
        <v>1</v>
      </c>
      <c r="K269" s="2">
        <f>INDEX('Data sources'!S:S,MATCH(G269,'Data sources'!A:A,0),1)</f>
        <v>0</v>
      </c>
      <c r="L269" t="str">
        <f t="shared" si="4"/>
        <v>Combustion of fuels_Trade of gas through mains</v>
      </c>
      <c r="M269">
        <f>INDEX('Data sources'!U:U,MATCH($G269,'Data sources'!$A:$A,0),1)</f>
        <v>0.78416348147957027</v>
      </c>
      <c r="N269">
        <f>INDEX('Data sources'!V:V,MATCH($G269,'Data sources'!$A:$A,0),1)</f>
        <v>0.72535139859924458</v>
      </c>
    </row>
    <row r="270" spans="1:14" x14ac:dyDescent="0.2">
      <c r="A270" t="s">
        <v>10</v>
      </c>
      <c r="B270" t="s">
        <v>312</v>
      </c>
      <c r="C270" t="s">
        <v>269</v>
      </c>
      <c r="D270" t="s">
        <v>45</v>
      </c>
      <c r="E270" t="s">
        <v>45</v>
      </c>
      <c r="F270">
        <v>71</v>
      </c>
      <c r="G270" s="30" t="s">
        <v>325</v>
      </c>
      <c r="H270" s="2">
        <f>INDEX('Data sources'!G:G,MATCH(G270,'Data sources'!A:A,0),1)</f>
        <v>5.79E-2</v>
      </c>
      <c r="I270" s="2">
        <f>INDEX('Data sources'!J:J,MATCH(G270,'Data sources'!A:A,0),1)</f>
        <v>4.2599999999999999E-2</v>
      </c>
      <c r="J270" s="2">
        <f>INDEX('Data sources'!R:R,MATCH(G270,'Data sources'!A:A,0),1)</f>
        <v>1</v>
      </c>
      <c r="K270" s="2">
        <f>INDEX('Data sources'!S:S,MATCH(G270,'Data sources'!A:A,0),1)</f>
        <v>0</v>
      </c>
      <c r="L270" t="str">
        <f t="shared" si="4"/>
        <v>Combustion of fuels_Transport via pipeline</v>
      </c>
      <c r="M270">
        <f>INDEX('Data sources'!U:U,MATCH($G270,'Data sources'!$A:$A,0),1)</f>
        <v>0.78416348147957027</v>
      </c>
      <c r="N270">
        <f>INDEX('Data sources'!V:V,MATCH($G270,'Data sources'!$A:$A,0),1)</f>
        <v>0.72535139859924458</v>
      </c>
    </row>
    <row r="271" spans="1:14" x14ac:dyDescent="0.2">
      <c r="A271" t="s">
        <v>10</v>
      </c>
      <c r="B271" t="s">
        <v>223</v>
      </c>
      <c r="C271" t="s">
        <v>115</v>
      </c>
      <c r="D271" t="s">
        <v>224</v>
      </c>
      <c r="E271" t="s">
        <v>224</v>
      </c>
      <c r="F271">
        <v>4</v>
      </c>
      <c r="G271" s="30" t="s">
        <v>333</v>
      </c>
      <c r="H271" s="2">
        <f>INDEX('Data sources'!G:G,MATCH(G271,'Data sources'!A:A,0),1)</f>
        <v>0.55000000000000004</v>
      </c>
      <c r="I271" s="2">
        <f>INDEX('Data sources'!J:J,MATCH(G271,'Data sources'!A:A,0),1)</f>
        <v>0.40714285714285714</v>
      </c>
      <c r="J271" s="2">
        <f>INDEX('Data sources'!R:R,MATCH(G271,'Data sources'!A:A,0),1)</f>
        <v>0</v>
      </c>
      <c r="K271" s="2">
        <f>INDEX('Data sources'!S:S,MATCH(G271,'Data sources'!A:A,0),1)</f>
        <v>0.432</v>
      </c>
      <c r="L271" t="str">
        <f t="shared" si="4"/>
        <v>Combustion of fuels_Manufacture of refined petroleum products</v>
      </c>
      <c r="M271">
        <f>INDEX('Data sources'!U:U,MATCH($G271,'Data sources'!$A:$A,0),1)</f>
        <v>0.75247638813310724</v>
      </c>
      <c r="N271">
        <f>INDEX('Data sources'!V:V,MATCH($G271,'Data sources'!$A:$A,0),1)</f>
        <v>0.39034566820695693</v>
      </c>
    </row>
    <row r="272" spans="1:14" x14ac:dyDescent="0.2">
      <c r="A272" t="s">
        <v>10</v>
      </c>
      <c r="B272" t="s">
        <v>225</v>
      </c>
      <c r="C272" t="s">
        <v>81</v>
      </c>
      <c r="D272" t="s">
        <v>409</v>
      </c>
      <c r="E272" t="s">
        <v>331</v>
      </c>
      <c r="F272">
        <v>5</v>
      </c>
      <c r="G272" s="30" t="s">
        <v>332</v>
      </c>
      <c r="H272" s="2">
        <f>INDEX('Data sources'!G:G,MATCH(G272,'Data sources'!A:A,0),1)</f>
        <v>1.8</v>
      </c>
      <c r="I272" s="2">
        <f>INDEX('Data sources'!J:J,MATCH(G272,'Data sources'!A:A,0),1)</f>
        <v>1.8</v>
      </c>
      <c r="J272" s="2">
        <f>INDEX('Data sources'!R:R,MATCH(G272,'Data sources'!A:A,0),1)</f>
        <v>5.378400000000001</v>
      </c>
      <c r="K272" s="2">
        <f>INDEX('Data sources'!S:S,MATCH(G272,'Data sources'!A:A,0),1)</f>
        <v>0</v>
      </c>
      <c r="L272" t="str">
        <f t="shared" si="4"/>
        <v>Combustion of fuels_Manufacture of refractory products</v>
      </c>
      <c r="M272">
        <f>INDEX('Data sources'!U:U,MATCH($G272,'Data sources'!$A:$A,0),1)</f>
        <v>0.66884534593017986</v>
      </c>
      <c r="N272">
        <f>INDEX('Data sources'!V:V,MATCH($G272,'Data sources'!$A:$A,0),1)</f>
        <v>0.58742624959688228</v>
      </c>
    </row>
    <row r="273" spans="1:14" x14ac:dyDescent="0.2">
      <c r="A273" t="s">
        <v>10</v>
      </c>
      <c r="B273" t="s">
        <v>197</v>
      </c>
      <c r="C273" t="s">
        <v>198</v>
      </c>
      <c r="D273" t="s">
        <v>95</v>
      </c>
      <c r="E273" t="s">
        <v>95</v>
      </c>
      <c r="F273">
        <v>2</v>
      </c>
      <c r="G273" s="30" t="s">
        <v>335</v>
      </c>
      <c r="H273" s="2">
        <f>INDEX('Data sources'!G:G,MATCH(G273,'Data sources'!A:A,0),1)</f>
        <v>0.49494039340491602</v>
      </c>
      <c r="I273" s="2">
        <f>INDEX('Data sources'!J:J,MATCH(G273,'Data sources'!A:A,0),1)</f>
        <v>0.76276347235126118</v>
      </c>
      <c r="J273" s="2">
        <f>INDEX('Data sources'!R:R,MATCH(G273,'Data sources'!A:A,0),1)</f>
        <v>6.0728236366858992</v>
      </c>
      <c r="K273" s="2">
        <f>INDEX('Data sources'!S:S,MATCH(G273,'Data sources'!A:A,0),1)</f>
        <v>0</v>
      </c>
      <c r="L273" t="str">
        <f t="shared" si="4"/>
        <v>Combustion of fuels_Manufacture of other plastic products</v>
      </c>
      <c r="M273">
        <f>INDEX('Data sources'!U:U,MATCH($G273,'Data sources'!$A:$A,0),1)</f>
        <v>0.84137119305744412</v>
      </c>
      <c r="N273">
        <f>INDEX('Data sources'!V:V,MATCH($G273,'Data sources'!$A:$A,0),1)</f>
        <v>0.86357922057787206</v>
      </c>
    </row>
    <row r="274" spans="1:14" x14ac:dyDescent="0.2">
      <c r="A274" t="s">
        <v>10</v>
      </c>
      <c r="B274" t="s">
        <v>202</v>
      </c>
      <c r="C274" t="s">
        <v>198</v>
      </c>
      <c r="D274" t="s">
        <v>95</v>
      </c>
      <c r="E274" t="s">
        <v>95</v>
      </c>
      <c r="F274">
        <v>4</v>
      </c>
      <c r="G274" s="30" t="s">
        <v>335</v>
      </c>
      <c r="H274" s="2">
        <f>INDEX('Data sources'!G:G,MATCH(G274,'Data sources'!A:A,0),1)</f>
        <v>0.49494039340491602</v>
      </c>
      <c r="I274" s="2">
        <f>INDEX('Data sources'!J:J,MATCH(G274,'Data sources'!A:A,0),1)</f>
        <v>0.76276347235126118</v>
      </c>
      <c r="J274" s="2">
        <f>INDEX('Data sources'!R:R,MATCH(G274,'Data sources'!A:A,0),1)</f>
        <v>6.0728236366858992</v>
      </c>
      <c r="K274" s="2">
        <f>INDEX('Data sources'!S:S,MATCH(G274,'Data sources'!A:A,0),1)</f>
        <v>0</v>
      </c>
      <c r="L274" t="str">
        <f t="shared" si="4"/>
        <v>Combustion of fuels_Manufacture of other rubber products</v>
      </c>
      <c r="M274">
        <f>INDEX('Data sources'!U:U,MATCH($G274,'Data sources'!$A:$A,0),1)</f>
        <v>0.84137119305744412</v>
      </c>
      <c r="N274">
        <f>INDEX('Data sources'!V:V,MATCH($G274,'Data sources'!$A:$A,0),1)</f>
        <v>0.86357922057787206</v>
      </c>
    </row>
    <row r="275" spans="1:14" x14ac:dyDescent="0.2">
      <c r="A275" t="s">
        <v>10</v>
      </c>
      <c r="B275" t="s">
        <v>214</v>
      </c>
      <c r="C275" t="s">
        <v>198</v>
      </c>
      <c r="D275" t="s">
        <v>95</v>
      </c>
      <c r="E275" t="s">
        <v>95</v>
      </c>
      <c r="F275">
        <v>2</v>
      </c>
      <c r="G275" s="30" t="s">
        <v>335</v>
      </c>
      <c r="H275" s="2">
        <f>INDEX('Data sources'!G:G,MATCH(G275,'Data sources'!A:A,0),1)</f>
        <v>0.49494039340491602</v>
      </c>
      <c r="I275" s="2">
        <f>INDEX('Data sources'!J:J,MATCH(G275,'Data sources'!A:A,0),1)</f>
        <v>0.76276347235126118</v>
      </c>
      <c r="J275" s="2">
        <f>INDEX('Data sources'!R:R,MATCH(G275,'Data sources'!A:A,0),1)</f>
        <v>6.0728236366858992</v>
      </c>
      <c r="K275" s="2">
        <f>INDEX('Data sources'!S:S,MATCH(G275,'Data sources'!A:A,0),1)</f>
        <v>0</v>
      </c>
      <c r="L275" t="str">
        <f t="shared" si="4"/>
        <v>Combustion of fuels_Manufacture of plastic packing goods</v>
      </c>
      <c r="M275">
        <f>INDEX('Data sources'!U:U,MATCH($G275,'Data sources'!$A:$A,0),1)</f>
        <v>0.84137119305744412</v>
      </c>
      <c r="N275">
        <f>INDEX('Data sources'!V:V,MATCH($G275,'Data sources'!$A:$A,0),1)</f>
        <v>0.86357922057787206</v>
      </c>
    </row>
    <row r="276" spans="1:14" x14ac:dyDescent="0.2">
      <c r="A276" t="s">
        <v>10</v>
      </c>
      <c r="B276" t="s">
        <v>215</v>
      </c>
      <c r="C276" t="s">
        <v>198</v>
      </c>
      <c r="D276" t="s">
        <v>95</v>
      </c>
      <c r="E276" t="s">
        <v>95</v>
      </c>
      <c r="F276">
        <v>4</v>
      </c>
      <c r="G276" s="30" t="s">
        <v>335</v>
      </c>
      <c r="H276" s="2">
        <f>INDEX('Data sources'!G:G,MATCH(G276,'Data sources'!A:A,0),1)</f>
        <v>0.49494039340491602</v>
      </c>
      <c r="I276" s="2">
        <f>INDEX('Data sources'!J:J,MATCH(G276,'Data sources'!A:A,0),1)</f>
        <v>0.76276347235126118</v>
      </c>
      <c r="J276" s="2">
        <f>INDEX('Data sources'!R:R,MATCH(G276,'Data sources'!A:A,0),1)</f>
        <v>6.0728236366858992</v>
      </c>
      <c r="K276" s="2">
        <f>INDEX('Data sources'!S:S,MATCH(G276,'Data sources'!A:A,0),1)</f>
        <v>0</v>
      </c>
      <c r="L276" t="str">
        <f t="shared" si="4"/>
        <v>Combustion of fuels_Manufacture of plastic plates, sheets, tubes and profiles</v>
      </c>
      <c r="M276">
        <f>INDEX('Data sources'!U:U,MATCH($G276,'Data sources'!$A:$A,0),1)</f>
        <v>0.84137119305744412</v>
      </c>
      <c r="N276">
        <f>INDEX('Data sources'!V:V,MATCH($G276,'Data sources'!$A:$A,0),1)</f>
        <v>0.86357922057787206</v>
      </c>
    </row>
    <row r="277" spans="1:14" x14ac:dyDescent="0.2">
      <c r="A277" t="s">
        <v>10</v>
      </c>
      <c r="B277" t="s">
        <v>226</v>
      </c>
      <c r="C277" t="s">
        <v>198</v>
      </c>
      <c r="D277" t="s">
        <v>95</v>
      </c>
      <c r="E277" t="s">
        <v>95</v>
      </c>
      <c r="F277">
        <v>23</v>
      </c>
      <c r="G277" s="30" t="s">
        <v>335</v>
      </c>
      <c r="H277" s="2">
        <f>INDEX('Data sources'!G:G,MATCH(G277,'Data sources'!A:A,0),1)</f>
        <v>0.49494039340491602</v>
      </c>
      <c r="I277" s="2">
        <f>INDEX('Data sources'!J:J,MATCH(G277,'Data sources'!A:A,0),1)</f>
        <v>0.76276347235126118</v>
      </c>
      <c r="J277" s="2">
        <f>INDEX('Data sources'!R:R,MATCH(G277,'Data sources'!A:A,0),1)</f>
        <v>6.0728236366858992</v>
      </c>
      <c r="K277" s="2">
        <f>INDEX('Data sources'!S:S,MATCH(G277,'Data sources'!A:A,0),1)</f>
        <v>0</v>
      </c>
      <c r="L277" t="str">
        <f t="shared" si="4"/>
        <v>Combustion of fuels_Manufacture of rubber tyres and tubes</v>
      </c>
      <c r="M277">
        <f>INDEX('Data sources'!U:U,MATCH($G277,'Data sources'!$A:$A,0),1)</f>
        <v>0.84137119305744412</v>
      </c>
      <c r="N277">
        <f>INDEX('Data sources'!V:V,MATCH($G277,'Data sources'!$A:$A,0),1)</f>
        <v>0.86357922057787206</v>
      </c>
    </row>
    <row r="278" spans="1:14" x14ac:dyDescent="0.2">
      <c r="A278" s="2" t="s">
        <v>10</v>
      </c>
      <c r="D278" t="s">
        <v>403</v>
      </c>
      <c r="E278" t="s">
        <v>15</v>
      </c>
      <c r="G278" s="30" t="s">
        <v>325</v>
      </c>
      <c r="H278" s="2">
        <f>INDEX('Data sources'!G:G,MATCH(G278,'Data sources'!A:A,0),1)</f>
        <v>5.79E-2</v>
      </c>
      <c r="I278" s="2">
        <f>INDEX('Data sources'!J:J,MATCH(G278,'Data sources'!A:A,0),1)</f>
        <v>4.2599999999999999E-2</v>
      </c>
      <c r="J278" s="2">
        <f>INDEX('Data sources'!R:R,MATCH(G278,'Data sources'!A:A,0),1)</f>
        <v>1</v>
      </c>
      <c r="K278" s="2">
        <f>INDEX('Data sources'!S:S,MATCH(G278,'Data sources'!A:A,0),1)</f>
        <v>0</v>
      </c>
      <c r="L278" t="str">
        <f t="shared" si="4"/>
        <v>Combustion of fuels</v>
      </c>
      <c r="M278">
        <f>INDEX('Data sources'!U:U,MATCH($G278,'Data sources'!$A:$A,0),1)</f>
        <v>0.78416348147957027</v>
      </c>
      <c r="N278">
        <f>INDEX('Data sources'!V:V,MATCH($G278,'Data sources'!$A:$A,0),1)</f>
        <v>0.72535139859924458</v>
      </c>
    </row>
    <row r="279" spans="1:14" x14ac:dyDescent="0.2">
      <c r="A279" t="s">
        <v>50</v>
      </c>
      <c r="B279" t="s">
        <v>208</v>
      </c>
      <c r="C279" t="s">
        <v>122</v>
      </c>
      <c r="D279" t="s">
        <v>410</v>
      </c>
      <c r="E279" t="s">
        <v>173</v>
      </c>
      <c r="F279">
        <v>70</v>
      </c>
      <c r="G279" s="30" t="s">
        <v>356</v>
      </c>
      <c r="H279" s="2">
        <f>INDEX('Data sources'!G:G,MATCH(G279,'Data sources'!A:A,0),1)</f>
        <v>0.2201185822484337</v>
      </c>
      <c r="I279" s="2">
        <f>INDEX('Data sources'!J:J,MATCH(G279,'Data sources'!A:A,0),1)</f>
        <v>0.22144473697589778</v>
      </c>
      <c r="J279" s="2">
        <f>INDEX('Data sources'!R:R,MATCH(G279,'Data sources'!A:A,0),1)</f>
        <v>6.1071928683366004</v>
      </c>
      <c r="K279" s="2">
        <f>INDEX('Data sources'!S:S,MATCH(G279,'Data sources'!A:A,0),1)</f>
        <v>0</v>
      </c>
      <c r="L279" t="str">
        <f t="shared" si="4"/>
        <v>Industrial plants for the production of (a) pulp from timber or other fibrous materials (b) paper and board_Manufacture of paper and paperboard</v>
      </c>
      <c r="M279">
        <f>INDEX('Data sources'!U:U,MATCH($G279,'Data sources'!$A:$A,0),1)</f>
        <v>0.8165774412482697</v>
      </c>
      <c r="N279">
        <f>INDEX('Data sources'!V:V,MATCH($G279,'Data sources'!$A:$A,0),1)</f>
        <v>0.94441452831676753</v>
      </c>
    </row>
    <row r="280" spans="1:14" x14ac:dyDescent="0.2">
      <c r="A280" t="s">
        <v>50</v>
      </c>
      <c r="B280" t="s">
        <v>47</v>
      </c>
      <c r="C280" t="s">
        <v>44</v>
      </c>
      <c r="D280" t="s">
        <v>45</v>
      </c>
      <c r="E280" t="s">
        <v>45</v>
      </c>
      <c r="F280">
        <v>1</v>
      </c>
      <c r="G280" s="30" t="s">
        <v>325</v>
      </c>
      <c r="H280" s="2">
        <f>INDEX('Data sources'!G:G,MATCH(G280,'Data sources'!A:A,0),1)</f>
        <v>5.79E-2</v>
      </c>
      <c r="I280" s="2">
        <f>INDEX('Data sources'!J:J,MATCH(G280,'Data sources'!A:A,0),1)</f>
        <v>4.2599999999999999E-2</v>
      </c>
      <c r="J280" s="2">
        <f>INDEX('Data sources'!R:R,MATCH(G280,'Data sources'!A:A,0),1)</f>
        <v>1</v>
      </c>
      <c r="K280" s="2">
        <f>INDEX('Data sources'!S:S,MATCH(G280,'Data sources'!A:A,0),1)</f>
        <v>0</v>
      </c>
      <c r="L280" t="str">
        <f t="shared" si="4"/>
        <v>Industrial plants for the production of (a) pulp from timber or other fibrous materials (b) paper and board_Electric power generation, transmission and distribution</v>
      </c>
      <c r="M280">
        <f>INDEX('Data sources'!U:U,MATCH($G280,'Data sources'!$A:$A,0),1)</f>
        <v>0.78416348147957027</v>
      </c>
      <c r="N280">
        <f>INDEX('Data sources'!V:V,MATCH($G280,'Data sources'!$A:$A,0),1)</f>
        <v>0.72535139859924458</v>
      </c>
    </row>
    <row r="281" spans="1:14" x14ac:dyDescent="0.2">
      <c r="A281" t="s">
        <v>50</v>
      </c>
      <c r="B281" t="s">
        <v>44</v>
      </c>
      <c r="C281" t="s">
        <v>44</v>
      </c>
      <c r="D281" t="s">
        <v>45</v>
      </c>
      <c r="E281" t="s">
        <v>45</v>
      </c>
      <c r="F281">
        <v>1</v>
      </c>
      <c r="G281" s="30" t="s">
        <v>329</v>
      </c>
      <c r="H281" s="2">
        <f>INDEX('Data sources'!G:G,MATCH(G281,'Data sources'!A:A,0),1)</f>
        <v>7.6799999999999993E-2</v>
      </c>
      <c r="I281" s="2">
        <f>INDEX('Data sources'!J:J,MATCH(G281,'Data sources'!A:A,0),1)</f>
        <v>4.7300000000000002E-2</v>
      </c>
      <c r="J281" s="2">
        <f>INDEX('Data sources'!R:R,MATCH(G281,'Data sources'!A:A,0),1)</f>
        <v>1</v>
      </c>
      <c r="K281" s="2">
        <f>INDEX('Data sources'!S:S,MATCH(G281,'Data sources'!A:A,0),1)</f>
        <v>0</v>
      </c>
      <c r="L281" t="str">
        <f t="shared" si="4"/>
        <v>Industrial plants for the production of (a) pulp from timber or other fibrous materials (b) paper and board_Electricity, gas, steam and air conditioning supply</v>
      </c>
      <c r="M281">
        <f>INDEX('Data sources'!U:U,MATCH($G281,'Data sources'!$A:$A,0),1)</f>
        <v>0.78416348147957027</v>
      </c>
      <c r="N281">
        <f>INDEX('Data sources'!V:V,MATCH($G281,'Data sources'!$A:$A,0),1)</f>
        <v>0.72535139859924458</v>
      </c>
    </row>
    <row r="282" spans="1:14" x14ac:dyDescent="0.2">
      <c r="A282" t="s">
        <v>50</v>
      </c>
      <c r="B282" t="s">
        <v>220</v>
      </c>
      <c r="C282" t="s">
        <v>122</v>
      </c>
      <c r="D282" t="s">
        <v>410</v>
      </c>
      <c r="E282" t="s">
        <v>221</v>
      </c>
      <c r="F282">
        <v>9</v>
      </c>
      <c r="G282" s="30" t="s">
        <v>330</v>
      </c>
      <c r="H282" s="2">
        <f>INDEX('Data sources'!G:G,MATCH(G282,'Data sources'!A:A,0),1)</f>
        <v>7.0004406322813018E-2</v>
      </c>
      <c r="I282" s="2">
        <f>INDEX('Data sources'!J:J,MATCH(G282,'Data sources'!A:A,0),1)</f>
        <v>4.658929294687298E-2</v>
      </c>
      <c r="J282" s="2">
        <f>INDEX('Data sources'!R:R,MATCH(G282,'Data sources'!A:A,0),1)</f>
        <v>3.2582614424994669</v>
      </c>
      <c r="K282" s="2">
        <f>INDEX('Data sources'!S:S,MATCH(G282,'Data sources'!A:A,0),1)</f>
        <v>0</v>
      </c>
      <c r="L282" t="str">
        <f t="shared" si="4"/>
        <v>Industrial plants for the production of (a) pulp from timber or other fibrous materials (b) paper and board_Manufacture of pulp</v>
      </c>
      <c r="M282">
        <f>INDEX('Data sources'!U:U,MATCH($G282,'Data sources'!$A:$A,0),1)</f>
        <v>0.81657744124826959</v>
      </c>
      <c r="N282">
        <f>INDEX('Data sources'!V:V,MATCH($G282,'Data sources'!$A:$A,0),1)</f>
        <v>0.94441452831676742</v>
      </c>
    </row>
    <row r="283" spans="1:14" x14ac:dyDescent="0.2">
      <c r="A283" t="s">
        <v>50</v>
      </c>
      <c r="B283" t="s">
        <v>148</v>
      </c>
      <c r="C283" t="s">
        <v>122</v>
      </c>
      <c r="D283" t="s">
        <v>410</v>
      </c>
      <c r="E283" t="s">
        <v>173</v>
      </c>
      <c r="F283">
        <v>1</v>
      </c>
      <c r="G283" s="30" t="s">
        <v>356</v>
      </c>
      <c r="H283" s="2">
        <f>INDEX('Data sources'!G:G,MATCH(G283,'Data sources'!A:A,0),1)</f>
        <v>0.2201185822484337</v>
      </c>
      <c r="I283" s="2">
        <f>INDEX('Data sources'!J:J,MATCH(G283,'Data sources'!A:A,0),1)</f>
        <v>0.22144473697589778</v>
      </c>
      <c r="J283" s="2">
        <f>INDEX('Data sources'!R:R,MATCH(G283,'Data sources'!A:A,0),1)</f>
        <v>6.1071928683366004</v>
      </c>
      <c r="K283" s="2">
        <f>INDEX('Data sources'!S:S,MATCH(G283,'Data sources'!A:A,0),1)</f>
        <v>0</v>
      </c>
      <c r="L283" t="str">
        <f t="shared" si="4"/>
        <v>Industrial plants for the production of (a) pulp from timber or other fibrous materials (b) paper and board_Manufacture of household and sanitary goods and of toilet requisites</v>
      </c>
      <c r="M283">
        <f>INDEX('Data sources'!U:U,MATCH($G283,'Data sources'!$A:$A,0),1)</f>
        <v>0.8165774412482697</v>
      </c>
      <c r="N283">
        <f>INDEX('Data sources'!V:V,MATCH($G283,'Data sources'!$A:$A,0),1)</f>
        <v>0.94441452831676753</v>
      </c>
    </row>
    <row r="284" spans="1:14" x14ac:dyDescent="0.2">
      <c r="A284" s="2" t="s">
        <v>50</v>
      </c>
      <c r="D284" t="s">
        <v>410</v>
      </c>
      <c r="E284">
        <v>0</v>
      </c>
      <c r="G284" s="31" t="s">
        <v>405</v>
      </c>
      <c r="H284" s="2">
        <f>INDEX('Data sources'!G:G,MATCH(G284,'Data sources'!A:A,0),1)</f>
        <v>0.19771476467585747</v>
      </c>
      <c r="I284" s="2">
        <f>INDEX('Data sources'!J:J,MATCH(G284,'Data sources'!A:A,0),1)</f>
        <v>0.20319123541476034</v>
      </c>
      <c r="J284" s="2">
        <f>INDEX('Data sources'!R:R,MATCH(G284,'Data sources'!A:A,0),1)</f>
        <v>4.9612621516345303</v>
      </c>
      <c r="K284" s="2">
        <f>INDEX('Data sources'!S:S,MATCH(G284,'Data sources'!A:A,0),1)</f>
        <v>0</v>
      </c>
      <c r="L284" t="str">
        <f t="shared" si="4"/>
        <v>Industrial plants for the production of (a) pulp from timber or other fibrous materials (b) paper and board</v>
      </c>
      <c r="M284">
        <f>INDEX('Data sources'!U:U,MATCH($G284,'Data sources'!$A:$A,0),1)</f>
        <v>0.81657744124826959</v>
      </c>
      <c r="N284">
        <f>INDEX('Data sources'!V:V,MATCH($G284,'Data sources'!$A:$A,0),1)</f>
        <v>0.94441452831676731</v>
      </c>
    </row>
    <row r="285" spans="1:14" x14ac:dyDescent="0.2">
      <c r="A285" t="s">
        <v>102</v>
      </c>
      <c r="B285" t="s">
        <v>119</v>
      </c>
      <c r="C285" t="s">
        <v>81</v>
      </c>
      <c r="D285" t="s">
        <v>409</v>
      </c>
      <c r="E285" t="s">
        <v>106</v>
      </c>
      <c r="F285">
        <v>1</v>
      </c>
      <c r="G285" s="30" t="s">
        <v>327</v>
      </c>
      <c r="H285" s="2">
        <f>INDEX('Data sources'!G:G,MATCH(G285,'Data sources'!A:A,0),1)</f>
        <v>0.81745070728588098</v>
      </c>
      <c r="I285" s="2">
        <f>INDEX('Data sources'!J:J,MATCH(G285,'Data sources'!A:A,0),1)</f>
        <v>0.6991394038416423</v>
      </c>
      <c r="J285" s="2">
        <f>INDEX('Data sources'!R:R,MATCH(G285,'Data sources'!A:A,0),1)</f>
        <v>4.3200000000000021</v>
      </c>
      <c r="K285" s="2">
        <f>INDEX('Data sources'!S:S,MATCH(G285,'Data sources'!A:A,0),1)</f>
        <v>0</v>
      </c>
      <c r="L285" t="str">
        <f t="shared" si="4"/>
        <v>Installations for the manufacture of ceramic products by firing, in particular roofing tiles, bricks, refractory bricks, tiles, stoneware or porcelain_Manufacture of concrete products for construction purposes</v>
      </c>
      <c r="M285">
        <f>INDEX('Data sources'!U:U,MATCH($G285,'Data sources'!$A:$A,0),1)</f>
        <v>0.66884534593017986</v>
      </c>
      <c r="N285">
        <f>INDEX('Data sources'!V:V,MATCH($G285,'Data sources'!$A:$A,0),1)</f>
        <v>0.58742624959688228</v>
      </c>
    </row>
    <row r="286" spans="1:14" x14ac:dyDescent="0.2">
      <c r="A286" t="s">
        <v>102</v>
      </c>
      <c r="B286" t="s">
        <v>100</v>
      </c>
      <c r="C286" t="s">
        <v>81</v>
      </c>
      <c r="D286" t="s">
        <v>409</v>
      </c>
      <c r="E286" t="s">
        <v>101</v>
      </c>
      <c r="F286">
        <v>59</v>
      </c>
      <c r="G286" s="30" t="s">
        <v>326</v>
      </c>
      <c r="H286" s="2">
        <f>INDEX('Data sources'!G:G,MATCH(G286,'Data sources'!A:A,0),1)</f>
        <v>0.12876363322314929</v>
      </c>
      <c r="I286" s="2">
        <f>INDEX('Data sources'!J:J,MATCH(G286,'Data sources'!A:A,0),1)</f>
        <v>9.509036148184509E-2</v>
      </c>
      <c r="J286" s="2">
        <f>INDEX('Data sources'!R:R,MATCH(G286,'Data sources'!A:A,0),1)</f>
        <v>3.0746807959647584</v>
      </c>
      <c r="K286" s="2">
        <f>INDEX('Data sources'!S:S,MATCH(G286,'Data sources'!A:A,0),1)</f>
        <v>0</v>
      </c>
      <c r="L286" t="str">
        <f t="shared" si="4"/>
        <v>Installations for the manufacture of ceramic products by firing, in particular roofing tiles, bricks, refractory bricks, tiles, stoneware or porcelain_Manufacture of bricks, tiles and construction products, in baked clay</v>
      </c>
      <c r="M286">
        <f>INDEX('Data sources'!U:U,MATCH($G286,'Data sources'!$A:$A,0),1)</f>
        <v>0.66884534593017986</v>
      </c>
      <c r="N286">
        <f>INDEX('Data sources'!V:V,MATCH($G286,'Data sources'!$A:$A,0),1)</f>
        <v>0.58742624959688228</v>
      </c>
    </row>
    <row r="287" spans="1:14" x14ac:dyDescent="0.2">
      <c r="A287" t="s">
        <v>102</v>
      </c>
      <c r="B287" t="s">
        <v>108</v>
      </c>
      <c r="C287" t="s">
        <v>81</v>
      </c>
      <c r="D287" t="s">
        <v>409</v>
      </c>
      <c r="E287" t="s">
        <v>101</v>
      </c>
      <c r="F287">
        <v>89</v>
      </c>
      <c r="G287" s="30" t="s">
        <v>326</v>
      </c>
      <c r="H287" s="2">
        <f>INDEX('Data sources'!G:G,MATCH(G287,'Data sources'!A:A,0),1)</f>
        <v>0.12876363322314929</v>
      </c>
      <c r="I287" s="2">
        <f>INDEX('Data sources'!J:J,MATCH(G287,'Data sources'!A:A,0),1)</f>
        <v>9.509036148184509E-2</v>
      </c>
      <c r="J287" s="2">
        <f>INDEX('Data sources'!R:R,MATCH(G287,'Data sources'!A:A,0),1)</f>
        <v>3.0746807959647584</v>
      </c>
      <c r="K287" s="2">
        <f>INDEX('Data sources'!S:S,MATCH(G287,'Data sources'!A:A,0),1)</f>
        <v>0</v>
      </c>
      <c r="L287" t="str">
        <f t="shared" si="4"/>
        <v>Installations for the manufacture of ceramic products by firing, in particular roofing tiles, bricks, refractory bricks, tiles, stoneware or porcelain_Manufacture of ceramic household and ornamental articles</v>
      </c>
      <c r="M287">
        <f>INDEX('Data sources'!U:U,MATCH($G287,'Data sources'!$A:$A,0),1)</f>
        <v>0.66884534593017986</v>
      </c>
      <c r="N287">
        <f>INDEX('Data sources'!V:V,MATCH($G287,'Data sources'!$A:$A,0),1)</f>
        <v>0.58742624959688228</v>
      </c>
    </row>
    <row r="288" spans="1:14" x14ac:dyDescent="0.2">
      <c r="A288" t="s">
        <v>102</v>
      </c>
      <c r="B288" t="s">
        <v>110</v>
      </c>
      <c r="C288" t="s">
        <v>81</v>
      </c>
      <c r="D288" t="s">
        <v>409</v>
      </c>
      <c r="E288" t="s">
        <v>101</v>
      </c>
      <c r="F288">
        <v>3</v>
      </c>
      <c r="G288" s="30" t="s">
        <v>326</v>
      </c>
      <c r="H288" s="2">
        <f>INDEX('Data sources'!G:G,MATCH(G288,'Data sources'!A:A,0),1)</f>
        <v>0.12876363322314929</v>
      </c>
      <c r="I288" s="2">
        <f>INDEX('Data sources'!J:J,MATCH(G288,'Data sources'!A:A,0),1)</f>
        <v>9.509036148184509E-2</v>
      </c>
      <c r="J288" s="2">
        <f>INDEX('Data sources'!R:R,MATCH(G288,'Data sources'!A:A,0),1)</f>
        <v>3.0746807959647584</v>
      </c>
      <c r="K288" s="2">
        <f>INDEX('Data sources'!S:S,MATCH(G288,'Data sources'!A:A,0),1)</f>
        <v>0</v>
      </c>
      <c r="L288" t="str">
        <f t="shared" si="4"/>
        <v>Installations for the manufacture of ceramic products by firing, in particular roofing tiles, bricks, refractory bricks, tiles, stoneware or porcelain_Manufacture of ceramic sanitary fixtures</v>
      </c>
      <c r="M288">
        <f>INDEX('Data sources'!U:U,MATCH($G288,'Data sources'!$A:$A,0),1)</f>
        <v>0.66884534593017986</v>
      </c>
      <c r="N288">
        <f>INDEX('Data sources'!V:V,MATCH($G288,'Data sources'!$A:$A,0),1)</f>
        <v>0.58742624959688228</v>
      </c>
    </row>
    <row r="289" spans="1:14" x14ac:dyDescent="0.2">
      <c r="A289" t="s">
        <v>102</v>
      </c>
      <c r="B289" t="s">
        <v>111</v>
      </c>
      <c r="C289" t="s">
        <v>81</v>
      </c>
      <c r="D289" t="s">
        <v>409</v>
      </c>
      <c r="E289" t="s">
        <v>101</v>
      </c>
      <c r="F289">
        <v>24</v>
      </c>
      <c r="G289" s="30" t="s">
        <v>326</v>
      </c>
      <c r="H289" s="2">
        <f>INDEX('Data sources'!G:G,MATCH(G289,'Data sources'!A:A,0),1)</f>
        <v>0.12876363322314929</v>
      </c>
      <c r="I289" s="2">
        <f>INDEX('Data sources'!J:J,MATCH(G289,'Data sources'!A:A,0),1)</f>
        <v>9.509036148184509E-2</v>
      </c>
      <c r="J289" s="2">
        <f>INDEX('Data sources'!R:R,MATCH(G289,'Data sources'!A:A,0),1)</f>
        <v>3.0746807959647584</v>
      </c>
      <c r="K289" s="2">
        <f>INDEX('Data sources'!S:S,MATCH(G289,'Data sources'!A:A,0),1)</f>
        <v>0</v>
      </c>
      <c r="L289" t="str">
        <f t="shared" si="4"/>
        <v>Installations for the manufacture of ceramic products by firing, in particular roofing tiles, bricks, refractory bricks, tiles, stoneware or porcelain_Manufacture of ceramic tiles and flags</v>
      </c>
      <c r="M289">
        <f>INDEX('Data sources'!U:U,MATCH($G289,'Data sources'!$A:$A,0),1)</f>
        <v>0.66884534593017986</v>
      </c>
      <c r="N289">
        <f>INDEX('Data sources'!V:V,MATCH($G289,'Data sources'!$A:$A,0),1)</f>
        <v>0.58742624959688228</v>
      </c>
    </row>
    <row r="290" spans="1:14" x14ac:dyDescent="0.2">
      <c r="A290" t="s">
        <v>102</v>
      </c>
      <c r="B290" t="s">
        <v>205</v>
      </c>
      <c r="C290" t="s">
        <v>81</v>
      </c>
      <c r="D290" t="s">
        <v>409</v>
      </c>
      <c r="E290" t="s">
        <v>101</v>
      </c>
      <c r="F290">
        <v>1</v>
      </c>
      <c r="G290" s="30" t="s">
        <v>326</v>
      </c>
      <c r="H290" s="2">
        <f>INDEX('Data sources'!G:G,MATCH(G290,'Data sources'!A:A,0),1)</f>
        <v>0.12876363322314929</v>
      </c>
      <c r="I290" s="2">
        <f>INDEX('Data sources'!J:J,MATCH(G290,'Data sources'!A:A,0),1)</f>
        <v>9.509036148184509E-2</v>
      </c>
      <c r="J290" s="2">
        <f>INDEX('Data sources'!R:R,MATCH(G290,'Data sources'!A:A,0),1)</f>
        <v>3.0746807959647584</v>
      </c>
      <c r="K290" s="2">
        <f>INDEX('Data sources'!S:S,MATCH(G290,'Data sources'!A:A,0),1)</f>
        <v>0</v>
      </c>
      <c r="L290" t="str">
        <f t="shared" si="4"/>
        <v>Installations for the manufacture of ceramic products by firing, in particular roofing tiles, bricks, refractory bricks, tiles, stoneware or porcelain_Manufacture of other technical ceramic products</v>
      </c>
      <c r="M290">
        <f>INDEX('Data sources'!U:U,MATCH($G290,'Data sources'!$A:$A,0),1)</f>
        <v>0.66884534593017986</v>
      </c>
      <c r="N290">
        <f>INDEX('Data sources'!V:V,MATCH($G290,'Data sources'!$A:$A,0),1)</f>
        <v>0.58742624959688228</v>
      </c>
    </row>
    <row r="291" spans="1:14" x14ac:dyDescent="0.2">
      <c r="A291" t="s">
        <v>102</v>
      </c>
      <c r="B291" t="s">
        <v>281</v>
      </c>
      <c r="C291" t="s">
        <v>81</v>
      </c>
      <c r="D291" t="s">
        <v>409</v>
      </c>
      <c r="E291" t="s">
        <v>101</v>
      </c>
      <c r="F291">
        <v>1</v>
      </c>
      <c r="G291" s="30" t="s">
        <v>326</v>
      </c>
      <c r="H291" s="2">
        <f>INDEX('Data sources'!G:G,MATCH(G291,'Data sources'!A:A,0),1)</f>
        <v>0.12876363322314929</v>
      </c>
      <c r="I291" s="2">
        <f>INDEX('Data sources'!J:J,MATCH(G291,'Data sources'!A:A,0),1)</f>
        <v>9.509036148184509E-2</v>
      </c>
      <c r="J291" s="2">
        <f>INDEX('Data sources'!R:R,MATCH(G291,'Data sources'!A:A,0),1)</f>
        <v>3.0746807959647584</v>
      </c>
      <c r="K291" s="2">
        <f>INDEX('Data sources'!S:S,MATCH(G291,'Data sources'!A:A,0),1)</f>
        <v>0</v>
      </c>
      <c r="L291" t="str">
        <f t="shared" si="4"/>
        <v>Installations for the manufacture of ceramic products by firing, in particular roofing tiles, bricks, refractory bricks, tiles, stoneware or porcelain_Production of abrasive products</v>
      </c>
      <c r="M291">
        <f>INDEX('Data sources'!U:U,MATCH($G291,'Data sources'!$A:$A,0),1)</f>
        <v>0.66884534593017986</v>
      </c>
      <c r="N291">
        <f>INDEX('Data sources'!V:V,MATCH($G291,'Data sources'!$A:$A,0),1)</f>
        <v>0.58742624959688228</v>
      </c>
    </row>
    <row r="292" spans="1:14" x14ac:dyDescent="0.2">
      <c r="A292" t="s">
        <v>102</v>
      </c>
      <c r="B292" t="s">
        <v>250</v>
      </c>
      <c r="C292" t="s">
        <v>58</v>
      </c>
      <c r="D292" t="s">
        <v>403</v>
      </c>
      <c r="E292" t="s">
        <v>242</v>
      </c>
      <c r="F292">
        <v>1</v>
      </c>
      <c r="G292" s="30" t="s">
        <v>325</v>
      </c>
      <c r="H292" s="2">
        <f>INDEX('Data sources'!G:G,MATCH(G292,'Data sources'!A:A,0),1)</f>
        <v>5.79E-2</v>
      </c>
      <c r="I292" s="2">
        <f>INDEX('Data sources'!J:J,MATCH(G292,'Data sources'!A:A,0),1)</f>
        <v>4.2599999999999999E-2</v>
      </c>
      <c r="J292" s="2">
        <f>INDEX('Data sources'!R:R,MATCH(G292,'Data sources'!A:A,0),1)</f>
        <v>1</v>
      </c>
      <c r="K292" s="2">
        <f>INDEX('Data sources'!S:S,MATCH(G292,'Data sources'!A:A,0),1)</f>
        <v>0</v>
      </c>
      <c r="L292" t="str">
        <f t="shared" si="4"/>
        <v>Installations for the manufacture of ceramic products by firing, in particular roofing tiles, bricks, refractory bricks, tiles, stoneware or porcelain_Operation of gravel and sand pits</v>
      </c>
      <c r="M292">
        <f>INDEX('Data sources'!U:U,MATCH($G292,'Data sources'!$A:$A,0),1)</f>
        <v>0.78416348147957027</v>
      </c>
      <c r="N292">
        <f>INDEX('Data sources'!V:V,MATCH($G292,'Data sources'!$A:$A,0),1)</f>
        <v>0.72535139859924458</v>
      </c>
    </row>
    <row r="293" spans="1:14" x14ac:dyDescent="0.2">
      <c r="A293" t="s">
        <v>102</v>
      </c>
      <c r="B293" t="s">
        <v>189</v>
      </c>
      <c r="C293" t="s">
        <v>81</v>
      </c>
      <c r="D293" t="s">
        <v>409</v>
      </c>
      <c r="E293" t="s">
        <v>190</v>
      </c>
      <c r="F293">
        <v>2</v>
      </c>
      <c r="G293" s="30" t="s">
        <v>326</v>
      </c>
      <c r="H293" s="2">
        <f>INDEX('Data sources'!G:G,MATCH(G293,'Data sources'!A:A,0),1)</f>
        <v>0.12876363322314929</v>
      </c>
      <c r="I293" s="2">
        <f>INDEX('Data sources'!J:J,MATCH(G293,'Data sources'!A:A,0),1)</f>
        <v>9.509036148184509E-2</v>
      </c>
      <c r="J293" s="2">
        <f>INDEX('Data sources'!R:R,MATCH(G293,'Data sources'!A:A,0),1)</f>
        <v>3.0746807959647584</v>
      </c>
      <c r="K293" s="2">
        <f>INDEX('Data sources'!S:S,MATCH(G293,'Data sources'!A:A,0),1)</f>
        <v>0</v>
      </c>
      <c r="L293" t="str">
        <f t="shared" si="4"/>
        <v>Installations for the manufacture of ceramic products by firing, in particular roofing tiles, bricks, refractory bricks, tiles, stoneware or porcelain_Manufacture of other non-metallic mineral products n.e.c.</v>
      </c>
      <c r="M293">
        <f>INDEX('Data sources'!U:U,MATCH($G293,'Data sources'!$A:$A,0),1)</f>
        <v>0.66884534593017986</v>
      </c>
      <c r="N293">
        <f>INDEX('Data sources'!V:V,MATCH($G293,'Data sources'!$A:$A,0),1)</f>
        <v>0.58742624959688228</v>
      </c>
    </row>
    <row r="294" spans="1:14" x14ac:dyDescent="0.2">
      <c r="A294" t="s">
        <v>102</v>
      </c>
      <c r="B294" t="s">
        <v>200</v>
      </c>
      <c r="C294" t="s">
        <v>89</v>
      </c>
      <c r="D294" t="s">
        <v>403</v>
      </c>
      <c r="E294" t="s">
        <v>15</v>
      </c>
      <c r="F294">
        <v>1</v>
      </c>
      <c r="G294" s="30" t="s">
        <v>325</v>
      </c>
      <c r="H294" s="2">
        <f>INDEX('Data sources'!G:G,MATCH(G294,'Data sources'!A:A,0),1)</f>
        <v>5.79E-2</v>
      </c>
      <c r="I294" s="2">
        <f>INDEX('Data sources'!J:J,MATCH(G294,'Data sources'!A:A,0),1)</f>
        <v>4.2599999999999999E-2</v>
      </c>
      <c r="J294" s="2">
        <f>INDEX('Data sources'!R:R,MATCH(G294,'Data sources'!A:A,0),1)</f>
        <v>1</v>
      </c>
      <c r="K294" s="2">
        <f>INDEX('Data sources'!S:S,MATCH(G294,'Data sources'!A:A,0),1)</f>
        <v>0</v>
      </c>
      <c r="L294" t="str">
        <f t="shared" si="4"/>
        <v>Installations for the manufacture of ceramic products by firing, in particular roofing tiles, bricks, refractory bricks, tiles, stoneware or porcelain_Manufacture of other products of wood</v>
      </c>
      <c r="M294">
        <f>INDEX('Data sources'!U:U,MATCH($G294,'Data sources'!$A:$A,0),1)</f>
        <v>0.78416348147957027</v>
      </c>
      <c r="N294">
        <f>INDEX('Data sources'!V:V,MATCH($G294,'Data sources'!$A:$A,0),1)</f>
        <v>0.72535139859924458</v>
      </c>
    </row>
    <row r="295" spans="1:14" x14ac:dyDescent="0.2">
      <c r="A295" t="s">
        <v>102</v>
      </c>
      <c r="B295" t="s">
        <v>225</v>
      </c>
      <c r="C295" t="s">
        <v>81</v>
      </c>
      <c r="D295" t="s">
        <v>409</v>
      </c>
      <c r="E295" t="s">
        <v>331</v>
      </c>
      <c r="F295">
        <v>14</v>
      </c>
      <c r="G295" s="30" t="s">
        <v>332</v>
      </c>
      <c r="H295" s="2">
        <f>INDEX('Data sources'!G:G,MATCH(G295,'Data sources'!A:A,0),1)</f>
        <v>1.8</v>
      </c>
      <c r="I295" s="2">
        <f>INDEX('Data sources'!J:J,MATCH(G295,'Data sources'!A:A,0),1)</f>
        <v>1.8</v>
      </c>
      <c r="J295" s="2">
        <f>INDEX('Data sources'!R:R,MATCH(G295,'Data sources'!A:A,0),1)</f>
        <v>5.378400000000001</v>
      </c>
      <c r="K295" s="2">
        <f>INDEX('Data sources'!S:S,MATCH(G295,'Data sources'!A:A,0),1)</f>
        <v>0</v>
      </c>
      <c r="L295" t="str">
        <f t="shared" si="4"/>
        <v>Installations for the manufacture of ceramic products by firing, in particular roofing tiles, bricks, refractory bricks, tiles, stoneware or porcelain_Manufacture of refractory products</v>
      </c>
      <c r="M295">
        <f>INDEX('Data sources'!U:U,MATCH($G295,'Data sources'!$A:$A,0),1)</f>
        <v>0.66884534593017986</v>
      </c>
      <c r="N295">
        <f>INDEX('Data sources'!V:V,MATCH($G295,'Data sources'!$A:$A,0),1)</f>
        <v>0.58742624959688228</v>
      </c>
    </row>
    <row r="296" spans="1:14" x14ac:dyDescent="0.2">
      <c r="A296" s="2" t="s">
        <v>102</v>
      </c>
      <c r="D296" t="s">
        <v>409</v>
      </c>
      <c r="E296">
        <v>0</v>
      </c>
      <c r="G296" s="30" t="s">
        <v>326</v>
      </c>
      <c r="H296" s="2">
        <f>INDEX('Data sources'!G:G,MATCH(G296,'Data sources'!A:A,0),1)</f>
        <v>0.12876363322314929</v>
      </c>
      <c r="I296" s="2">
        <f>INDEX('Data sources'!J:J,MATCH(G296,'Data sources'!A:A,0),1)</f>
        <v>9.509036148184509E-2</v>
      </c>
      <c r="J296" s="2">
        <f>INDEX('Data sources'!R:R,MATCH(G296,'Data sources'!A:A,0),1)</f>
        <v>3.0746807959647584</v>
      </c>
      <c r="K296" s="2">
        <f>INDEX('Data sources'!S:S,MATCH(G296,'Data sources'!A:A,0),1)</f>
        <v>0</v>
      </c>
      <c r="L296" t="str">
        <f t="shared" si="4"/>
        <v>Installations for the manufacture of ceramic products by firing, in particular roofing tiles, bricks, refractory bricks, tiles, stoneware or porcelain</v>
      </c>
      <c r="M296">
        <f>INDEX('Data sources'!U:U,MATCH($G296,'Data sources'!$A:$A,0),1)</f>
        <v>0.66884534593017986</v>
      </c>
      <c r="N296">
        <f>INDEX('Data sources'!V:V,MATCH($G296,'Data sources'!$A:$A,0),1)</f>
        <v>0.58742624959688228</v>
      </c>
    </row>
    <row r="297" spans="1:14" x14ac:dyDescent="0.2">
      <c r="A297" t="s">
        <v>83</v>
      </c>
      <c r="B297" t="s">
        <v>205</v>
      </c>
      <c r="C297" t="s">
        <v>81</v>
      </c>
      <c r="D297" t="s">
        <v>409</v>
      </c>
      <c r="E297" t="s">
        <v>101</v>
      </c>
      <c r="F297">
        <v>1</v>
      </c>
      <c r="G297" s="30" t="s">
        <v>326</v>
      </c>
      <c r="H297" s="2">
        <f>INDEX('Data sources'!G:G,MATCH(G297,'Data sources'!A:A,0),1)</f>
        <v>0.12876363322314929</v>
      </c>
      <c r="I297" s="2">
        <f>INDEX('Data sources'!J:J,MATCH(G297,'Data sources'!A:A,0),1)</f>
        <v>9.509036148184509E-2</v>
      </c>
      <c r="J297" s="2">
        <f>INDEX('Data sources'!R:R,MATCH(G297,'Data sources'!A:A,0),1)</f>
        <v>3.0746807959647584</v>
      </c>
      <c r="K297" s="2">
        <f>INDEX('Data sources'!S:S,MATCH(G297,'Data sources'!A:A,0),1)</f>
        <v>0</v>
      </c>
      <c r="L297" t="str">
        <f t="shared" si="4"/>
        <v>Installations for the manufacture of glass including glass fibre_Manufacture of other technical ceramic products</v>
      </c>
      <c r="M297">
        <f>INDEX('Data sources'!U:U,MATCH($G297,'Data sources'!$A:$A,0),1)</f>
        <v>0.66884534593017986</v>
      </c>
      <c r="N297">
        <f>INDEX('Data sources'!V:V,MATCH($G297,'Data sources'!$A:$A,0),1)</f>
        <v>0.58742624959688228</v>
      </c>
    </row>
    <row r="298" spans="1:14" x14ac:dyDescent="0.2">
      <c r="A298" t="s">
        <v>83</v>
      </c>
      <c r="B298" t="s">
        <v>80</v>
      </c>
      <c r="C298" t="s">
        <v>81</v>
      </c>
      <c r="D298" t="s">
        <v>409</v>
      </c>
      <c r="E298" t="s">
        <v>82</v>
      </c>
      <c r="F298">
        <v>2</v>
      </c>
      <c r="G298" s="30" t="s">
        <v>351</v>
      </c>
      <c r="H298" s="2">
        <f>INDEX('Data sources'!G:G,MATCH(G298,'Data sources'!A:A,0),1)</f>
        <v>0.44693420519106453</v>
      </c>
      <c r="I298" s="2">
        <f>INDEX('Data sources'!J:J,MATCH(G298,'Data sources'!A:A,0),1)</f>
        <v>0.32449753999236403</v>
      </c>
      <c r="J298" s="2">
        <f>INDEX('Data sources'!R:R,MATCH(G298,'Data sources'!A:A,0),1)</f>
        <v>8.3851770965800991</v>
      </c>
      <c r="K298" s="2">
        <f>INDEX('Data sources'!S:S,MATCH(G298,'Data sources'!A:A,0),1)</f>
        <v>0</v>
      </c>
      <c r="L298" t="str">
        <f t="shared" si="4"/>
        <v>Installations for the manufacture of glass including glass fibre_Manufacture and processing of other glass, including technical glassware</v>
      </c>
      <c r="M298">
        <f>INDEX('Data sources'!U:U,MATCH($G298,'Data sources'!$A:$A,0),1)</f>
        <v>0.66884534593017986</v>
      </c>
      <c r="N298">
        <f>INDEX('Data sources'!V:V,MATCH($G298,'Data sources'!$A:$A,0),1)</f>
        <v>0.58742624959688217</v>
      </c>
    </row>
    <row r="299" spans="1:14" x14ac:dyDescent="0.2">
      <c r="A299" t="s">
        <v>83</v>
      </c>
      <c r="B299" t="s">
        <v>138</v>
      </c>
      <c r="C299" t="s">
        <v>81</v>
      </c>
      <c r="D299" t="s">
        <v>409</v>
      </c>
      <c r="E299" t="s">
        <v>82</v>
      </c>
      <c r="F299">
        <v>10</v>
      </c>
      <c r="G299" s="30" t="s">
        <v>351</v>
      </c>
      <c r="H299" s="2">
        <f>INDEX('Data sources'!G:G,MATCH(G299,'Data sources'!A:A,0),1)</f>
        <v>0.44693420519106453</v>
      </c>
      <c r="I299" s="2">
        <f>INDEX('Data sources'!J:J,MATCH(G299,'Data sources'!A:A,0),1)</f>
        <v>0.32449753999236403</v>
      </c>
      <c r="J299" s="2">
        <f>INDEX('Data sources'!R:R,MATCH(G299,'Data sources'!A:A,0),1)</f>
        <v>8.3851770965800991</v>
      </c>
      <c r="K299" s="2">
        <f>INDEX('Data sources'!S:S,MATCH(G299,'Data sources'!A:A,0),1)</f>
        <v>0</v>
      </c>
      <c r="L299" t="str">
        <f t="shared" si="4"/>
        <v>Installations for the manufacture of glass including glass fibre_Manufacture of flat glass</v>
      </c>
      <c r="M299">
        <f>INDEX('Data sources'!U:U,MATCH($G299,'Data sources'!$A:$A,0),1)</f>
        <v>0.66884534593017986</v>
      </c>
      <c r="N299">
        <f>INDEX('Data sources'!V:V,MATCH($G299,'Data sources'!$A:$A,0),1)</f>
        <v>0.58742624959688217</v>
      </c>
    </row>
    <row r="300" spans="1:14" x14ac:dyDescent="0.2">
      <c r="A300" t="s">
        <v>83</v>
      </c>
      <c r="B300" t="s">
        <v>146</v>
      </c>
      <c r="C300" t="s">
        <v>81</v>
      </c>
      <c r="D300" t="s">
        <v>409</v>
      </c>
      <c r="E300" t="s">
        <v>82</v>
      </c>
      <c r="F300">
        <v>10</v>
      </c>
      <c r="G300" s="30" t="s">
        <v>351</v>
      </c>
      <c r="H300" s="2">
        <f>INDEX('Data sources'!G:G,MATCH(G300,'Data sources'!A:A,0),1)</f>
        <v>0.44693420519106453</v>
      </c>
      <c r="I300" s="2">
        <f>INDEX('Data sources'!J:J,MATCH(G300,'Data sources'!A:A,0),1)</f>
        <v>0.32449753999236403</v>
      </c>
      <c r="J300" s="2">
        <f>INDEX('Data sources'!R:R,MATCH(G300,'Data sources'!A:A,0),1)</f>
        <v>8.3851770965800991</v>
      </c>
      <c r="K300" s="2">
        <f>INDEX('Data sources'!S:S,MATCH(G300,'Data sources'!A:A,0),1)</f>
        <v>0</v>
      </c>
      <c r="L300" t="str">
        <f t="shared" si="4"/>
        <v>Installations for the manufacture of glass including glass fibre_Manufacture of hollow glass</v>
      </c>
      <c r="M300">
        <f>INDEX('Data sources'!U:U,MATCH($G300,'Data sources'!$A:$A,0),1)</f>
        <v>0.66884534593017986</v>
      </c>
      <c r="N300">
        <f>INDEX('Data sources'!V:V,MATCH($G300,'Data sources'!$A:$A,0),1)</f>
        <v>0.58742624959688217</v>
      </c>
    </row>
    <row r="301" spans="1:14" x14ac:dyDescent="0.2">
      <c r="A301" t="s">
        <v>83</v>
      </c>
      <c r="B301" t="s">
        <v>207</v>
      </c>
      <c r="C301" t="s">
        <v>95</v>
      </c>
      <c r="D301" t="s">
        <v>409</v>
      </c>
      <c r="E301" t="s">
        <v>82</v>
      </c>
      <c r="F301">
        <v>2</v>
      </c>
      <c r="G301" s="30" t="s">
        <v>351</v>
      </c>
      <c r="H301" s="2">
        <f>INDEX('Data sources'!G:G,MATCH(G301,'Data sources'!A:A,0),1)</f>
        <v>0.44693420519106453</v>
      </c>
      <c r="I301" s="2">
        <f>INDEX('Data sources'!J:J,MATCH(G301,'Data sources'!A:A,0),1)</f>
        <v>0.32449753999236403</v>
      </c>
      <c r="J301" s="2">
        <f>INDEX('Data sources'!R:R,MATCH(G301,'Data sources'!A:A,0),1)</f>
        <v>8.3851770965800991</v>
      </c>
      <c r="K301" s="2">
        <f>INDEX('Data sources'!S:S,MATCH(G301,'Data sources'!A:A,0),1)</f>
        <v>0</v>
      </c>
      <c r="L301" t="str">
        <f t="shared" si="4"/>
        <v>Installations for the manufacture of glass including glass fibre_Manufacture of paints, varnishes and similar coatings, printing ink and mastics</v>
      </c>
      <c r="M301">
        <f>INDEX('Data sources'!U:U,MATCH($G301,'Data sources'!$A:$A,0),1)</f>
        <v>0.66884534593017986</v>
      </c>
      <c r="N301">
        <f>INDEX('Data sources'!V:V,MATCH($G301,'Data sources'!$A:$A,0),1)</f>
        <v>0.58742624959688217</v>
      </c>
    </row>
    <row r="302" spans="1:14" x14ac:dyDescent="0.2">
      <c r="A302" t="s">
        <v>83</v>
      </c>
      <c r="B302" t="s">
        <v>141</v>
      </c>
      <c r="C302" t="s">
        <v>81</v>
      </c>
      <c r="D302" t="s">
        <v>409</v>
      </c>
      <c r="E302" t="s">
        <v>142</v>
      </c>
      <c r="F302">
        <v>4</v>
      </c>
      <c r="G302" s="30" t="s">
        <v>350</v>
      </c>
      <c r="H302" s="2">
        <f>INDEX('Data sources'!G:G,MATCH(G302,'Data sources'!A:A,0),1)</f>
        <v>0.73925352948672385</v>
      </c>
      <c r="I302" s="2">
        <f>INDEX('Data sources'!J:J,MATCH(G302,'Data sources'!A:A,0),1)</f>
        <v>0.50052641550481702</v>
      </c>
      <c r="J302" s="2">
        <f>INDEX('Data sources'!R:R,MATCH(G302,'Data sources'!A:A,0),1)</f>
        <v>4.9320000000000004</v>
      </c>
      <c r="K302" s="2">
        <f>INDEX('Data sources'!S:S,MATCH(G302,'Data sources'!A:A,0),1)</f>
        <v>0</v>
      </c>
      <c r="L302" t="str">
        <f t="shared" si="4"/>
        <v>Installations for the manufacture of glass including glass fibre_Manufacture of glass fibres</v>
      </c>
      <c r="M302">
        <f>INDEX('Data sources'!U:U,MATCH($G302,'Data sources'!$A:$A,0),1)</f>
        <v>0.66884534593017975</v>
      </c>
      <c r="N302">
        <f>INDEX('Data sources'!V:V,MATCH($G302,'Data sources'!$A:$A,0),1)</f>
        <v>0.58742624959688228</v>
      </c>
    </row>
    <row r="303" spans="1:14" x14ac:dyDescent="0.2">
      <c r="A303" t="s">
        <v>83</v>
      </c>
      <c r="B303" t="s">
        <v>238</v>
      </c>
      <c r="C303" t="s">
        <v>89</v>
      </c>
      <c r="D303" t="s">
        <v>403</v>
      </c>
      <c r="E303" t="s">
        <v>15</v>
      </c>
      <c r="F303">
        <v>1</v>
      </c>
      <c r="G303" s="30" t="s">
        <v>325</v>
      </c>
      <c r="H303" s="2">
        <f>INDEX('Data sources'!G:G,MATCH(G303,'Data sources'!A:A,0),1)</f>
        <v>5.79E-2</v>
      </c>
      <c r="I303" s="2">
        <f>INDEX('Data sources'!J:J,MATCH(G303,'Data sources'!A:A,0),1)</f>
        <v>4.2599999999999999E-2</v>
      </c>
      <c r="J303" s="2">
        <f>INDEX('Data sources'!R:R,MATCH(G303,'Data sources'!A:A,0),1)</f>
        <v>1</v>
      </c>
      <c r="K303" s="2">
        <f>INDEX('Data sources'!S:S,MATCH(G303,'Data sources'!A:A,0),1)</f>
        <v>0</v>
      </c>
      <c r="L303" t="str">
        <f t="shared" si="4"/>
        <v>Installations for the manufacture of glass including glass fibre_Manufacture of veneer sheets and wood-based panels</v>
      </c>
      <c r="M303">
        <f>INDEX('Data sources'!U:U,MATCH($G303,'Data sources'!$A:$A,0),1)</f>
        <v>0.78416348147957027</v>
      </c>
      <c r="N303">
        <f>INDEX('Data sources'!V:V,MATCH($G303,'Data sources'!$A:$A,0),1)</f>
        <v>0.72535139859924458</v>
      </c>
    </row>
    <row r="304" spans="1:14" x14ac:dyDescent="0.2">
      <c r="A304" s="2" t="s">
        <v>83</v>
      </c>
      <c r="D304" t="s">
        <v>409</v>
      </c>
      <c r="E304">
        <v>0</v>
      </c>
      <c r="G304" s="30" t="s">
        <v>351</v>
      </c>
      <c r="H304" s="2">
        <f>INDEX('Data sources'!G:G,MATCH(G304,'Data sources'!A:A,0),1)</f>
        <v>0.44693420519106453</v>
      </c>
      <c r="I304" s="2">
        <f>INDEX('Data sources'!J:J,MATCH(G304,'Data sources'!A:A,0),1)</f>
        <v>0.32449753999236403</v>
      </c>
      <c r="J304" s="2">
        <f>INDEX('Data sources'!R:R,MATCH(G304,'Data sources'!A:A,0),1)</f>
        <v>8.3851770965800991</v>
      </c>
      <c r="K304" s="2">
        <f>INDEX('Data sources'!S:S,MATCH(G304,'Data sources'!A:A,0),1)</f>
        <v>0</v>
      </c>
      <c r="L304" t="str">
        <f t="shared" si="4"/>
        <v>Installations for the manufacture of glass including glass fibre</v>
      </c>
      <c r="M304">
        <f>INDEX('Data sources'!U:U,MATCH($G304,'Data sources'!$A:$A,0),1)</f>
        <v>0.66884534593017986</v>
      </c>
      <c r="N304">
        <f>INDEX('Data sources'!V:V,MATCH($G304,'Data sources'!$A:$A,0),1)</f>
        <v>0.58742624959688217</v>
      </c>
    </row>
    <row r="305" spans="1:14" x14ac:dyDescent="0.2">
      <c r="A305" t="s">
        <v>107</v>
      </c>
      <c r="B305" t="s">
        <v>105</v>
      </c>
      <c r="C305" t="s">
        <v>81</v>
      </c>
      <c r="D305" t="s">
        <v>409</v>
      </c>
      <c r="E305" t="s">
        <v>106</v>
      </c>
      <c r="F305">
        <v>14</v>
      </c>
      <c r="G305" s="30" t="s">
        <v>327</v>
      </c>
      <c r="H305" s="2">
        <f>INDEX('Data sources'!G:G,MATCH(G305,'Data sources'!A:A,0),1)</f>
        <v>0.81745070728588098</v>
      </c>
      <c r="I305" s="2">
        <f>INDEX('Data sources'!J:J,MATCH(G305,'Data sources'!A:A,0),1)</f>
        <v>0.6991394038416423</v>
      </c>
      <c r="J305" s="2">
        <f>INDEX('Data sources'!R:R,MATCH(G305,'Data sources'!A:A,0),1)</f>
        <v>4.3200000000000021</v>
      </c>
      <c r="K305" s="2">
        <f>INDEX('Data sources'!S:S,MATCH(G305,'Data sources'!A:A,0),1)</f>
        <v>0</v>
      </c>
      <c r="L305" t="str">
        <f t="shared" si="4"/>
        <v>Installations for the production of cement clinker in rotary kilns or lime in rotary kilns or in other furnaces_Manufacture of cement</v>
      </c>
      <c r="M305">
        <f>INDEX('Data sources'!U:U,MATCH($G305,'Data sources'!$A:$A,0),1)</f>
        <v>0.66884534593017986</v>
      </c>
      <c r="N305">
        <f>INDEX('Data sources'!V:V,MATCH($G305,'Data sources'!$A:$A,0),1)</f>
        <v>0.58742624959688228</v>
      </c>
    </row>
    <row r="306" spans="1:14" x14ac:dyDescent="0.2">
      <c r="A306" t="s">
        <v>107</v>
      </c>
      <c r="B306" t="s">
        <v>154</v>
      </c>
      <c r="C306" t="s">
        <v>81</v>
      </c>
      <c r="D306" t="s">
        <v>409</v>
      </c>
      <c r="E306" t="s">
        <v>155</v>
      </c>
      <c r="F306">
        <v>12</v>
      </c>
      <c r="G306" s="30" t="s">
        <v>337</v>
      </c>
      <c r="H306" s="2">
        <f>INDEX('Data sources'!G:G,MATCH(G306,'Data sources'!A:A,0),1)</f>
        <v>1.0858855073623837</v>
      </c>
      <c r="I306" s="2">
        <f>INDEX('Data sources'!J:J,MATCH(G306,'Data sources'!A:A,0),1)</f>
        <v>0.76053043758401917</v>
      </c>
      <c r="J306" s="2">
        <f>INDEX('Data sources'!R:R,MATCH(G306,'Data sources'!A:A,0),1)</f>
        <v>3.7079999999999997</v>
      </c>
      <c r="K306" s="2">
        <f>INDEX('Data sources'!S:S,MATCH(G306,'Data sources'!A:A,0),1)</f>
        <v>0</v>
      </c>
      <c r="L306" t="str">
        <f t="shared" si="4"/>
        <v>Installations for the production of cement clinker in rotary kilns or lime in rotary kilns or in other furnaces_Manufacture of lime and plaster</v>
      </c>
      <c r="M306">
        <f>INDEX('Data sources'!U:U,MATCH($G306,'Data sources'!$A:$A,0),1)</f>
        <v>0.66884534593017986</v>
      </c>
      <c r="N306">
        <f>INDEX('Data sources'!V:V,MATCH($G306,'Data sources'!$A:$A,0),1)</f>
        <v>0.58742624959688228</v>
      </c>
    </row>
    <row r="307" spans="1:14" x14ac:dyDescent="0.2">
      <c r="A307" t="s">
        <v>107</v>
      </c>
      <c r="B307" t="s">
        <v>230</v>
      </c>
      <c r="C307" t="s">
        <v>113</v>
      </c>
      <c r="D307" t="s">
        <v>403</v>
      </c>
      <c r="E307" t="s">
        <v>15</v>
      </c>
      <c r="F307">
        <v>2</v>
      </c>
      <c r="G307" s="30" t="s">
        <v>325</v>
      </c>
      <c r="H307" s="2">
        <f>INDEX('Data sources'!G:G,MATCH(G307,'Data sources'!A:A,0),1)</f>
        <v>5.79E-2</v>
      </c>
      <c r="I307" s="2">
        <f>INDEX('Data sources'!J:J,MATCH(G307,'Data sources'!A:A,0),1)</f>
        <v>4.2599999999999999E-2</v>
      </c>
      <c r="J307" s="2">
        <f>INDEX('Data sources'!R:R,MATCH(G307,'Data sources'!A:A,0),1)</f>
        <v>1</v>
      </c>
      <c r="K307" s="2">
        <f>INDEX('Data sources'!S:S,MATCH(G307,'Data sources'!A:A,0),1)</f>
        <v>0</v>
      </c>
      <c r="L307" t="str">
        <f t="shared" si="4"/>
        <v>Installations for the production of cement clinker in rotary kilns or lime in rotary kilns or in other furnaces_Manufacture of sugar</v>
      </c>
      <c r="M307">
        <f>INDEX('Data sources'!U:U,MATCH($G307,'Data sources'!$A:$A,0),1)</f>
        <v>0.78416348147957027</v>
      </c>
      <c r="N307">
        <f>INDEX('Data sources'!V:V,MATCH($G307,'Data sources'!$A:$A,0),1)</f>
        <v>0.72535139859924458</v>
      </c>
    </row>
    <row r="308" spans="1:14" x14ac:dyDescent="0.2">
      <c r="A308" s="2" t="s">
        <v>107</v>
      </c>
      <c r="D308" t="s">
        <v>409</v>
      </c>
      <c r="E308">
        <v>0</v>
      </c>
      <c r="G308" s="30" t="s">
        <v>327</v>
      </c>
      <c r="H308" s="2">
        <f>INDEX('Data sources'!G:G,MATCH(G308,'Data sources'!A:A,0),1)</f>
        <v>0.81745070728588098</v>
      </c>
      <c r="I308" s="2">
        <f>INDEX('Data sources'!J:J,MATCH(G308,'Data sources'!A:A,0),1)</f>
        <v>0.6991394038416423</v>
      </c>
      <c r="J308" s="2">
        <f>INDEX('Data sources'!R:R,MATCH(G308,'Data sources'!A:A,0),1)</f>
        <v>4.3200000000000021</v>
      </c>
      <c r="K308" s="2">
        <f>INDEX('Data sources'!S:S,MATCH(G308,'Data sources'!A:A,0),1)</f>
        <v>0</v>
      </c>
      <c r="L308" t="str">
        <f t="shared" si="4"/>
        <v>Installations for the production of cement clinker in rotary kilns or lime in rotary kilns or in other furnaces</v>
      </c>
      <c r="M308">
        <f>INDEX('Data sources'!U:U,MATCH($G308,'Data sources'!$A:$A,0),1)</f>
        <v>0.66884534593017986</v>
      </c>
      <c r="N308">
        <f>INDEX('Data sources'!V:V,MATCH($G308,'Data sources'!$A:$A,0),1)</f>
        <v>0.58742624959688228</v>
      </c>
    </row>
    <row r="309" spans="1:14" x14ac:dyDescent="0.2">
      <c r="A309" t="s">
        <v>91</v>
      </c>
      <c r="B309" t="s">
        <v>90</v>
      </c>
      <c r="C309" t="s">
        <v>6</v>
      </c>
      <c r="D309" t="s">
        <v>237</v>
      </c>
      <c r="E309" t="s">
        <v>237</v>
      </c>
      <c r="F309">
        <v>13</v>
      </c>
      <c r="G309" s="31" t="s">
        <v>377</v>
      </c>
      <c r="H309" s="2">
        <f>INDEX('Data sources'!G:G,MATCH(G309,'Data sources'!A:A,0),1)</f>
        <v>1.4950000000000001</v>
      </c>
      <c r="I309" s="2">
        <f>INDEX('Data sources'!J:J,MATCH(G309,'Data sources'!A:A,0),1)</f>
        <v>1.288</v>
      </c>
      <c r="J309" s="2">
        <f>INDEX('Data sources'!R:R,MATCH(G309,'Data sources'!A:A,0),1)</f>
        <v>14.976000000000001</v>
      </c>
      <c r="K309" s="2">
        <f>INDEX('Data sources'!S:S,MATCH(G309,'Data sources'!A:A,0),1)</f>
        <v>6.8039999999999985</v>
      </c>
      <c r="L309" t="str">
        <f t="shared" si="4"/>
        <v>Installations for the production of pig iron or steel (primary or secondary fusion) including continuous casting_Manufacture of basic iron and steel and of ferro-alloys</v>
      </c>
      <c r="M309">
        <f>INDEX('Data sources'!U:U,MATCH($G309,'Data sources'!$A:$A,0),1)</f>
        <v>0.55465092775711555</v>
      </c>
      <c r="N309">
        <f>INDEX('Data sources'!V:V,MATCH($G309,'Data sources'!$A:$A,0),1)</f>
        <v>0.43306202258392729</v>
      </c>
    </row>
    <row r="310" spans="1:14" x14ac:dyDescent="0.2">
      <c r="A310" t="s">
        <v>91</v>
      </c>
      <c r="B310" t="s">
        <v>196</v>
      </c>
      <c r="C310" t="s">
        <v>99</v>
      </c>
      <c r="D310" t="s">
        <v>403</v>
      </c>
      <c r="E310" t="s">
        <v>15</v>
      </c>
      <c r="F310">
        <v>1</v>
      </c>
      <c r="G310" s="30" t="s">
        <v>325</v>
      </c>
      <c r="H310" s="2">
        <f>INDEX('Data sources'!G:G,MATCH(G310,'Data sources'!A:A,0),1)</f>
        <v>5.79E-2</v>
      </c>
      <c r="I310" s="2">
        <f>INDEX('Data sources'!J:J,MATCH(G310,'Data sources'!A:A,0),1)</f>
        <v>4.2599999999999999E-2</v>
      </c>
      <c r="J310" s="2">
        <f>INDEX('Data sources'!R:R,MATCH(G310,'Data sources'!A:A,0),1)</f>
        <v>1</v>
      </c>
      <c r="K310" s="2">
        <f>INDEX('Data sources'!S:S,MATCH(G310,'Data sources'!A:A,0),1)</f>
        <v>0</v>
      </c>
      <c r="L310" t="str">
        <f t="shared" si="4"/>
        <v>Installations for the production of pig iron or steel (primary or secondary fusion) including continuous casting_Manufacture of other parts and accessories for motor vehicles</v>
      </c>
      <c r="M310">
        <f>INDEX('Data sources'!U:U,MATCH($G310,'Data sources'!$A:$A,0),1)</f>
        <v>0.78416348147957027</v>
      </c>
      <c r="N310">
        <f>INDEX('Data sources'!V:V,MATCH($G310,'Data sources'!$A:$A,0),1)</f>
        <v>0.72535139859924458</v>
      </c>
    </row>
    <row r="311" spans="1:14" x14ac:dyDescent="0.2">
      <c r="A311" s="2" t="s">
        <v>91</v>
      </c>
      <c r="D311" t="s">
        <v>237</v>
      </c>
      <c r="E311">
        <v>0</v>
      </c>
      <c r="G311" s="30" t="s">
        <v>377</v>
      </c>
      <c r="H311" s="2">
        <f>INDEX('Data sources'!G:G,MATCH(G311,'Data sources'!A:A,0),1)</f>
        <v>1.4950000000000001</v>
      </c>
      <c r="I311" s="2">
        <f>INDEX('Data sources'!J:J,MATCH(G311,'Data sources'!A:A,0),1)</f>
        <v>1.288</v>
      </c>
      <c r="J311" s="2">
        <f>INDEX('Data sources'!R:R,MATCH(G311,'Data sources'!A:A,0),1)</f>
        <v>14.976000000000001</v>
      </c>
      <c r="K311" s="2">
        <f>INDEX('Data sources'!S:S,MATCH(G311,'Data sources'!A:A,0),1)</f>
        <v>6.8039999999999985</v>
      </c>
      <c r="L311" t="str">
        <f t="shared" si="4"/>
        <v>Installations for the production of pig iron or steel (primary or secondary fusion) including continuous casting</v>
      </c>
      <c r="M311">
        <f>INDEX('Data sources'!U:U,MATCH($G311,'Data sources'!$A:$A,0),1)</f>
        <v>0.55465092775711555</v>
      </c>
      <c r="N311">
        <f>INDEX('Data sources'!V:V,MATCH($G311,'Data sources'!$A:$A,0),1)</f>
        <v>0.43306202258392729</v>
      </c>
    </row>
    <row r="312" spans="1:14" x14ac:dyDescent="0.2">
      <c r="A312" t="s">
        <v>12</v>
      </c>
      <c r="B312" t="s">
        <v>5</v>
      </c>
      <c r="C312" t="s">
        <v>6</v>
      </c>
      <c r="D312" t="s">
        <v>256</v>
      </c>
      <c r="E312" t="s">
        <v>7</v>
      </c>
      <c r="F312">
        <v>1</v>
      </c>
      <c r="G312" s="30" t="s">
        <v>324</v>
      </c>
      <c r="H312" s="2">
        <f>INDEX('Data sources'!G:G,MATCH(G312,'Data sources'!A:A,0),1)</f>
        <v>1.641</v>
      </c>
      <c r="I312" s="2">
        <f>INDEX('Data sources'!J:J,MATCH(G312,'Data sources'!A:A,0),1)</f>
        <v>1.464</v>
      </c>
      <c r="J312" s="2">
        <f>INDEX('Data sources'!R:R,MATCH(G312,'Data sources'!A:A,0),1)</f>
        <v>12.024000000000001</v>
      </c>
      <c r="K312" s="2">
        <f>INDEX('Data sources'!S:S,MATCH(G312,'Data sources'!A:A,0),1)</f>
        <v>0</v>
      </c>
      <c r="L312" t="str">
        <f t="shared" si="4"/>
        <v>Manufacture of ceramics_Aluminium production</v>
      </c>
      <c r="M312">
        <f>INDEX('Data sources'!U:U,MATCH($G312,'Data sources'!$A:$A,0),1)</f>
        <v>0.83923856134650876</v>
      </c>
      <c r="N312">
        <f>INDEX('Data sources'!V:V,MATCH($G312,'Data sources'!$A:$A,0),1)</f>
        <v>0.99183492762409997</v>
      </c>
    </row>
    <row r="313" spans="1:14" x14ac:dyDescent="0.2">
      <c r="A313" t="s">
        <v>12</v>
      </c>
      <c r="B313" t="s">
        <v>100</v>
      </c>
      <c r="C313" t="s">
        <v>81</v>
      </c>
      <c r="D313" t="s">
        <v>409</v>
      </c>
      <c r="E313" t="s">
        <v>101</v>
      </c>
      <c r="F313">
        <v>473</v>
      </c>
      <c r="G313" s="30" t="s">
        <v>326</v>
      </c>
      <c r="H313" s="2">
        <f>INDEX('Data sources'!G:G,MATCH(G313,'Data sources'!A:A,0),1)</f>
        <v>0.12876363322314929</v>
      </c>
      <c r="I313" s="2">
        <f>INDEX('Data sources'!J:J,MATCH(G313,'Data sources'!A:A,0),1)</f>
        <v>9.509036148184509E-2</v>
      </c>
      <c r="J313" s="2">
        <f>INDEX('Data sources'!R:R,MATCH(G313,'Data sources'!A:A,0),1)</f>
        <v>3.0746807959647584</v>
      </c>
      <c r="K313" s="2">
        <f>INDEX('Data sources'!S:S,MATCH(G313,'Data sources'!A:A,0),1)</f>
        <v>0</v>
      </c>
      <c r="L313" t="str">
        <f t="shared" si="4"/>
        <v>Manufacture of ceramics_Manufacture of bricks, tiles and construction products, in baked clay</v>
      </c>
      <c r="M313">
        <f>INDEX('Data sources'!U:U,MATCH($G313,'Data sources'!$A:$A,0),1)</f>
        <v>0.66884534593017986</v>
      </c>
      <c r="N313">
        <f>INDEX('Data sources'!V:V,MATCH($G313,'Data sources'!$A:$A,0),1)</f>
        <v>0.58742624959688228</v>
      </c>
    </row>
    <row r="314" spans="1:14" x14ac:dyDescent="0.2">
      <c r="A314" t="s">
        <v>12</v>
      </c>
      <c r="B314" t="s">
        <v>108</v>
      </c>
      <c r="C314" t="s">
        <v>81</v>
      </c>
      <c r="D314" t="s">
        <v>409</v>
      </c>
      <c r="E314" t="s">
        <v>101</v>
      </c>
      <c r="F314">
        <v>5</v>
      </c>
      <c r="G314" s="30" t="s">
        <v>326</v>
      </c>
      <c r="H314" s="2">
        <f>INDEX('Data sources'!G:G,MATCH(G314,'Data sources'!A:A,0),1)</f>
        <v>0.12876363322314929</v>
      </c>
      <c r="I314" s="2">
        <f>INDEX('Data sources'!J:J,MATCH(G314,'Data sources'!A:A,0),1)</f>
        <v>9.509036148184509E-2</v>
      </c>
      <c r="J314" s="2">
        <f>INDEX('Data sources'!R:R,MATCH(G314,'Data sources'!A:A,0),1)</f>
        <v>3.0746807959647584</v>
      </c>
      <c r="K314" s="2">
        <f>INDEX('Data sources'!S:S,MATCH(G314,'Data sources'!A:A,0),1)</f>
        <v>0</v>
      </c>
      <c r="L314" t="str">
        <f t="shared" si="4"/>
        <v>Manufacture of ceramics_Manufacture of ceramic household and ornamental articles</v>
      </c>
      <c r="M314">
        <f>INDEX('Data sources'!U:U,MATCH($G314,'Data sources'!$A:$A,0),1)</f>
        <v>0.66884534593017986</v>
      </c>
      <c r="N314">
        <f>INDEX('Data sources'!V:V,MATCH($G314,'Data sources'!$A:$A,0),1)</f>
        <v>0.58742624959688228</v>
      </c>
    </row>
    <row r="315" spans="1:14" x14ac:dyDescent="0.2">
      <c r="A315" t="s">
        <v>12</v>
      </c>
      <c r="B315" t="s">
        <v>110</v>
      </c>
      <c r="C315" t="s">
        <v>81</v>
      </c>
      <c r="D315" t="s">
        <v>409</v>
      </c>
      <c r="E315" t="s">
        <v>101</v>
      </c>
      <c r="F315">
        <v>9</v>
      </c>
      <c r="G315" s="30" t="s">
        <v>326</v>
      </c>
      <c r="H315" s="2">
        <f>INDEX('Data sources'!G:G,MATCH(G315,'Data sources'!A:A,0),1)</f>
        <v>0.12876363322314929</v>
      </c>
      <c r="I315" s="2">
        <f>INDEX('Data sources'!J:J,MATCH(G315,'Data sources'!A:A,0),1)</f>
        <v>9.509036148184509E-2</v>
      </c>
      <c r="J315" s="2">
        <f>INDEX('Data sources'!R:R,MATCH(G315,'Data sources'!A:A,0),1)</f>
        <v>3.0746807959647584</v>
      </c>
      <c r="K315" s="2">
        <f>INDEX('Data sources'!S:S,MATCH(G315,'Data sources'!A:A,0),1)</f>
        <v>0</v>
      </c>
      <c r="L315" t="str">
        <f t="shared" si="4"/>
        <v>Manufacture of ceramics_Manufacture of ceramic sanitary fixtures</v>
      </c>
      <c r="M315">
        <f>INDEX('Data sources'!U:U,MATCH($G315,'Data sources'!$A:$A,0),1)</f>
        <v>0.66884534593017986</v>
      </c>
      <c r="N315">
        <f>INDEX('Data sources'!V:V,MATCH($G315,'Data sources'!$A:$A,0),1)</f>
        <v>0.58742624959688228</v>
      </c>
    </row>
    <row r="316" spans="1:14" x14ac:dyDescent="0.2">
      <c r="A316" t="s">
        <v>12</v>
      </c>
      <c r="B316" t="s">
        <v>111</v>
      </c>
      <c r="C316" t="s">
        <v>81</v>
      </c>
      <c r="D316" t="s">
        <v>409</v>
      </c>
      <c r="E316" t="s">
        <v>101</v>
      </c>
      <c r="F316">
        <v>235</v>
      </c>
      <c r="G316" s="30" t="s">
        <v>326</v>
      </c>
      <c r="H316" s="2">
        <f>INDEX('Data sources'!G:G,MATCH(G316,'Data sources'!A:A,0),1)</f>
        <v>0.12876363322314929</v>
      </c>
      <c r="I316" s="2">
        <f>INDEX('Data sources'!J:J,MATCH(G316,'Data sources'!A:A,0),1)</f>
        <v>9.509036148184509E-2</v>
      </c>
      <c r="J316" s="2">
        <f>INDEX('Data sources'!R:R,MATCH(G316,'Data sources'!A:A,0),1)</f>
        <v>3.0746807959647584</v>
      </c>
      <c r="K316" s="2">
        <f>INDEX('Data sources'!S:S,MATCH(G316,'Data sources'!A:A,0),1)</f>
        <v>0</v>
      </c>
      <c r="L316" t="str">
        <f t="shared" si="4"/>
        <v>Manufacture of ceramics_Manufacture of ceramic tiles and flags</v>
      </c>
      <c r="M316">
        <f>INDEX('Data sources'!U:U,MATCH($G316,'Data sources'!$A:$A,0),1)</f>
        <v>0.66884534593017986</v>
      </c>
      <c r="N316">
        <f>INDEX('Data sources'!V:V,MATCH($G316,'Data sources'!$A:$A,0),1)</f>
        <v>0.58742624959688228</v>
      </c>
    </row>
    <row r="317" spans="1:14" x14ac:dyDescent="0.2">
      <c r="A317" t="s">
        <v>12</v>
      </c>
      <c r="B317" t="s">
        <v>166</v>
      </c>
      <c r="C317" t="s">
        <v>81</v>
      </c>
      <c r="D317" t="s">
        <v>409</v>
      </c>
      <c r="E317" t="s">
        <v>101</v>
      </c>
      <c r="F317">
        <v>2</v>
      </c>
      <c r="G317" s="30" t="s">
        <v>326</v>
      </c>
      <c r="H317" s="2">
        <f>INDEX('Data sources'!G:G,MATCH(G317,'Data sources'!A:A,0),1)</f>
        <v>0.12876363322314929</v>
      </c>
      <c r="I317" s="2">
        <f>INDEX('Data sources'!J:J,MATCH(G317,'Data sources'!A:A,0),1)</f>
        <v>9.509036148184509E-2</v>
      </c>
      <c r="J317" s="2">
        <f>INDEX('Data sources'!R:R,MATCH(G317,'Data sources'!A:A,0),1)</f>
        <v>3.0746807959647584</v>
      </c>
      <c r="K317" s="2">
        <f>INDEX('Data sources'!S:S,MATCH(G317,'Data sources'!A:A,0),1)</f>
        <v>0</v>
      </c>
      <c r="L317" t="str">
        <f t="shared" si="4"/>
        <v>Manufacture of ceramics_Manufacture of mortars</v>
      </c>
      <c r="M317">
        <f>INDEX('Data sources'!U:U,MATCH($G317,'Data sources'!$A:$A,0),1)</f>
        <v>0.66884534593017986</v>
      </c>
      <c r="N317">
        <f>INDEX('Data sources'!V:V,MATCH($G317,'Data sources'!$A:$A,0),1)</f>
        <v>0.58742624959688228</v>
      </c>
    </row>
    <row r="318" spans="1:14" x14ac:dyDescent="0.2">
      <c r="A318" t="s">
        <v>12</v>
      </c>
      <c r="B318" t="s">
        <v>199</v>
      </c>
      <c r="C318" t="s">
        <v>81</v>
      </c>
      <c r="D318" t="s">
        <v>409</v>
      </c>
      <c r="E318" t="s">
        <v>101</v>
      </c>
      <c r="F318">
        <v>1</v>
      </c>
      <c r="G318" s="30" t="s">
        <v>326</v>
      </c>
      <c r="H318" s="2">
        <f>INDEX('Data sources'!G:G,MATCH(G318,'Data sources'!A:A,0),1)</f>
        <v>0.12876363322314929</v>
      </c>
      <c r="I318" s="2">
        <f>INDEX('Data sources'!J:J,MATCH(G318,'Data sources'!A:A,0),1)</f>
        <v>9.509036148184509E-2</v>
      </c>
      <c r="J318" s="2">
        <f>INDEX('Data sources'!R:R,MATCH(G318,'Data sources'!A:A,0),1)</f>
        <v>3.0746807959647584</v>
      </c>
      <c r="K318" s="2">
        <f>INDEX('Data sources'!S:S,MATCH(G318,'Data sources'!A:A,0),1)</f>
        <v>0</v>
      </c>
      <c r="L318" t="str">
        <f t="shared" si="4"/>
        <v>Manufacture of ceramics_Manufacture of other porcelain and ceramic products</v>
      </c>
      <c r="M318">
        <f>INDEX('Data sources'!U:U,MATCH($G318,'Data sources'!$A:$A,0),1)</f>
        <v>0.66884534593017986</v>
      </c>
      <c r="N318">
        <f>INDEX('Data sources'!V:V,MATCH($G318,'Data sources'!$A:$A,0),1)</f>
        <v>0.58742624959688228</v>
      </c>
    </row>
    <row r="319" spans="1:14" x14ac:dyDescent="0.2">
      <c r="A319" t="s">
        <v>12</v>
      </c>
      <c r="B319" t="s">
        <v>205</v>
      </c>
      <c r="C319" t="s">
        <v>81</v>
      </c>
      <c r="D319" t="s">
        <v>409</v>
      </c>
      <c r="E319" t="s">
        <v>101</v>
      </c>
      <c r="F319">
        <v>3</v>
      </c>
      <c r="G319" s="30" t="s">
        <v>326</v>
      </c>
      <c r="H319" s="2">
        <f>INDEX('Data sources'!G:G,MATCH(G319,'Data sources'!A:A,0),1)</f>
        <v>0.12876363322314929</v>
      </c>
      <c r="I319" s="2">
        <f>INDEX('Data sources'!J:J,MATCH(G319,'Data sources'!A:A,0),1)</f>
        <v>9.509036148184509E-2</v>
      </c>
      <c r="J319" s="2">
        <f>INDEX('Data sources'!R:R,MATCH(G319,'Data sources'!A:A,0),1)</f>
        <v>3.0746807959647584</v>
      </c>
      <c r="K319" s="2">
        <f>INDEX('Data sources'!S:S,MATCH(G319,'Data sources'!A:A,0),1)</f>
        <v>0</v>
      </c>
      <c r="L319" t="str">
        <f t="shared" si="4"/>
        <v>Manufacture of ceramics_Manufacture of other technical ceramic products</v>
      </c>
      <c r="M319">
        <f>INDEX('Data sources'!U:U,MATCH($G319,'Data sources'!$A:$A,0),1)</f>
        <v>0.66884534593017986</v>
      </c>
      <c r="N319">
        <f>INDEX('Data sources'!V:V,MATCH($G319,'Data sources'!$A:$A,0),1)</f>
        <v>0.58742624959688228</v>
      </c>
    </row>
    <row r="320" spans="1:14" x14ac:dyDescent="0.2">
      <c r="A320" t="s">
        <v>12</v>
      </c>
      <c r="B320" t="s">
        <v>185</v>
      </c>
      <c r="C320" t="s">
        <v>95</v>
      </c>
      <c r="D320" t="s">
        <v>95</v>
      </c>
      <c r="E320" t="s">
        <v>95</v>
      </c>
      <c r="F320">
        <v>1</v>
      </c>
      <c r="G320" s="30" t="s">
        <v>349</v>
      </c>
      <c r="H320" s="2">
        <f>INDEX('Data sources'!G:G,MATCH(G320,'Data sources'!A:A,0),1)</f>
        <v>1.5967631163208207</v>
      </c>
      <c r="I320" s="2">
        <f>INDEX('Data sources'!J:J,MATCH(G320,'Data sources'!A:A,0),1)</f>
        <v>1.2656396050839946</v>
      </c>
      <c r="J320" s="2">
        <f>INDEX('Data sources'!R:R,MATCH(G320,'Data sources'!A:A,0),1)</f>
        <v>3.2911730425008185</v>
      </c>
      <c r="K320" s="2">
        <f>INDEX('Data sources'!S:S,MATCH(G320,'Data sources'!A:A,0),1)</f>
        <v>10.213571642020407</v>
      </c>
      <c r="L320" t="str">
        <f t="shared" si="4"/>
        <v>Manufacture of ceramics_Manufacture of other inorganic basic chemicals</v>
      </c>
      <c r="M320">
        <f>INDEX('Data sources'!U:U,MATCH($G320,'Data sources'!$A:$A,0),1)</f>
        <v>0.84137119305744423</v>
      </c>
      <c r="N320">
        <f>INDEX('Data sources'!V:V,MATCH($G320,'Data sources'!$A:$A,0),1)</f>
        <v>0.86357922057787195</v>
      </c>
    </row>
    <row r="321" spans="1:14" x14ac:dyDescent="0.2">
      <c r="A321" t="s">
        <v>12</v>
      </c>
      <c r="B321" t="s">
        <v>80</v>
      </c>
      <c r="C321" t="s">
        <v>81</v>
      </c>
      <c r="D321" t="s">
        <v>409</v>
      </c>
      <c r="E321" t="s">
        <v>82</v>
      </c>
      <c r="F321">
        <v>1</v>
      </c>
      <c r="G321" s="30" t="s">
        <v>351</v>
      </c>
      <c r="H321" s="2">
        <f>INDEX('Data sources'!G:G,MATCH(G321,'Data sources'!A:A,0),1)</f>
        <v>0.44693420519106453</v>
      </c>
      <c r="I321" s="2">
        <f>INDEX('Data sources'!J:J,MATCH(G321,'Data sources'!A:A,0),1)</f>
        <v>0.32449753999236403</v>
      </c>
      <c r="J321" s="2">
        <f>INDEX('Data sources'!R:R,MATCH(G321,'Data sources'!A:A,0),1)</f>
        <v>8.3851770965800991</v>
      </c>
      <c r="K321" s="2">
        <f>INDEX('Data sources'!S:S,MATCH(G321,'Data sources'!A:A,0),1)</f>
        <v>0</v>
      </c>
      <c r="L321" t="str">
        <f t="shared" si="4"/>
        <v>Manufacture of ceramics_Manufacture and processing of other glass, including technical glassware</v>
      </c>
      <c r="M321">
        <f>INDEX('Data sources'!U:U,MATCH($G321,'Data sources'!$A:$A,0),1)</f>
        <v>0.66884534593017986</v>
      </c>
      <c r="N321">
        <f>INDEX('Data sources'!V:V,MATCH($G321,'Data sources'!$A:$A,0),1)</f>
        <v>0.58742624959688217</v>
      </c>
    </row>
    <row r="322" spans="1:14" x14ac:dyDescent="0.2">
      <c r="A322" t="s">
        <v>12</v>
      </c>
      <c r="B322" t="s">
        <v>254</v>
      </c>
      <c r="C322" t="s">
        <v>58</v>
      </c>
      <c r="D322" t="s">
        <v>403</v>
      </c>
      <c r="E322" t="s">
        <v>242</v>
      </c>
      <c r="F322">
        <v>2</v>
      </c>
      <c r="G322" s="30" t="s">
        <v>325</v>
      </c>
      <c r="H322" s="2">
        <f>INDEX('Data sources'!G:G,MATCH(G322,'Data sources'!A:A,0),1)</f>
        <v>5.79E-2</v>
      </c>
      <c r="I322" s="2">
        <f>INDEX('Data sources'!J:J,MATCH(G322,'Data sources'!A:A,0),1)</f>
        <v>4.2599999999999999E-2</v>
      </c>
      <c r="J322" s="2">
        <f>INDEX('Data sources'!R:R,MATCH(G322,'Data sources'!A:A,0),1)</f>
        <v>1</v>
      </c>
      <c r="K322" s="2">
        <f>INDEX('Data sources'!S:S,MATCH(G322,'Data sources'!A:A,0),1)</f>
        <v>0</v>
      </c>
      <c r="L322" t="str">
        <f t="shared" ref="L322:L385" si="5">IF(B322="",A322,A322&amp;"_"&amp;B322)</f>
        <v>Manufacture of ceramics_Other mining and quarrying n.e.c.</v>
      </c>
      <c r="M322">
        <f>INDEX('Data sources'!U:U,MATCH($G322,'Data sources'!$A:$A,0),1)</f>
        <v>0.78416348147957027</v>
      </c>
      <c r="N322">
        <f>INDEX('Data sources'!V:V,MATCH($G322,'Data sources'!$A:$A,0),1)</f>
        <v>0.72535139859924458</v>
      </c>
    </row>
    <row r="323" spans="1:14" x14ac:dyDescent="0.2">
      <c r="A323" t="s">
        <v>12</v>
      </c>
      <c r="B323" t="s">
        <v>189</v>
      </c>
      <c r="C323" t="s">
        <v>81</v>
      </c>
      <c r="D323" t="s">
        <v>409</v>
      </c>
      <c r="E323" t="s">
        <v>190</v>
      </c>
      <c r="F323">
        <v>9</v>
      </c>
      <c r="G323" s="30" t="s">
        <v>326</v>
      </c>
      <c r="H323" s="2">
        <f>INDEX('Data sources'!G:G,MATCH(G323,'Data sources'!A:A,0),1)</f>
        <v>0.12876363322314929</v>
      </c>
      <c r="I323" s="2">
        <f>INDEX('Data sources'!J:J,MATCH(G323,'Data sources'!A:A,0),1)</f>
        <v>9.509036148184509E-2</v>
      </c>
      <c r="J323" s="2">
        <f>INDEX('Data sources'!R:R,MATCH(G323,'Data sources'!A:A,0),1)</f>
        <v>3.0746807959647584</v>
      </c>
      <c r="K323" s="2">
        <f>INDEX('Data sources'!S:S,MATCH(G323,'Data sources'!A:A,0),1)</f>
        <v>0</v>
      </c>
      <c r="L323" t="str">
        <f t="shared" si="5"/>
        <v>Manufacture of ceramics_Manufacture of other non-metallic mineral products n.e.c.</v>
      </c>
      <c r="M323">
        <f>INDEX('Data sources'!U:U,MATCH($G323,'Data sources'!$A:$A,0),1)</f>
        <v>0.66884534593017986</v>
      </c>
      <c r="N323">
        <f>INDEX('Data sources'!V:V,MATCH($G323,'Data sources'!$A:$A,0),1)</f>
        <v>0.58742624959688228</v>
      </c>
    </row>
    <row r="324" spans="1:14" x14ac:dyDescent="0.2">
      <c r="A324" t="s">
        <v>12</v>
      </c>
      <c r="B324" t="s">
        <v>175</v>
      </c>
      <c r="C324" t="s">
        <v>81</v>
      </c>
      <c r="D324" t="s">
        <v>403</v>
      </c>
      <c r="E324" t="s">
        <v>15</v>
      </c>
      <c r="F324">
        <v>2</v>
      </c>
      <c r="G324" s="30" t="s">
        <v>325</v>
      </c>
      <c r="H324" s="2">
        <f>INDEX('Data sources'!G:G,MATCH(G324,'Data sources'!A:A,0),1)</f>
        <v>5.79E-2</v>
      </c>
      <c r="I324" s="2">
        <f>INDEX('Data sources'!J:J,MATCH(G324,'Data sources'!A:A,0),1)</f>
        <v>4.2599999999999999E-2</v>
      </c>
      <c r="J324" s="2">
        <f>INDEX('Data sources'!R:R,MATCH(G324,'Data sources'!A:A,0),1)</f>
        <v>1</v>
      </c>
      <c r="K324" s="2">
        <f>INDEX('Data sources'!S:S,MATCH(G324,'Data sources'!A:A,0),1)</f>
        <v>0</v>
      </c>
      <c r="L324" t="str">
        <f t="shared" si="5"/>
        <v>Manufacture of ceramics_Manufacture of other ceramic products</v>
      </c>
      <c r="M324">
        <f>INDEX('Data sources'!U:U,MATCH($G324,'Data sources'!$A:$A,0),1)</f>
        <v>0.78416348147957027</v>
      </c>
      <c r="N324">
        <f>INDEX('Data sources'!V:V,MATCH($G324,'Data sources'!$A:$A,0),1)</f>
        <v>0.72535139859924458</v>
      </c>
    </row>
    <row r="325" spans="1:14" x14ac:dyDescent="0.2">
      <c r="A325" t="s">
        <v>12</v>
      </c>
      <c r="B325" t="s">
        <v>47</v>
      </c>
      <c r="C325" t="s">
        <v>44</v>
      </c>
      <c r="D325" t="s">
        <v>45</v>
      </c>
      <c r="E325" t="s">
        <v>45</v>
      </c>
      <c r="F325">
        <v>1</v>
      </c>
      <c r="G325" s="30" t="s">
        <v>325</v>
      </c>
      <c r="H325" s="2">
        <f>INDEX('Data sources'!G:G,MATCH(G325,'Data sources'!A:A,0),1)</f>
        <v>5.79E-2</v>
      </c>
      <c r="I325" s="2">
        <f>INDEX('Data sources'!J:J,MATCH(G325,'Data sources'!A:A,0),1)</f>
        <v>4.2599999999999999E-2</v>
      </c>
      <c r="J325" s="2">
        <f>INDEX('Data sources'!R:R,MATCH(G325,'Data sources'!A:A,0),1)</f>
        <v>1</v>
      </c>
      <c r="K325" s="2">
        <f>INDEX('Data sources'!S:S,MATCH(G325,'Data sources'!A:A,0),1)</f>
        <v>0</v>
      </c>
      <c r="L325" t="str">
        <f t="shared" si="5"/>
        <v>Manufacture of ceramics_Electric power generation, transmission and distribution</v>
      </c>
      <c r="M325">
        <f>INDEX('Data sources'!U:U,MATCH($G325,'Data sources'!$A:$A,0),1)</f>
        <v>0.78416348147957027</v>
      </c>
      <c r="N325">
        <f>INDEX('Data sources'!V:V,MATCH($G325,'Data sources'!$A:$A,0),1)</f>
        <v>0.72535139859924458</v>
      </c>
    </row>
    <row r="326" spans="1:14" x14ac:dyDescent="0.2">
      <c r="A326" t="s">
        <v>12</v>
      </c>
      <c r="B326" t="s">
        <v>44</v>
      </c>
      <c r="C326" t="s">
        <v>44</v>
      </c>
      <c r="D326" t="s">
        <v>45</v>
      </c>
      <c r="E326" t="s">
        <v>45</v>
      </c>
      <c r="F326">
        <v>2</v>
      </c>
      <c r="G326" s="30" t="s">
        <v>329</v>
      </c>
      <c r="H326" s="2">
        <f>INDEX('Data sources'!G:G,MATCH(G326,'Data sources'!A:A,0),1)</f>
        <v>7.6799999999999993E-2</v>
      </c>
      <c r="I326" s="2">
        <f>INDEX('Data sources'!J:J,MATCH(G326,'Data sources'!A:A,0),1)</f>
        <v>4.7300000000000002E-2</v>
      </c>
      <c r="J326" s="2">
        <f>INDEX('Data sources'!R:R,MATCH(G326,'Data sources'!A:A,0),1)</f>
        <v>1</v>
      </c>
      <c r="K326" s="2">
        <f>INDEX('Data sources'!S:S,MATCH(G326,'Data sources'!A:A,0),1)</f>
        <v>0</v>
      </c>
      <c r="L326" t="str">
        <f t="shared" si="5"/>
        <v>Manufacture of ceramics_Electricity, gas, steam and air conditioning supply</v>
      </c>
      <c r="M326">
        <f>INDEX('Data sources'!U:U,MATCH($G326,'Data sources'!$A:$A,0),1)</f>
        <v>0.78416348147957027</v>
      </c>
      <c r="N326">
        <f>INDEX('Data sources'!V:V,MATCH($G326,'Data sources'!$A:$A,0),1)</f>
        <v>0.72535139859924458</v>
      </c>
    </row>
    <row r="327" spans="1:14" x14ac:dyDescent="0.2">
      <c r="A327" t="s">
        <v>12</v>
      </c>
      <c r="B327" t="s">
        <v>225</v>
      </c>
      <c r="C327" t="s">
        <v>81</v>
      </c>
      <c r="D327" t="s">
        <v>409</v>
      </c>
      <c r="E327" t="s">
        <v>331</v>
      </c>
      <c r="F327">
        <v>32</v>
      </c>
      <c r="G327" s="30" t="s">
        <v>332</v>
      </c>
      <c r="H327" s="2">
        <f>INDEX('Data sources'!G:G,MATCH(G327,'Data sources'!A:A,0),1)</f>
        <v>1.8</v>
      </c>
      <c r="I327" s="2">
        <f>INDEX('Data sources'!J:J,MATCH(G327,'Data sources'!A:A,0),1)</f>
        <v>1.8</v>
      </c>
      <c r="J327" s="2">
        <f>INDEX('Data sources'!R:R,MATCH(G327,'Data sources'!A:A,0),1)</f>
        <v>5.378400000000001</v>
      </c>
      <c r="K327" s="2">
        <f>INDEX('Data sources'!S:S,MATCH(G327,'Data sources'!A:A,0),1)</f>
        <v>0</v>
      </c>
      <c r="L327" t="str">
        <f t="shared" si="5"/>
        <v>Manufacture of ceramics_Manufacture of refractory products</v>
      </c>
      <c r="M327">
        <f>INDEX('Data sources'!U:U,MATCH($G327,'Data sources'!$A:$A,0),1)</f>
        <v>0.66884534593017986</v>
      </c>
      <c r="N327">
        <f>INDEX('Data sources'!V:V,MATCH($G327,'Data sources'!$A:$A,0),1)</f>
        <v>0.58742624959688228</v>
      </c>
    </row>
    <row r="328" spans="1:14" x14ac:dyDescent="0.2">
      <c r="A328" s="2" t="s">
        <v>12</v>
      </c>
      <c r="D328" t="s">
        <v>409</v>
      </c>
      <c r="E328">
        <v>0</v>
      </c>
      <c r="G328" s="30" t="s">
        <v>326</v>
      </c>
      <c r="H328" s="2">
        <f>INDEX('Data sources'!G:G,MATCH(G328,'Data sources'!A:A,0),1)</f>
        <v>0.12876363322314929</v>
      </c>
      <c r="I328" s="2">
        <f>INDEX('Data sources'!J:J,MATCH(G328,'Data sources'!A:A,0),1)</f>
        <v>9.509036148184509E-2</v>
      </c>
      <c r="J328" s="2">
        <f>INDEX('Data sources'!R:R,MATCH(G328,'Data sources'!A:A,0),1)</f>
        <v>3.0746807959647584</v>
      </c>
      <c r="K328" s="2">
        <f>INDEX('Data sources'!S:S,MATCH(G328,'Data sources'!A:A,0),1)</f>
        <v>0</v>
      </c>
      <c r="L328" t="str">
        <f t="shared" si="5"/>
        <v>Manufacture of ceramics</v>
      </c>
      <c r="M328">
        <f>INDEX('Data sources'!U:U,MATCH($G328,'Data sources'!$A:$A,0),1)</f>
        <v>0.66884534593017986</v>
      </c>
      <c r="N328">
        <f>INDEX('Data sources'!V:V,MATCH($G328,'Data sources'!$A:$A,0),1)</f>
        <v>0.58742624959688228</v>
      </c>
    </row>
    <row r="329" spans="1:14" x14ac:dyDescent="0.2">
      <c r="A329" t="s">
        <v>79</v>
      </c>
      <c r="B329" t="s">
        <v>119</v>
      </c>
      <c r="C329" t="s">
        <v>81</v>
      </c>
      <c r="D329" t="s">
        <v>409</v>
      </c>
      <c r="E329" t="s">
        <v>106</v>
      </c>
      <c r="F329">
        <v>1</v>
      </c>
      <c r="G329" s="30" t="s">
        <v>327</v>
      </c>
      <c r="H329" s="2">
        <f>INDEX('Data sources'!G:G,MATCH(G329,'Data sources'!A:A,0),1)</f>
        <v>0.81745070728588098</v>
      </c>
      <c r="I329" s="2">
        <f>INDEX('Data sources'!J:J,MATCH(G329,'Data sources'!A:A,0),1)</f>
        <v>0.6991394038416423</v>
      </c>
      <c r="J329" s="2">
        <f>INDEX('Data sources'!R:R,MATCH(G329,'Data sources'!A:A,0),1)</f>
        <v>4.3200000000000021</v>
      </c>
      <c r="K329" s="2">
        <f>INDEX('Data sources'!S:S,MATCH(G329,'Data sources'!A:A,0),1)</f>
        <v>0</v>
      </c>
      <c r="L329" t="str">
        <f t="shared" si="5"/>
        <v>Manufacture of glass_Manufacture of concrete products for construction purposes</v>
      </c>
      <c r="M329">
        <f>INDEX('Data sources'!U:U,MATCH($G329,'Data sources'!$A:$A,0),1)</f>
        <v>0.66884534593017986</v>
      </c>
      <c r="N329">
        <f>INDEX('Data sources'!V:V,MATCH($G329,'Data sources'!$A:$A,0),1)</f>
        <v>0.58742624959688228</v>
      </c>
    </row>
    <row r="330" spans="1:14" x14ac:dyDescent="0.2">
      <c r="A330" t="s">
        <v>79</v>
      </c>
      <c r="B330" t="s">
        <v>185</v>
      </c>
      <c r="C330" t="s">
        <v>95</v>
      </c>
      <c r="D330" t="s">
        <v>95</v>
      </c>
      <c r="E330" t="s">
        <v>95</v>
      </c>
      <c r="F330">
        <v>3</v>
      </c>
      <c r="G330" s="30" t="s">
        <v>349</v>
      </c>
      <c r="H330" s="2">
        <f>INDEX('Data sources'!G:G,MATCH(G330,'Data sources'!A:A,0),1)</f>
        <v>1.5967631163208207</v>
      </c>
      <c r="I330" s="2">
        <f>INDEX('Data sources'!J:J,MATCH(G330,'Data sources'!A:A,0),1)</f>
        <v>1.2656396050839946</v>
      </c>
      <c r="J330" s="2">
        <f>INDEX('Data sources'!R:R,MATCH(G330,'Data sources'!A:A,0),1)</f>
        <v>3.2911730425008185</v>
      </c>
      <c r="K330" s="2">
        <f>INDEX('Data sources'!S:S,MATCH(G330,'Data sources'!A:A,0),1)</f>
        <v>10.213571642020407</v>
      </c>
      <c r="L330" t="str">
        <f t="shared" si="5"/>
        <v>Manufacture of glass_Manufacture of other inorganic basic chemicals</v>
      </c>
      <c r="M330">
        <f>INDEX('Data sources'!U:U,MATCH($G330,'Data sources'!$A:$A,0),1)</f>
        <v>0.84137119305744423</v>
      </c>
      <c r="N330">
        <f>INDEX('Data sources'!V:V,MATCH($G330,'Data sources'!$A:$A,0),1)</f>
        <v>0.86357922057787195</v>
      </c>
    </row>
    <row r="331" spans="1:14" x14ac:dyDescent="0.2">
      <c r="A331" t="s">
        <v>79</v>
      </c>
      <c r="B331" t="s">
        <v>80</v>
      </c>
      <c r="C331" t="s">
        <v>81</v>
      </c>
      <c r="D331" t="s">
        <v>409</v>
      </c>
      <c r="E331" t="s">
        <v>82</v>
      </c>
      <c r="F331">
        <v>28</v>
      </c>
      <c r="G331" s="30" t="s">
        <v>351</v>
      </c>
      <c r="H331" s="2">
        <f>INDEX('Data sources'!G:G,MATCH(G331,'Data sources'!A:A,0),1)</f>
        <v>0.44693420519106453</v>
      </c>
      <c r="I331" s="2">
        <f>INDEX('Data sources'!J:J,MATCH(G331,'Data sources'!A:A,0),1)</f>
        <v>0.32449753999236403</v>
      </c>
      <c r="J331" s="2">
        <f>INDEX('Data sources'!R:R,MATCH(G331,'Data sources'!A:A,0),1)</f>
        <v>8.3851770965800991</v>
      </c>
      <c r="K331" s="2">
        <f>INDEX('Data sources'!S:S,MATCH(G331,'Data sources'!A:A,0),1)</f>
        <v>0</v>
      </c>
      <c r="L331" t="str">
        <f t="shared" si="5"/>
        <v>Manufacture of glass_Manufacture and processing of other glass, including technical glassware</v>
      </c>
      <c r="M331">
        <f>INDEX('Data sources'!U:U,MATCH($G331,'Data sources'!$A:$A,0),1)</f>
        <v>0.66884534593017986</v>
      </c>
      <c r="N331">
        <f>INDEX('Data sources'!V:V,MATCH($G331,'Data sources'!$A:$A,0),1)</f>
        <v>0.58742624959688217</v>
      </c>
    </row>
    <row r="332" spans="1:14" x14ac:dyDescent="0.2">
      <c r="A332" t="s">
        <v>79</v>
      </c>
      <c r="B332" t="s">
        <v>138</v>
      </c>
      <c r="C332" t="s">
        <v>81</v>
      </c>
      <c r="D332" t="s">
        <v>409</v>
      </c>
      <c r="E332" t="s">
        <v>82</v>
      </c>
      <c r="F332">
        <v>42</v>
      </c>
      <c r="G332" s="30" t="s">
        <v>351</v>
      </c>
      <c r="H332" s="2">
        <f>INDEX('Data sources'!G:G,MATCH(G332,'Data sources'!A:A,0),1)</f>
        <v>0.44693420519106453</v>
      </c>
      <c r="I332" s="2">
        <f>INDEX('Data sources'!J:J,MATCH(G332,'Data sources'!A:A,0),1)</f>
        <v>0.32449753999236403</v>
      </c>
      <c r="J332" s="2">
        <f>INDEX('Data sources'!R:R,MATCH(G332,'Data sources'!A:A,0),1)</f>
        <v>8.3851770965800991</v>
      </c>
      <c r="K332" s="2">
        <f>INDEX('Data sources'!S:S,MATCH(G332,'Data sources'!A:A,0),1)</f>
        <v>0</v>
      </c>
      <c r="L332" t="str">
        <f t="shared" si="5"/>
        <v>Manufacture of glass_Manufacture of flat glass</v>
      </c>
      <c r="M332">
        <f>INDEX('Data sources'!U:U,MATCH($G332,'Data sources'!$A:$A,0),1)</f>
        <v>0.66884534593017986</v>
      </c>
      <c r="N332">
        <f>INDEX('Data sources'!V:V,MATCH($G332,'Data sources'!$A:$A,0),1)</f>
        <v>0.58742624959688217</v>
      </c>
    </row>
    <row r="333" spans="1:14" x14ac:dyDescent="0.2">
      <c r="A333" t="s">
        <v>79</v>
      </c>
      <c r="B333" t="s">
        <v>146</v>
      </c>
      <c r="C333" t="s">
        <v>81</v>
      </c>
      <c r="D333" t="s">
        <v>409</v>
      </c>
      <c r="E333" t="s">
        <v>82</v>
      </c>
      <c r="F333">
        <v>170</v>
      </c>
      <c r="G333" s="30" t="s">
        <v>351</v>
      </c>
      <c r="H333" s="2">
        <f>INDEX('Data sources'!G:G,MATCH(G333,'Data sources'!A:A,0),1)</f>
        <v>0.44693420519106453</v>
      </c>
      <c r="I333" s="2">
        <f>INDEX('Data sources'!J:J,MATCH(G333,'Data sources'!A:A,0),1)</f>
        <v>0.32449753999236403</v>
      </c>
      <c r="J333" s="2">
        <f>INDEX('Data sources'!R:R,MATCH(G333,'Data sources'!A:A,0),1)</f>
        <v>8.3851770965800991</v>
      </c>
      <c r="K333" s="2">
        <f>INDEX('Data sources'!S:S,MATCH(G333,'Data sources'!A:A,0),1)</f>
        <v>0</v>
      </c>
      <c r="L333" t="str">
        <f t="shared" si="5"/>
        <v>Manufacture of glass_Manufacture of hollow glass</v>
      </c>
      <c r="M333">
        <f>INDEX('Data sources'!U:U,MATCH($G333,'Data sources'!$A:$A,0),1)</f>
        <v>0.66884534593017986</v>
      </c>
      <c r="N333">
        <f>INDEX('Data sources'!V:V,MATCH($G333,'Data sources'!$A:$A,0),1)</f>
        <v>0.58742624959688217</v>
      </c>
    </row>
    <row r="334" spans="1:14" x14ac:dyDescent="0.2">
      <c r="A334" t="s">
        <v>79</v>
      </c>
      <c r="B334" t="s">
        <v>207</v>
      </c>
      <c r="C334" t="s">
        <v>95</v>
      </c>
      <c r="D334" t="s">
        <v>409</v>
      </c>
      <c r="E334" t="s">
        <v>82</v>
      </c>
      <c r="F334">
        <v>17</v>
      </c>
      <c r="G334" s="30" t="s">
        <v>351</v>
      </c>
      <c r="H334" s="2">
        <f>INDEX('Data sources'!G:G,MATCH(G334,'Data sources'!A:A,0),1)</f>
        <v>0.44693420519106453</v>
      </c>
      <c r="I334" s="2">
        <f>INDEX('Data sources'!J:J,MATCH(G334,'Data sources'!A:A,0),1)</f>
        <v>0.32449753999236403</v>
      </c>
      <c r="J334" s="2">
        <f>INDEX('Data sources'!R:R,MATCH(G334,'Data sources'!A:A,0),1)</f>
        <v>8.3851770965800991</v>
      </c>
      <c r="K334" s="2">
        <f>INDEX('Data sources'!S:S,MATCH(G334,'Data sources'!A:A,0),1)</f>
        <v>0</v>
      </c>
      <c r="L334" t="str">
        <f t="shared" si="5"/>
        <v>Manufacture of glass_Manufacture of paints, varnishes and similar coatings, printing ink and mastics</v>
      </c>
      <c r="M334">
        <f>INDEX('Data sources'!U:U,MATCH($G334,'Data sources'!$A:$A,0),1)</f>
        <v>0.66884534593017986</v>
      </c>
      <c r="N334">
        <f>INDEX('Data sources'!V:V,MATCH($G334,'Data sources'!$A:$A,0),1)</f>
        <v>0.58742624959688217</v>
      </c>
    </row>
    <row r="335" spans="1:14" x14ac:dyDescent="0.2">
      <c r="A335" t="s">
        <v>79</v>
      </c>
      <c r="B335" t="s">
        <v>141</v>
      </c>
      <c r="C335" t="s">
        <v>81</v>
      </c>
      <c r="D335" t="s">
        <v>409</v>
      </c>
      <c r="E335" t="s">
        <v>142</v>
      </c>
      <c r="F335">
        <v>26</v>
      </c>
      <c r="G335" s="30" t="s">
        <v>350</v>
      </c>
      <c r="H335" s="2">
        <f>INDEX('Data sources'!G:G,MATCH(G335,'Data sources'!A:A,0),1)</f>
        <v>0.73925352948672385</v>
      </c>
      <c r="I335" s="2">
        <f>INDEX('Data sources'!J:J,MATCH(G335,'Data sources'!A:A,0),1)</f>
        <v>0.50052641550481702</v>
      </c>
      <c r="J335" s="2">
        <f>INDEX('Data sources'!R:R,MATCH(G335,'Data sources'!A:A,0),1)</f>
        <v>4.9320000000000004</v>
      </c>
      <c r="K335" s="2">
        <f>INDEX('Data sources'!S:S,MATCH(G335,'Data sources'!A:A,0),1)</f>
        <v>0</v>
      </c>
      <c r="L335" t="str">
        <f t="shared" si="5"/>
        <v>Manufacture of glass_Manufacture of glass fibres</v>
      </c>
      <c r="M335">
        <f>INDEX('Data sources'!U:U,MATCH($G335,'Data sources'!$A:$A,0),1)</f>
        <v>0.66884534593017975</v>
      </c>
      <c r="N335">
        <f>INDEX('Data sources'!V:V,MATCH($G335,'Data sources'!$A:$A,0),1)</f>
        <v>0.58742624959688228</v>
      </c>
    </row>
    <row r="336" spans="1:14" x14ac:dyDescent="0.2">
      <c r="A336" t="s">
        <v>79</v>
      </c>
      <c r="B336" t="s">
        <v>189</v>
      </c>
      <c r="C336" t="s">
        <v>81</v>
      </c>
      <c r="D336" t="s">
        <v>409</v>
      </c>
      <c r="E336" t="s">
        <v>190</v>
      </c>
      <c r="F336">
        <v>2</v>
      </c>
      <c r="G336" s="30" t="s">
        <v>351</v>
      </c>
      <c r="H336" s="2">
        <f>INDEX('Data sources'!G:G,MATCH(G336,'Data sources'!A:A,0),1)</f>
        <v>0.44693420519106453</v>
      </c>
      <c r="I336" s="2">
        <f>INDEX('Data sources'!J:J,MATCH(G336,'Data sources'!A:A,0),1)</f>
        <v>0.32449753999236403</v>
      </c>
      <c r="J336" s="2">
        <f>INDEX('Data sources'!R:R,MATCH(G336,'Data sources'!A:A,0),1)</f>
        <v>8.3851770965800991</v>
      </c>
      <c r="K336" s="2">
        <f>INDEX('Data sources'!S:S,MATCH(G336,'Data sources'!A:A,0),1)</f>
        <v>0</v>
      </c>
      <c r="L336" t="str">
        <f t="shared" si="5"/>
        <v>Manufacture of glass_Manufacture of other non-metallic mineral products n.e.c.</v>
      </c>
      <c r="M336">
        <f>INDEX('Data sources'!U:U,MATCH($G336,'Data sources'!$A:$A,0),1)</f>
        <v>0.66884534593017986</v>
      </c>
      <c r="N336">
        <f>INDEX('Data sources'!V:V,MATCH($G336,'Data sources'!$A:$A,0),1)</f>
        <v>0.58742624959688217</v>
      </c>
    </row>
    <row r="337" spans="1:14" x14ac:dyDescent="0.2">
      <c r="A337" t="s">
        <v>79</v>
      </c>
      <c r="B337" t="s">
        <v>128</v>
      </c>
      <c r="C337" t="s">
        <v>127</v>
      </c>
      <c r="D337" t="s">
        <v>403</v>
      </c>
      <c r="E337" t="s">
        <v>15</v>
      </c>
      <c r="F337">
        <v>1</v>
      </c>
      <c r="G337" s="30" t="s">
        <v>325</v>
      </c>
      <c r="H337" s="2">
        <f>INDEX('Data sources'!G:G,MATCH(G337,'Data sources'!A:A,0),1)</f>
        <v>5.79E-2</v>
      </c>
      <c r="I337" s="2">
        <f>INDEX('Data sources'!J:J,MATCH(G337,'Data sources'!A:A,0),1)</f>
        <v>4.2599999999999999E-2</v>
      </c>
      <c r="J337" s="2">
        <f>INDEX('Data sources'!R:R,MATCH(G337,'Data sources'!A:A,0),1)</f>
        <v>1</v>
      </c>
      <c r="K337" s="2">
        <f>INDEX('Data sources'!S:S,MATCH(G337,'Data sources'!A:A,0),1)</f>
        <v>0</v>
      </c>
      <c r="L337" t="str">
        <f t="shared" si="5"/>
        <v>Manufacture of glass_Manufacture of electric lighting equipment</v>
      </c>
      <c r="M337">
        <f>INDEX('Data sources'!U:U,MATCH($G337,'Data sources'!$A:$A,0),1)</f>
        <v>0.78416348147957027</v>
      </c>
      <c r="N337">
        <f>INDEX('Data sources'!V:V,MATCH($G337,'Data sources'!$A:$A,0),1)</f>
        <v>0.72535139859924458</v>
      </c>
    </row>
    <row r="338" spans="1:14" x14ac:dyDescent="0.2">
      <c r="A338" t="s">
        <v>79</v>
      </c>
      <c r="B338" t="s">
        <v>282</v>
      </c>
      <c r="C338" t="s">
        <v>44</v>
      </c>
      <c r="D338" t="s">
        <v>45</v>
      </c>
      <c r="E338" t="s">
        <v>45</v>
      </c>
      <c r="F338">
        <v>1</v>
      </c>
      <c r="G338" s="30" t="s">
        <v>325</v>
      </c>
      <c r="H338" s="2">
        <f>INDEX('Data sources'!G:G,MATCH(G338,'Data sources'!A:A,0),1)</f>
        <v>5.79E-2</v>
      </c>
      <c r="I338" s="2">
        <f>INDEX('Data sources'!J:J,MATCH(G338,'Data sources'!A:A,0),1)</f>
        <v>4.2599999999999999E-2</v>
      </c>
      <c r="J338" s="2">
        <f>INDEX('Data sources'!R:R,MATCH(G338,'Data sources'!A:A,0),1)</f>
        <v>1</v>
      </c>
      <c r="K338" s="2">
        <f>INDEX('Data sources'!S:S,MATCH(G338,'Data sources'!A:A,0),1)</f>
        <v>0</v>
      </c>
      <c r="L338" t="str">
        <f t="shared" si="5"/>
        <v>Manufacture of glass_Production of electricity</v>
      </c>
      <c r="M338">
        <f>INDEX('Data sources'!U:U,MATCH($G338,'Data sources'!$A:$A,0),1)</f>
        <v>0.78416348147957027</v>
      </c>
      <c r="N338">
        <f>INDEX('Data sources'!V:V,MATCH($G338,'Data sources'!$A:$A,0),1)</f>
        <v>0.72535139859924458</v>
      </c>
    </row>
    <row r="339" spans="1:14" x14ac:dyDescent="0.2">
      <c r="A339" s="2" t="s">
        <v>79</v>
      </c>
      <c r="D339" t="s">
        <v>409</v>
      </c>
      <c r="E339">
        <v>0</v>
      </c>
      <c r="G339" s="30" t="s">
        <v>351</v>
      </c>
      <c r="H339" s="2">
        <f>INDEX('Data sources'!G:G,MATCH(G339,'Data sources'!A:A,0),1)</f>
        <v>0.44693420519106453</v>
      </c>
      <c r="I339" s="2">
        <f>INDEX('Data sources'!J:J,MATCH(G339,'Data sources'!A:A,0),1)</f>
        <v>0.32449753999236403</v>
      </c>
      <c r="J339" s="2">
        <f>INDEX('Data sources'!R:R,MATCH(G339,'Data sources'!A:A,0),1)</f>
        <v>8.3851770965800991</v>
      </c>
      <c r="K339" s="2">
        <f>INDEX('Data sources'!S:S,MATCH(G339,'Data sources'!A:A,0),1)</f>
        <v>0</v>
      </c>
      <c r="L339" t="str">
        <f t="shared" si="5"/>
        <v>Manufacture of glass</v>
      </c>
      <c r="M339">
        <f>INDEX('Data sources'!U:U,MATCH($G339,'Data sources'!$A:$A,0),1)</f>
        <v>0.66884534593017986</v>
      </c>
      <c r="N339">
        <f>INDEX('Data sources'!V:V,MATCH($G339,'Data sources'!$A:$A,0),1)</f>
        <v>0.58742624959688217</v>
      </c>
    </row>
    <row r="340" spans="1:14" x14ac:dyDescent="0.2">
      <c r="A340" t="s">
        <v>143</v>
      </c>
      <c r="B340" t="s">
        <v>141</v>
      </c>
      <c r="C340" t="s">
        <v>81</v>
      </c>
      <c r="D340" t="s">
        <v>409</v>
      </c>
      <c r="E340" t="s">
        <v>142</v>
      </c>
      <c r="F340">
        <v>12</v>
      </c>
      <c r="G340" s="30" t="s">
        <v>350</v>
      </c>
      <c r="H340" s="2">
        <f>INDEX('Data sources'!G:G,MATCH(G340,'Data sources'!A:A,0),1)</f>
        <v>0.73925352948672385</v>
      </c>
      <c r="I340" s="2">
        <f>INDEX('Data sources'!J:J,MATCH(G340,'Data sources'!A:A,0),1)</f>
        <v>0.50052641550481702</v>
      </c>
      <c r="J340" s="2">
        <f>INDEX('Data sources'!R:R,MATCH(G340,'Data sources'!A:A,0),1)</f>
        <v>4.9320000000000004</v>
      </c>
      <c r="K340" s="2">
        <f>INDEX('Data sources'!S:S,MATCH(G340,'Data sources'!A:A,0),1)</f>
        <v>0</v>
      </c>
      <c r="L340" t="str">
        <f t="shared" si="5"/>
        <v>Manufacture of mineral wool_Manufacture of glass fibres</v>
      </c>
      <c r="M340">
        <f>INDEX('Data sources'!U:U,MATCH($G340,'Data sources'!$A:$A,0),1)</f>
        <v>0.66884534593017975</v>
      </c>
      <c r="N340">
        <f>INDEX('Data sources'!V:V,MATCH($G340,'Data sources'!$A:$A,0),1)</f>
        <v>0.58742624959688228</v>
      </c>
    </row>
    <row r="341" spans="1:14" x14ac:dyDescent="0.2">
      <c r="A341" t="s">
        <v>143</v>
      </c>
      <c r="B341" t="s">
        <v>189</v>
      </c>
      <c r="C341" t="s">
        <v>81</v>
      </c>
      <c r="D341" t="s">
        <v>409</v>
      </c>
      <c r="E341" t="s">
        <v>190</v>
      </c>
      <c r="F341">
        <v>26</v>
      </c>
      <c r="G341" s="30" t="s">
        <v>350</v>
      </c>
      <c r="H341" s="2">
        <f>INDEX('Data sources'!G:G,MATCH(G341,'Data sources'!A:A,0),1)</f>
        <v>0.73925352948672385</v>
      </c>
      <c r="I341" s="2">
        <f>INDEX('Data sources'!J:J,MATCH(G341,'Data sources'!A:A,0),1)</f>
        <v>0.50052641550481702</v>
      </c>
      <c r="J341" s="2">
        <f>INDEX('Data sources'!R:R,MATCH(G341,'Data sources'!A:A,0),1)</f>
        <v>4.9320000000000004</v>
      </c>
      <c r="K341" s="2">
        <f>INDEX('Data sources'!S:S,MATCH(G341,'Data sources'!A:A,0),1)</f>
        <v>0</v>
      </c>
      <c r="L341" t="str">
        <f t="shared" si="5"/>
        <v>Manufacture of mineral wool_Manufacture of other non-metallic mineral products n.e.c.</v>
      </c>
      <c r="M341">
        <f>INDEX('Data sources'!U:U,MATCH($G341,'Data sources'!$A:$A,0),1)</f>
        <v>0.66884534593017975</v>
      </c>
      <c r="N341">
        <f>INDEX('Data sources'!V:V,MATCH($G341,'Data sources'!$A:$A,0),1)</f>
        <v>0.58742624959688228</v>
      </c>
    </row>
    <row r="342" spans="1:14" x14ac:dyDescent="0.2">
      <c r="A342" s="2" t="s">
        <v>143</v>
      </c>
      <c r="D342" t="s">
        <v>409</v>
      </c>
      <c r="E342">
        <v>0</v>
      </c>
      <c r="G342" s="30" t="s">
        <v>350</v>
      </c>
      <c r="H342" s="2">
        <f>INDEX('Data sources'!G:G,MATCH(G342,'Data sources'!A:A,0),1)</f>
        <v>0.73925352948672385</v>
      </c>
      <c r="I342" s="2">
        <f>INDEX('Data sources'!J:J,MATCH(G342,'Data sources'!A:A,0),1)</f>
        <v>0.50052641550481702</v>
      </c>
      <c r="J342" s="2">
        <f>INDEX('Data sources'!R:R,MATCH(G342,'Data sources'!A:A,0),1)</f>
        <v>4.9320000000000004</v>
      </c>
      <c r="K342" s="2">
        <f>INDEX('Data sources'!S:S,MATCH(G342,'Data sources'!A:A,0),1)</f>
        <v>0</v>
      </c>
      <c r="L342" t="str">
        <f t="shared" si="5"/>
        <v>Manufacture of mineral wool</v>
      </c>
      <c r="M342">
        <f>INDEX('Data sources'!U:U,MATCH($G342,'Data sources'!$A:$A,0),1)</f>
        <v>0.66884534593017975</v>
      </c>
      <c r="N342">
        <f>INDEX('Data sources'!V:V,MATCH($G342,'Data sources'!$A:$A,0),1)</f>
        <v>0.58742624959688228</v>
      </c>
    </row>
    <row r="343" spans="1:14" x14ac:dyDescent="0.2">
      <c r="A343" t="s">
        <v>92</v>
      </c>
      <c r="B343" t="s">
        <v>90</v>
      </c>
      <c r="C343" t="s">
        <v>6</v>
      </c>
      <c r="D343" t="s">
        <v>237</v>
      </c>
      <c r="E343" t="s">
        <v>237</v>
      </c>
      <c r="F343">
        <v>1</v>
      </c>
      <c r="G343" s="31" t="s">
        <v>377</v>
      </c>
      <c r="H343" s="2">
        <f>INDEX('Data sources'!G:G,MATCH(G343,'Data sources'!A:A,0),1)</f>
        <v>1.4950000000000001</v>
      </c>
      <c r="I343" s="2">
        <f>INDEX('Data sources'!J:J,MATCH(G343,'Data sources'!A:A,0),1)</f>
        <v>1.288</v>
      </c>
      <c r="J343" s="2">
        <f>INDEX('Data sources'!R:R,MATCH(G343,'Data sources'!A:A,0),1)</f>
        <v>14.976000000000001</v>
      </c>
      <c r="K343" s="2">
        <f>INDEX('Data sources'!S:S,MATCH(G343,'Data sources'!A:A,0),1)</f>
        <v>6.8039999999999985</v>
      </c>
      <c r="L343" t="str">
        <f t="shared" si="5"/>
        <v>Metal ore (including sulphide ore) roasting or sintering installations_Manufacture of basic iron and steel and of ferro-alloys</v>
      </c>
      <c r="M343">
        <f>INDEX('Data sources'!U:U,MATCH($G343,'Data sources'!$A:$A,0),1)</f>
        <v>0.55465092775711555</v>
      </c>
      <c r="N343">
        <f>INDEX('Data sources'!V:V,MATCH($G343,'Data sources'!$A:$A,0),1)</f>
        <v>0.43306202258392729</v>
      </c>
    </row>
    <row r="344" spans="1:14" x14ac:dyDescent="0.2">
      <c r="A344" s="2" t="s">
        <v>92</v>
      </c>
      <c r="D344" t="s">
        <v>237</v>
      </c>
      <c r="E344">
        <v>0</v>
      </c>
      <c r="G344" s="30" t="s">
        <v>376</v>
      </c>
      <c r="H344" s="2">
        <f>INDEX('Data sources'!G:G,MATCH(G344,'Data sources'!A:A,0),1)</f>
        <v>0.248</v>
      </c>
      <c r="I344" s="2">
        <f>INDEX('Data sources'!J:J,MATCH(G344,'Data sources'!A:A,0),1)</f>
        <v>0.157</v>
      </c>
      <c r="J344" s="2">
        <f>INDEX('Data sources'!R:R,MATCH(G344,'Data sources'!A:A,0),1)</f>
        <v>2.2320000000000002</v>
      </c>
      <c r="K344" s="2">
        <f>INDEX('Data sources'!S:S,MATCH(G344,'Data sources'!A:A,0),1)</f>
        <v>0</v>
      </c>
      <c r="L344" t="str">
        <f t="shared" si="5"/>
        <v>Metal ore (including sulphide ore) roasting or sintering installations</v>
      </c>
      <c r="M344">
        <f>INDEX('Data sources'!U:U,MATCH($G344,'Data sources'!$A:$A,0),1)</f>
        <v>0.55465092775711555</v>
      </c>
      <c r="N344">
        <f>INDEX('Data sources'!V:V,MATCH($G344,'Data sources'!$A:$A,0),1)</f>
        <v>0.43306202258392729</v>
      </c>
    </row>
    <row r="345" spans="1:14" x14ac:dyDescent="0.2">
      <c r="A345" t="s">
        <v>77</v>
      </c>
      <c r="B345" t="s">
        <v>125</v>
      </c>
      <c r="C345" t="s">
        <v>95</v>
      </c>
      <c r="D345" t="s">
        <v>95</v>
      </c>
      <c r="E345" t="s">
        <v>95</v>
      </c>
      <c r="F345">
        <v>1</v>
      </c>
      <c r="G345" s="30" t="s">
        <v>338</v>
      </c>
      <c r="H345" s="2">
        <f>INDEX('Data sources'!G:G,MATCH(G345,'Data sources'!A:A,0),1)</f>
        <v>1.1838611017829463</v>
      </c>
      <c r="I345" s="2">
        <f>INDEX('Data sources'!J:J,MATCH(G345,'Data sources'!A:A,0),1)</f>
        <v>1.0013516184567537</v>
      </c>
      <c r="J345" s="2">
        <f>INDEX('Data sources'!R:R,MATCH(G345,'Data sources'!A:A,0),1)</f>
        <v>2.6802340811720051</v>
      </c>
      <c r="K345" s="2">
        <f>INDEX('Data sources'!S:S,MATCH(G345,'Data sources'!A:A,0),1)</f>
        <v>27.108503329226927</v>
      </c>
      <c r="L345" t="str">
        <f t="shared" si="5"/>
        <v>Metal ore roasting or sintering_Manufacture of dyes and pigments</v>
      </c>
      <c r="M345">
        <f>INDEX('Data sources'!U:U,MATCH($G345,'Data sources'!$A:$A,0),1)</f>
        <v>0.84137119305744423</v>
      </c>
      <c r="N345">
        <f>INDEX('Data sources'!V:V,MATCH($G345,'Data sources'!$A:$A,0),1)</f>
        <v>0.86357922057787206</v>
      </c>
    </row>
    <row r="346" spans="1:14" x14ac:dyDescent="0.2">
      <c r="A346" t="s">
        <v>77</v>
      </c>
      <c r="B346" t="s">
        <v>185</v>
      </c>
      <c r="C346" t="s">
        <v>95</v>
      </c>
      <c r="D346" t="s">
        <v>95</v>
      </c>
      <c r="E346" t="s">
        <v>95</v>
      </c>
      <c r="F346">
        <v>1</v>
      </c>
      <c r="G346" s="30" t="s">
        <v>349</v>
      </c>
      <c r="H346" s="2">
        <f>INDEX('Data sources'!G:G,MATCH(G346,'Data sources'!A:A,0),1)</f>
        <v>1.5967631163208207</v>
      </c>
      <c r="I346" s="2">
        <f>INDEX('Data sources'!J:J,MATCH(G346,'Data sources'!A:A,0),1)</f>
        <v>1.2656396050839946</v>
      </c>
      <c r="J346" s="2">
        <f>INDEX('Data sources'!R:R,MATCH(G346,'Data sources'!A:A,0),1)</f>
        <v>3.2911730425008185</v>
      </c>
      <c r="K346" s="2">
        <f>INDEX('Data sources'!S:S,MATCH(G346,'Data sources'!A:A,0),1)</f>
        <v>10.213571642020407</v>
      </c>
      <c r="L346" t="str">
        <f t="shared" si="5"/>
        <v>Metal ore roasting or sintering_Manufacture of other inorganic basic chemicals</v>
      </c>
      <c r="M346">
        <f>INDEX('Data sources'!U:U,MATCH($G346,'Data sources'!$A:$A,0),1)</f>
        <v>0.84137119305744423</v>
      </c>
      <c r="N346">
        <f>INDEX('Data sources'!V:V,MATCH($G346,'Data sources'!$A:$A,0),1)</f>
        <v>0.86357922057787195</v>
      </c>
    </row>
    <row r="347" spans="1:14" x14ac:dyDescent="0.2">
      <c r="A347" t="s">
        <v>77</v>
      </c>
      <c r="B347" t="s">
        <v>75</v>
      </c>
      <c r="C347" t="s">
        <v>6</v>
      </c>
      <c r="D347" t="s">
        <v>256</v>
      </c>
      <c r="E347" t="s">
        <v>76</v>
      </c>
      <c r="F347">
        <v>1</v>
      </c>
      <c r="G347" s="30" t="s">
        <v>353</v>
      </c>
      <c r="H347" s="2">
        <f>INDEX('Data sources'!G:G,MATCH(G347,'Data sources'!A:A,0),1)</f>
        <v>1.92</v>
      </c>
      <c r="I347" s="2">
        <f>INDEX('Data sources'!J:J,MATCH(G347,'Data sources'!A:A,0),1)</f>
        <v>1.92</v>
      </c>
      <c r="J347" s="2">
        <f>INDEX('Data sources'!R:R,MATCH(G347,'Data sources'!A:A,0),1)</f>
        <v>2.2680000000000002</v>
      </c>
      <c r="K347" s="2">
        <f>INDEX('Data sources'!S:S,MATCH(G347,'Data sources'!A:A,0),1)</f>
        <v>0</v>
      </c>
      <c r="L347" t="str">
        <f t="shared" si="5"/>
        <v>Metal ore roasting or sintering_Lead, zinc and tin production</v>
      </c>
      <c r="M347">
        <f>INDEX('Data sources'!U:U,MATCH($G347,'Data sources'!$A:$A,0),1)</f>
        <v>0.83923856134650876</v>
      </c>
      <c r="N347">
        <f>INDEX('Data sources'!V:V,MATCH($G347,'Data sources'!$A:$A,0),1)</f>
        <v>0.99183492762409997</v>
      </c>
    </row>
    <row r="348" spans="1:14" x14ac:dyDescent="0.2">
      <c r="A348" t="s">
        <v>77</v>
      </c>
      <c r="B348" t="s">
        <v>245</v>
      </c>
      <c r="C348" t="s">
        <v>246</v>
      </c>
      <c r="D348" t="s">
        <v>403</v>
      </c>
      <c r="E348" t="s">
        <v>242</v>
      </c>
      <c r="F348">
        <v>6</v>
      </c>
      <c r="G348" s="30" t="s">
        <v>325</v>
      </c>
      <c r="H348" s="2">
        <f>INDEX('Data sources'!G:G,MATCH(G348,'Data sources'!A:A,0),1)</f>
        <v>5.79E-2</v>
      </c>
      <c r="I348" s="2">
        <f>INDEX('Data sources'!J:J,MATCH(G348,'Data sources'!A:A,0),1)</f>
        <v>4.2599999999999999E-2</v>
      </c>
      <c r="J348" s="2">
        <f>INDEX('Data sources'!R:R,MATCH(G348,'Data sources'!A:A,0),1)</f>
        <v>1</v>
      </c>
      <c r="K348" s="2">
        <f>INDEX('Data sources'!S:S,MATCH(G348,'Data sources'!A:A,0),1)</f>
        <v>0</v>
      </c>
      <c r="L348" t="str">
        <f t="shared" si="5"/>
        <v>Metal ore roasting or sintering_Mining of iron ores</v>
      </c>
      <c r="M348">
        <f>INDEX('Data sources'!U:U,MATCH($G348,'Data sources'!$A:$A,0),1)</f>
        <v>0.78416348147957027</v>
      </c>
      <c r="N348">
        <f>INDEX('Data sources'!V:V,MATCH($G348,'Data sources'!$A:$A,0),1)</f>
        <v>0.72535139859924458</v>
      </c>
    </row>
    <row r="349" spans="1:14" x14ac:dyDescent="0.2">
      <c r="A349" s="2" t="s">
        <v>77</v>
      </c>
      <c r="D349" t="s">
        <v>237</v>
      </c>
      <c r="E349">
        <v>0</v>
      </c>
      <c r="G349" s="30" t="s">
        <v>376</v>
      </c>
      <c r="H349" s="2">
        <f>INDEX('Data sources'!G:G,MATCH(G349,'Data sources'!A:A,0),1)</f>
        <v>0.248</v>
      </c>
      <c r="I349" s="2">
        <f>INDEX('Data sources'!J:J,MATCH(G349,'Data sources'!A:A,0),1)</f>
        <v>0.157</v>
      </c>
      <c r="J349" s="2">
        <f>INDEX('Data sources'!R:R,MATCH(G349,'Data sources'!A:A,0),1)</f>
        <v>2.2320000000000002</v>
      </c>
      <c r="K349" s="2">
        <f>INDEX('Data sources'!S:S,MATCH(G349,'Data sources'!A:A,0),1)</f>
        <v>0</v>
      </c>
      <c r="L349" t="str">
        <f t="shared" si="5"/>
        <v>Metal ore roasting or sintering</v>
      </c>
      <c r="M349">
        <f>INDEX('Data sources'!U:U,MATCH($G349,'Data sources'!$A:$A,0),1)</f>
        <v>0.55465092775711555</v>
      </c>
      <c r="N349">
        <f>INDEX('Data sources'!V:V,MATCH($G349,'Data sources'!$A:$A,0),1)</f>
        <v>0.43306202258392729</v>
      </c>
    </row>
    <row r="350" spans="1:14" x14ac:dyDescent="0.2">
      <c r="A350" t="s">
        <v>48</v>
      </c>
      <c r="B350" t="s">
        <v>47</v>
      </c>
      <c r="C350" t="s">
        <v>44</v>
      </c>
      <c r="D350" t="s">
        <v>45</v>
      </c>
      <c r="E350" t="s">
        <v>45</v>
      </c>
      <c r="F350">
        <v>3</v>
      </c>
      <c r="G350" s="30" t="s">
        <v>325</v>
      </c>
      <c r="H350" s="2">
        <f>INDEX('Data sources'!G:G,MATCH(G350,'Data sources'!A:A,0),1)</f>
        <v>5.79E-2</v>
      </c>
      <c r="I350" s="2">
        <f>INDEX('Data sources'!J:J,MATCH(G350,'Data sources'!A:A,0),1)</f>
        <v>4.2599999999999999E-2</v>
      </c>
      <c r="J350" s="2">
        <f>INDEX('Data sources'!R:R,MATCH(G350,'Data sources'!A:A,0),1)</f>
        <v>1</v>
      </c>
      <c r="K350" s="2">
        <f>INDEX('Data sources'!S:S,MATCH(G350,'Data sources'!A:A,0),1)</f>
        <v>0</v>
      </c>
      <c r="L350" t="str">
        <f t="shared" si="5"/>
        <v>Mineral oil refineries_Electric power generation, transmission and distribution</v>
      </c>
      <c r="M350">
        <f>INDEX('Data sources'!U:U,MATCH($G350,'Data sources'!$A:$A,0),1)</f>
        <v>0.78416348147957027</v>
      </c>
      <c r="N350">
        <f>INDEX('Data sources'!V:V,MATCH($G350,'Data sources'!$A:$A,0),1)</f>
        <v>0.72535139859924458</v>
      </c>
    </row>
    <row r="351" spans="1:14" x14ac:dyDescent="0.2">
      <c r="A351" t="s">
        <v>48</v>
      </c>
      <c r="B351" t="s">
        <v>223</v>
      </c>
      <c r="C351" t="s">
        <v>115</v>
      </c>
      <c r="D351" t="s">
        <v>224</v>
      </c>
      <c r="E351" t="s">
        <v>224</v>
      </c>
      <c r="F351">
        <v>16</v>
      </c>
      <c r="G351" s="30" t="s">
        <v>333</v>
      </c>
      <c r="H351" s="2">
        <f>INDEX('Data sources'!G:G,MATCH(G351,'Data sources'!A:A,0),1)</f>
        <v>0.55000000000000004</v>
      </c>
      <c r="I351" s="2">
        <f>INDEX('Data sources'!J:J,MATCH(G351,'Data sources'!A:A,0),1)</f>
        <v>0.40714285714285714</v>
      </c>
      <c r="J351" s="2">
        <f>INDEX('Data sources'!R:R,MATCH(G351,'Data sources'!A:A,0),1)</f>
        <v>0</v>
      </c>
      <c r="K351" s="2">
        <f>INDEX('Data sources'!S:S,MATCH(G351,'Data sources'!A:A,0),1)</f>
        <v>0.432</v>
      </c>
      <c r="L351" t="str">
        <f t="shared" si="5"/>
        <v>Mineral oil refineries_Manufacture of refined petroleum products</v>
      </c>
      <c r="M351">
        <f>INDEX('Data sources'!U:U,MATCH($G351,'Data sources'!$A:$A,0),1)</f>
        <v>0.75247638813310724</v>
      </c>
      <c r="N351">
        <f>INDEX('Data sources'!V:V,MATCH($G351,'Data sources'!$A:$A,0),1)</f>
        <v>0.39034566820695693</v>
      </c>
    </row>
    <row r="352" spans="1:14" x14ac:dyDescent="0.2">
      <c r="A352" s="2" t="s">
        <v>48</v>
      </c>
      <c r="D352" t="s">
        <v>224</v>
      </c>
      <c r="E352">
        <v>0</v>
      </c>
      <c r="G352" s="30" t="s">
        <v>333</v>
      </c>
      <c r="H352" s="2">
        <f>INDEX('Data sources'!G:G,MATCH(G352,'Data sources'!A:A,0),1)</f>
        <v>0.55000000000000004</v>
      </c>
      <c r="I352" s="2">
        <f>INDEX('Data sources'!J:J,MATCH(G352,'Data sources'!A:A,0),1)</f>
        <v>0.40714285714285714</v>
      </c>
      <c r="J352" s="2">
        <f>INDEX('Data sources'!R:R,MATCH(G352,'Data sources'!A:A,0),1)</f>
        <v>0</v>
      </c>
      <c r="K352" s="2">
        <f>INDEX('Data sources'!S:S,MATCH(G352,'Data sources'!A:A,0),1)</f>
        <v>0.432</v>
      </c>
      <c r="L352" t="str">
        <f t="shared" si="5"/>
        <v>Mineral oil refineries</v>
      </c>
      <c r="M352">
        <f>INDEX('Data sources'!U:U,MATCH($G352,'Data sources'!$A:$A,0),1)</f>
        <v>0.75247638813310724</v>
      </c>
      <c r="N352">
        <f>INDEX('Data sources'!V:V,MATCH($G352,'Data sources'!$A:$A,0),1)</f>
        <v>0.39034566820695693</v>
      </c>
    </row>
    <row r="353" spans="1:14" x14ac:dyDescent="0.2">
      <c r="A353" t="s">
        <v>33</v>
      </c>
      <c r="B353" t="s">
        <v>93</v>
      </c>
      <c r="C353" t="s">
        <v>94</v>
      </c>
      <c r="D353" t="s">
        <v>95</v>
      </c>
      <c r="E353" t="s">
        <v>94</v>
      </c>
      <c r="F353">
        <v>1</v>
      </c>
      <c r="G353" s="30" t="s">
        <v>338</v>
      </c>
      <c r="H353" s="2">
        <f>INDEX('Data sources'!G:G,MATCH(G353,'Data sources'!A:A,0),1)</f>
        <v>1.1838611017829463</v>
      </c>
      <c r="I353" s="2">
        <f>INDEX('Data sources'!J:J,MATCH(G353,'Data sources'!A:A,0),1)</f>
        <v>1.0013516184567537</v>
      </c>
      <c r="J353" s="2">
        <f>INDEX('Data sources'!R:R,MATCH(G353,'Data sources'!A:A,0),1)</f>
        <v>2.6802340811720051</v>
      </c>
      <c r="K353" s="2">
        <f>INDEX('Data sources'!S:S,MATCH(G353,'Data sources'!A:A,0),1)</f>
        <v>27.108503329226927</v>
      </c>
      <c r="L353" t="str">
        <f t="shared" si="5"/>
        <v>Other activity opted-in pursuant to Article 24 of Directive 2003/87/EC_Manufacture of basic pharmaceutical products</v>
      </c>
      <c r="M353">
        <f>INDEX('Data sources'!U:U,MATCH($G353,'Data sources'!$A:$A,0),1)</f>
        <v>0.84137119305744423</v>
      </c>
      <c r="N353">
        <f>INDEX('Data sources'!V:V,MATCH($G353,'Data sources'!$A:$A,0),1)</f>
        <v>0.86357922057787206</v>
      </c>
    </row>
    <row r="354" spans="1:14" x14ac:dyDescent="0.2">
      <c r="A354" t="s">
        <v>33</v>
      </c>
      <c r="B354" t="s">
        <v>185</v>
      </c>
      <c r="C354" t="s">
        <v>95</v>
      </c>
      <c r="D354" t="s">
        <v>95</v>
      </c>
      <c r="E354" t="s">
        <v>95</v>
      </c>
      <c r="F354">
        <v>3</v>
      </c>
      <c r="G354" s="30" t="s">
        <v>349</v>
      </c>
      <c r="H354" s="2">
        <f>INDEX('Data sources'!G:G,MATCH(G354,'Data sources'!A:A,0),1)</f>
        <v>1.5967631163208207</v>
      </c>
      <c r="I354" s="2">
        <f>INDEX('Data sources'!J:J,MATCH(G354,'Data sources'!A:A,0),1)</f>
        <v>1.2656396050839946</v>
      </c>
      <c r="J354" s="2">
        <f>INDEX('Data sources'!R:R,MATCH(G354,'Data sources'!A:A,0),1)</f>
        <v>3.2911730425008185</v>
      </c>
      <c r="K354" s="2">
        <f>INDEX('Data sources'!S:S,MATCH(G354,'Data sources'!A:A,0),1)</f>
        <v>10.213571642020407</v>
      </c>
      <c r="L354" t="str">
        <f t="shared" si="5"/>
        <v>Other activity opted-in pursuant to Article 24 of Directive 2003/87/EC_Manufacture of other inorganic basic chemicals</v>
      </c>
      <c r="M354">
        <f>INDEX('Data sources'!U:U,MATCH($G354,'Data sources'!$A:$A,0),1)</f>
        <v>0.84137119305744423</v>
      </c>
      <c r="N354">
        <f>INDEX('Data sources'!V:V,MATCH($G354,'Data sources'!$A:$A,0),1)</f>
        <v>0.86357922057787195</v>
      </c>
    </row>
    <row r="355" spans="1:14" x14ac:dyDescent="0.2">
      <c r="A355" t="s">
        <v>33</v>
      </c>
      <c r="B355" t="s">
        <v>191</v>
      </c>
      <c r="C355" t="s">
        <v>95</v>
      </c>
      <c r="D355" t="s">
        <v>95</v>
      </c>
      <c r="E355" t="s">
        <v>95</v>
      </c>
      <c r="F355">
        <v>2</v>
      </c>
      <c r="G355" s="30" t="s">
        <v>348</v>
      </c>
      <c r="H355" s="2">
        <f>INDEX('Data sources'!G:G,MATCH(G355,'Data sources'!A:A,0),1)</f>
        <v>0.7451576638020061</v>
      </c>
      <c r="I355" s="2">
        <f>INDEX('Data sources'!J:J,MATCH(G355,'Data sources'!A:A,0),1)</f>
        <v>0.6864801988122935</v>
      </c>
      <c r="J355" s="2">
        <f>INDEX('Data sources'!R:R,MATCH(G355,'Data sources'!A:A,0),1)</f>
        <v>2.1991404818942466</v>
      </c>
      <c r="K355" s="2">
        <f>INDEX('Data sources'!S:S,MATCH(G355,'Data sources'!A:A,0),1)</f>
        <v>40.412685922642247</v>
      </c>
      <c r="L355" t="str">
        <f t="shared" si="5"/>
        <v>Other activity opted-in pursuant to Article 24 of Directive 2003/87/EC_Manufacture of other organic basic chemicals</v>
      </c>
      <c r="M355">
        <f>INDEX('Data sources'!U:U,MATCH($G355,'Data sources'!$A:$A,0),1)</f>
        <v>0.84137119305744434</v>
      </c>
      <c r="N355">
        <f>INDEX('Data sources'!V:V,MATCH($G355,'Data sources'!$A:$A,0),1)</f>
        <v>0.86357922057787184</v>
      </c>
    </row>
    <row r="356" spans="1:14" x14ac:dyDescent="0.2">
      <c r="A356" t="s">
        <v>33</v>
      </c>
      <c r="B356" t="s">
        <v>56</v>
      </c>
      <c r="C356" t="s">
        <v>54</v>
      </c>
      <c r="D356" t="s">
        <v>403</v>
      </c>
      <c r="E356" t="s">
        <v>55</v>
      </c>
      <c r="F356">
        <v>2</v>
      </c>
      <c r="G356" s="30" t="s">
        <v>325</v>
      </c>
      <c r="H356" s="2">
        <f>INDEX('Data sources'!G:G,MATCH(G356,'Data sources'!A:A,0),1)</f>
        <v>5.79E-2</v>
      </c>
      <c r="I356" s="2">
        <f>INDEX('Data sources'!J:J,MATCH(G356,'Data sources'!A:A,0),1)</f>
        <v>4.2599999999999999E-2</v>
      </c>
      <c r="J356" s="2">
        <f>INDEX('Data sources'!R:R,MATCH(G356,'Data sources'!A:A,0),1)</f>
        <v>1</v>
      </c>
      <c r="K356" s="2">
        <f>INDEX('Data sources'!S:S,MATCH(G356,'Data sources'!A:A,0),1)</f>
        <v>0</v>
      </c>
      <c r="L356" t="str">
        <f t="shared" si="5"/>
        <v>Other activity opted-in pursuant to Article 24 of Directive 2003/87/EC_Extraction of natural gas</v>
      </c>
      <c r="M356">
        <f>INDEX('Data sources'!U:U,MATCH($G356,'Data sources'!$A:$A,0),1)</f>
        <v>0.78416348147957027</v>
      </c>
      <c r="N356">
        <f>INDEX('Data sources'!V:V,MATCH($G356,'Data sources'!$A:$A,0),1)</f>
        <v>0.72535139859924458</v>
      </c>
    </row>
    <row r="357" spans="1:14" x14ac:dyDescent="0.2">
      <c r="A357" t="s">
        <v>33</v>
      </c>
      <c r="B357" t="s">
        <v>189</v>
      </c>
      <c r="C357" t="s">
        <v>81</v>
      </c>
      <c r="D357" t="s">
        <v>409</v>
      </c>
      <c r="E357" t="s">
        <v>190</v>
      </c>
      <c r="F357">
        <v>2</v>
      </c>
      <c r="G357" s="30" t="s">
        <v>357</v>
      </c>
      <c r="H357" s="2">
        <f>INDEX('Data sources'!G:G,MATCH(G357,'Data sources'!A:A,0),1)</f>
        <v>0.805852417888692</v>
      </c>
      <c r="I357" s="2">
        <f>INDEX('Data sources'!J:J,MATCH(G357,'Data sources'!A:A,0),1)</f>
        <v>0.66291615790238245</v>
      </c>
      <c r="J357" s="2">
        <f>INDEX('Data sources'!R:R,MATCH(G357,'Data sources'!A:A,0),1)</f>
        <v>4.5353855263775982</v>
      </c>
      <c r="K357" s="2">
        <f>INDEX('Data sources'!S:S,MATCH(G357,'Data sources'!A:A,0),1)</f>
        <v>0</v>
      </c>
      <c r="L357" t="str">
        <f t="shared" si="5"/>
        <v>Other activity opted-in pursuant to Article 24 of Directive 2003/87/EC_Manufacture of other non-metallic mineral products n.e.c.</v>
      </c>
      <c r="M357">
        <f>INDEX('Data sources'!U:U,MATCH($G357,'Data sources'!$A:$A,0),1)</f>
        <v>0.66884534593018008</v>
      </c>
      <c r="N357">
        <f>INDEX('Data sources'!V:V,MATCH($G357,'Data sources'!$A:$A,0),1)</f>
        <v>0.58742624959688239</v>
      </c>
    </row>
    <row r="358" spans="1:14" x14ac:dyDescent="0.2">
      <c r="A358" t="s">
        <v>33</v>
      </c>
      <c r="B358" t="s">
        <v>31</v>
      </c>
      <c r="C358" t="s">
        <v>32</v>
      </c>
      <c r="D358" t="s">
        <v>403</v>
      </c>
      <c r="E358" t="s">
        <v>15</v>
      </c>
      <c r="F358">
        <v>7</v>
      </c>
      <c r="G358" s="30" t="s">
        <v>325</v>
      </c>
      <c r="H358" s="2">
        <f>INDEX('Data sources'!G:G,MATCH(G358,'Data sources'!A:A,0),1)</f>
        <v>5.79E-2</v>
      </c>
      <c r="I358" s="2">
        <f>INDEX('Data sources'!J:J,MATCH(G358,'Data sources'!A:A,0),1)</f>
        <v>4.2599999999999999E-2</v>
      </c>
      <c r="J358" s="2">
        <f>INDEX('Data sources'!R:R,MATCH(G358,'Data sources'!A:A,0),1)</f>
        <v>1</v>
      </c>
      <c r="K358" s="2">
        <f>INDEX('Data sources'!S:S,MATCH(G358,'Data sources'!A:A,0),1)</f>
        <v>0</v>
      </c>
      <c r="L358" t="str">
        <f t="shared" si="5"/>
        <v>Other activity opted-in pursuant to Article 24 of Directive 2003/87/EC_Data processing, hosting and related activities</v>
      </c>
      <c r="M358">
        <f>INDEX('Data sources'!U:U,MATCH($G358,'Data sources'!$A:$A,0),1)</f>
        <v>0.78416348147957027</v>
      </c>
      <c r="N358">
        <f>INDEX('Data sources'!V:V,MATCH($G358,'Data sources'!$A:$A,0),1)</f>
        <v>0.72535139859924458</v>
      </c>
    </row>
    <row r="359" spans="1:14" x14ac:dyDescent="0.2">
      <c r="A359" t="s">
        <v>33</v>
      </c>
      <c r="B359" t="s">
        <v>238</v>
      </c>
      <c r="C359" t="s">
        <v>89</v>
      </c>
      <c r="D359" t="s">
        <v>403</v>
      </c>
      <c r="E359" t="s">
        <v>15</v>
      </c>
      <c r="F359">
        <v>3</v>
      </c>
      <c r="G359" s="30" t="s">
        <v>325</v>
      </c>
      <c r="H359" s="2">
        <f>INDEX('Data sources'!G:G,MATCH(G359,'Data sources'!A:A,0),1)</f>
        <v>5.79E-2</v>
      </c>
      <c r="I359" s="2">
        <f>INDEX('Data sources'!J:J,MATCH(G359,'Data sources'!A:A,0),1)</f>
        <v>4.2599999999999999E-2</v>
      </c>
      <c r="J359" s="2">
        <f>INDEX('Data sources'!R:R,MATCH(G359,'Data sources'!A:A,0),1)</f>
        <v>1</v>
      </c>
      <c r="K359" s="2">
        <f>INDEX('Data sources'!S:S,MATCH(G359,'Data sources'!A:A,0),1)</f>
        <v>0</v>
      </c>
      <c r="L359" t="str">
        <f t="shared" si="5"/>
        <v>Other activity opted-in pursuant to Article 24 of Directive 2003/87/EC_Manufacture of veneer sheets and wood-based panels</v>
      </c>
      <c r="M359">
        <f>INDEX('Data sources'!U:U,MATCH($G359,'Data sources'!$A:$A,0),1)</f>
        <v>0.78416348147957027</v>
      </c>
      <c r="N359">
        <f>INDEX('Data sources'!V:V,MATCH($G359,'Data sources'!$A:$A,0),1)</f>
        <v>0.72535139859924458</v>
      </c>
    </row>
    <row r="360" spans="1:14" x14ac:dyDescent="0.2">
      <c r="A360" t="s">
        <v>33</v>
      </c>
      <c r="B360" t="s">
        <v>47</v>
      </c>
      <c r="C360" t="s">
        <v>44</v>
      </c>
      <c r="D360" t="s">
        <v>45</v>
      </c>
      <c r="E360" t="s">
        <v>45</v>
      </c>
      <c r="F360">
        <v>2</v>
      </c>
      <c r="G360" s="30" t="s">
        <v>325</v>
      </c>
      <c r="H360" s="2">
        <f>INDEX('Data sources'!G:G,MATCH(G360,'Data sources'!A:A,0),1)</f>
        <v>5.79E-2</v>
      </c>
      <c r="I360" s="2">
        <f>INDEX('Data sources'!J:J,MATCH(G360,'Data sources'!A:A,0),1)</f>
        <v>4.2599999999999999E-2</v>
      </c>
      <c r="J360" s="2">
        <f>INDEX('Data sources'!R:R,MATCH(G360,'Data sources'!A:A,0),1)</f>
        <v>1</v>
      </c>
      <c r="K360" s="2">
        <f>INDEX('Data sources'!S:S,MATCH(G360,'Data sources'!A:A,0),1)</f>
        <v>0</v>
      </c>
      <c r="L360" t="str">
        <f t="shared" si="5"/>
        <v>Other activity opted-in pursuant to Article 24 of Directive 2003/87/EC_Electric power generation, transmission and distribution</v>
      </c>
      <c r="M360">
        <f>INDEX('Data sources'!U:U,MATCH($G360,'Data sources'!$A:$A,0),1)</f>
        <v>0.78416348147957027</v>
      </c>
      <c r="N360">
        <f>INDEX('Data sources'!V:V,MATCH($G360,'Data sources'!$A:$A,0),1)</f>
        <v>0.72535139859924458</v>
      </c>
    </row>
    <row r="361" spans="1:14" x14ac:dyDescent="0.2">
      <c r="A361" t="s">
        <v>33</v>
      </c>
      <c r="B361" t="s">
        <v>44</v>
      </c>
      <c r="C361" t="s">
        <v>44</v>
      </c>
      <c r="D361" t="s">
        <v>45</v>
      </c>
      <c r="E361" t="s">
        <v>45</v>
      </c>
      <c r="F361">
        <v>22</v>
      </c>
      <c r="G361" s="30" t="s">
        <v>329</v>
      </c>
      <c r="H361" s="2">
        <f>INDEX('Data sources'!G:G,MATCH(G361,'Data sources'!A:A,0),1)</f>
        <v>7.6799999999999993E-2</v>
      </c>
      <c r="I361" s="2">
        <f>INDEX('Data sources'!J:J,MATCH(G361,'Data sources'!A:A,0),1)</f>
        <v>4.7300000000000002E-2</v>
      </c>
      <c r="J361" s="2">
        <f>INDEX('Data sources'!R:R,MATCH(G361,'Data sources'!A:A,0),1)</f>
        <v>1</v>
      </c>
      <c r="K361" s="2">
        <f>INDEX('Data sources'!S:S,MATCH(G361,'Data sources'!A:A,0),1)</f>
        <v>0</v>
      </c>
      <c r="L361" t="str">
        <f t="shared" si="5"/>
        <v>Other activity opted-in pursuant to Article 24 of Directive 2003/87/EC_Electricity, gas, steam and air conditioning supply</v>
      </c>
      <c r="M361">
        <f>INDEX('Data sources'!U:U,MATCH($G361,'Data sources'!$A:$A,0),1)</f>
        <v>0.78416348147957027</v>
      </c>
      <c r="N361">
        <f>INDEX('Data sources'!V:V,MATCH($G361,'Data sources'!$A:$A,0),1)</f>
        <v>0.72535139859924458</v>
      </c>
    </row>
    <row r="362" spans="1:14" x14ac:dyDescent="0.2">
      <c r="A362" t="s">
        <v>33</v>
      </c>
      <c r="B362" t="s">
        <v>282</v>
      </c>
      <c r="C362" t="s">
        <v>44</v>
      </c>
      <c r="D362" t="s">
        <v>45</v>
      </c>
      <c r="E362" t="s">
        <v>45</v>
      </c>
      <c r="F362">
        <v>33</v>
      </c>
      <c r="G362" s="30" t="s">
        <v>325</v>
      </c>
      <c r="H362" s="2">
        <f>INDEX('Data sources'!G:G,MATCH(G362,'Data sources'!A:A,0),1)</f>
        <v>5.79E-2</v>
      </c>
      <c r="I362" s="2">
        <f>INDEX('Data sources'!J:J,MATCH(G362,'Data sources'!A:A,0),1)</f>
        <v>4.2599999999999999E-2</v>
      </c>
      <c r="J362" s="2">
        <f>INDEX('Data sources'!R:R,MATCH(G362,'Data sources'!A:A,0),1)</f>
        <v>1</v>
      </c>
      <c r="K362" s="2">
        <f>INDEX('Data sources'!S:S,MATCH(G362,'Data sources'!A:A,0),1)</f>
        <v>0</v>
      </c>
      <c r="L362" t="str">
        <f t="shared" si="5"/>
        <v>Other activity opted-in pursuant to Article 24 of Directive 2003/87/EC_Production of electricity</v>
      </c>
      <c r="M362">
        <f>INDEX('Data sources'!U:U,MATCH($G362,'Data sources'!$A:$A,0),1)</f>
        <v>0.78416348147957027</v>
      </c>
      <c r="N362">
        <f>INDEX('Data sources'!V:V,MATCH($G362,'Data sources'!$A:$A,0),1)</f>
        <v>0.72535139859924458</v>
      </c>
    </row>
    <row r="363" spans="1:14" x14ac:dyDescent="0.2">
      <c r="A363" t="s">
        <v>33</v>
      </c>
      <c r="B363" t="s">
        <v>301</v>
      </c>
      <c r="C363" t="s">
        <v>44</v>
      </c>
      <c r="D363" t="s">
        <v>45</v>
      </c>
      <c r="E363" t="s">
        <v>45</v>
      </c>
      <c r="F363">
        <v>123</v>
      </c>
      <c r="G363" s="30" t="s">
        <v>329</v>
      </c>
      <c r="H363" s="2">
        <f>INDEX('Data sources'!G:G,MATCH(G363,'Data sources'!A:A,0),1)</f>
        <v>7.6799999999999993E-2</v>
      </c>
      <c r="I363" s="2">
        <f>INDEX('Data sources'!J:J,MATCH(G363,'Data sources'!A:A,0),1)</f>
        <v>4.7300000000000002E-2</v>
      </c>
      <c r="J363" s="2">
        <f>INDEX('Data sources'!R:R,MATCH(G363,'Data sources'!A:A,0),1)</f>
        <v>1</v>
      </c>
      <c r="K363" s="2">
        <f>INDEX('Data sources'!S:S,MATCH(G363,'Data sources'!A:A,0),1)</f>
        <v>0</v>
      </c>
      <c r="L363" t="str">
        <f t="shared" si="5"/>
        <v>Other activity opted-in pursuant to Article 24 of Directive 2003/87/EC_Steam and air conditioning supply</v>
      </c>
      <c r="M363">
        <f>INDEX('Data sources'!U:U,MATCH($G363,'Data sources'!$A:$A,0),1)</f>
        <v>0.78416348147957027</v>
      </c>
      <c r="N363">
        <f>INDEX('Data sources'!V:V,MATCH($G363,'Data sources'!$A:$A,0),1)</f>
        <v>0.72535139859924458</v>
      </c>
    </row>
    <row r="364" spans="1:14" x14ac:dyDescent="0.2">
      <c r="A364" s="2" t="s">
        <v>33</v>
      </c>
      <c r="D364" t="s">
        <v>403</v>
      </c>
      <c r="E364">
        <v>0</v>
      </c>
      <c r="G364" s="30" t="s">
        <v>325</v>
      </c>
      <c r="H364" s="2">
        <f>INDEX('Data sources'!G:G,MATCH(G364,'Data sources'!A:A,0),1)</f>
        <v>5.79E-2</v>
      </c>
      <c r="I364" s="2">
        <f>INDEX('Data sources'!J:J,MATCH(G364,'Data sources'!A:A,0),1)</f>
        <v>4.2599999999999999E-2</v>
      </c>
      <c r="J364" s="2">
        <f>INDEX('Data sources'!R:R,MATCH(G364,'Data sources'!A:A,0),1)</f>
        <v>1</v>
      </c>
      <c r="K364" s="2">
        <f>INDEX('Data sources'!S:S,MATCH(G364,'Data sources'!A:A,0),1)</f>
        <v>0</v>
      </c>
      <c r="L364" t="str">
        <f t="shared" si="5"/>
        <v>Other activity opted-in pursuant to Article 24 of Directive 2003/87/EC</v>
      </c>
      <c r="M364">
        <f>INDEX('Data sources'!U:U,MATCH($G364,'Data sources'!$A:$A,0),1)</f>
        <v>0.78416348147957027</v>
      </c>
      <c r="N364">
        <f>INDEX('Data sources'!V:V,MATCH($G364,'Data sources'!$A:$A,0),1)</f>
        <v>0.72535139859924458</v>
      </c>
    </row>
    <row r="365" spans="1:14" x14ac:dyDescent="0.2">
      <c r="A365" t="s">
        <v>192</v>
      </c>
      <c r="B365" t="s">
        <v>191</v>
      </c>
      <c r="C365" t="s">
        <v>95</v>
      </c>
      <c r="D365" t="s">
        <v>95</v>
      </c>
      <c r="E365" t="s">
        <v>95</v>
      </c>
      <c r="F365">
        <v>3</v>
      </c>
      <c r="G365" s="30" t="s">
        <v>345</v>
      </c>
      <c r="H365" s="2">
        <f>INDEX('Data sources'!G:G,MATCH(G365,'Data sources'!A:A,0),1)</f>
        <v>1.1399999999999999</v>
      </c>
      <c r="I365" s="2">
        <f>INDEX('Data sources'!J:J,MATCH(G365,'Data sources'!A:A,0),1)</f>
        <v>2.12</v>
      </c>
      <c r="J365" s="2">
        <f>INDEX('Data sources'!R:R,MATCH(G365,'Data sources'!A:A,0),1)</f>
        <v>21.6</v>
      </c>
      <c r="K365" s="2">
        <f>INDEX('Data sources'!S:S,MATCH(G365,'Data sources'!A:A,0),1)</f>
        <v>0</v>
      </c>
      <c r="L365" t="str">
        <f t="shared" si="5"/>
        <v>Production of adipic acid_Manufacture of other organic basic chemicals</v>
      </c>
      <c r="M365">
        <f>INDEX('Data sources'!U:U,MATCH($G365,'Data sources'!$A:$A,0),1)</f>
        <v>0.84137119305744412</v>
      </c>
      <c r="N365">
        <f>INDEX('Data sources'!V:V,MATCH($G365,'Data sources'!$A:$A,0),1)</f>
        <v>0.86357922057787195</v>
      </c>
    </row>
    <row r="366" spans="1:14" x14ac:dyDescent="0.2">
      <c r="A366" s="2" t="s">
        <v>192</v>
      </c>
      <c r="D366" t="s">
        <v>95</v>
      </c>
      <c r="E366">
        <v>0</v>
      </c>
      <c r="G366" s="30" t="s">
        <v>345</v>
      </c>
      <c r="H366" s="2">
        <f>INDEX('Data sources'!G:G,MATCH(G366,'Data sources'!A:A,0),1)</f>
        <v>1.1399999999999999</v>
      </c>
      <c r="I366" s="2">
        <f>INDEX('Data sources'!J:J,MATCH(G366,'Data sources'!A:A,0),1)</f>
        <v>2.12</v>
      </c>
      <c r="J366" s="2">
        <f>INDEX('Data sources'!R:R,MATCH(G366,'Data sources'!A:A,0),1)</f>
        <v>21.6</v>
      </c>
      <c r="K366" s="2">
        <f>INDEX('Data sources'!S:S,MATCH(G366,'Data sources'!A:A,0),1)</f>
        <v>0</v>
      </c>
      <c r="L366" t="str">
        <f t="shared" si="5"/>
        <v>Production of adipic acid</v>
      </c>
      <c r="M366">
        <f>INDEX('Data sources'!U:U,MATCH($G366,'Data sources'!$A:$A,0),1)</f>
        <v>0.84137119305744412</v>
      </c>
      <c r="N366">
        <f>INDEX('Data sources'!V:V,MATCH($G366,'Data sources'!$A:$A,0),1)</f>
        <v>0.86357922057787195</v>
      </c>
    </row>
    <row r="367" spans="1:14" x14ac:dyDescent="0.2">
      <c r="A367" t="s">
        <v>136</v>
      </c>
      <c r="B367" t="s">
        <v>134</v>
      </c>
      <c r="C367" t="s">
        <v>95</v>
      </c>
      <c r="D367" t="s">
        <v>95</v>
      </c>
      <c r="E367" t="s">
        <v>95</v>
      </c>
      <c r="F367">
        <v>17</v>
      </c>
      <c r="G367" s="30" t="s">
        <v>340</v>
      </c>
      <c r="H367" s="2">
        <f>INDEX('Data sources'!G:G,MATCH(G367,'Data sources'!A:A,0),1)</f>
        <v>1.9470000000000001</v>
      </c>
      <c r="I367" s="2">
        <f>INDEX('Data sources'!J:J,MATCH(G367,'Data sources'!A:A,0),1)</f>
        <v>1.57</v>
      </c>
      <c r="J367" s="2">
        <f>INDEX('Data sources'!R:R,MATCH(G367,'Data sources'!A:A,0),1)</f>
        <v>0</v>
      </c>
      <c r="K367" s="2">
        <f>INDEX('Data sources'!S:S,MATCH(G367,'Data sources'!A:A,0),1)</f>
        <v>21.312000000000001</v>
      </c>
      <c r="L367" t="str">
        <f t="shared" si="5"/>
        <v>Production of ammonia_Manufacture of fertilisers and nitrogen compounds</v>
      </c>
      <c r="M367">
        <f>INDEX('Data sources'!U:U,MATCH($G367,'Data sources'!$A:$A,0),1)</f>
        <v>0.84137119305744412</v>
      </c>
      <c r="N367">
        <f>INDEX('Data sources'!V:V,MATCH($G367,'Data sources'!$A:$A,0),1)</f>
        <v>0.86357922057787195</v>
      </c>
    </row>
    <row r="368" spans="1:14" x14ac:dyDescent="0.2">
      <c r="A368" t="s">
        <v>136</v>
      </c>
      <c r="B368" t="s">
        <v>191</v>
      </c>
      <c r="C368" t="s">
        <v>95</v>
      </c>
      <c r="D368" t="s">
        <v>95</v>
      </c>
      <c r="E368" t="s">
        <v>95</v>
      </c>
      <c r="F368">
        <v>1</v>
      </c>
      <c r="G368" s="30" t="s">
        <v>340</v>
      </c>
      <c r="H368" s="2">
        <f>INDEX('Data sources'!G:G,MATCH(G368,'Data sources'!A:A,0),1)</f>
        <v>1.9470000000000001</v>
      </c>
      <c r="I368" s="2">
        <f>INDEX('Data sources'!J:J,MATCH(G368,'Data sources'!A:A,0),1)</f>
        <v>1.57</v>
      </c>
      <c r="J368" s="2">
        <f>INDEX('Data sources'!R:R,MATCH(G368,'Data sources'!A:A,0),1)</f>
        <v>0</v>
      </c>
      <c r="K368" s="2">
        <f>INDEX('Data sources'!S:S,MATCH(G368,'Data sources'!A:A,0),1)</f>
        <v>21.312000000000001</v>
      </c>
      <c r="L368" t="str">
        <f t="shared" si="5"/>
        <v>Production of ammonia_Manufacture of other organic basic chemicals</v>
      </c>
      <c r="M368">
        <f>INDEX('Data sources'!U:U,MATCH($G368,'Data sources'!$A:$A,0),1)</f>
        <v>0.84137119305744412</v>
      </c>
      <c r="N368">
        <f>INDEX('Data sources'!V:V,MATCH($G368,'Data sources'!$A:$A,0),1)</f>
        <v>0.86357922057787195</v>
      </c>
    </row>
    <row r="369" spans="1:14" x14ac:dyDescent="0.2">
      <c r="A369" s="2" t="s">
        <v>136</v>
      </c>
      <c r="D369" t="s">
        <v>95</v>
      </c>
      <c r="E369">
        <v>0</v>
      </c>
      <c r="G369" s="30" t="s">
        <v>340</v>
      </c>
      <c r="H369" s="2">
        <f>INDEX('Data sources'!G:G,MATCH(G369,'Data sources'!A:A,0),1)</f>
        <v>1.9470000000000001</v>
      </c>
      <c r="I369" s="2">
        <f>INDEX('Data sources'!J:J,MATCH(G369,'Data sources'!A:A,0),1)</f>
        <v>1.57</v>
      </c>
      <c r="J369" s="2">
        <f>INDEX('Data sources'!R:R,MATCH(G369,'Data sources'!A:A,0),1)</f>
        <v>0</v>
      </c>
      <c r="K369" s="2">
        <f>INDEX('Data sources'!S:S,MATCH(G369,'Data sources'!A:A,0),1)</f>
        <v>21.312000000000001</v>
      </c>
      <c r="L369" t="str">
        <f t="shared" si="5"/>
        <v>Production of ammonia</v>
      </c>
      <c r="M369">
        <f>INDEX('Data sources'!U:U,MATCH($G369,'Data sources'!$A:$A,0),1)</f>
        <v>0.84137119305744412</v>
      </c>
      <c r="N369">
        <f>INDEX('Data sources'!V:V,MATCH($G369,'Data sources'!$A:$A,0),1)</f>
        <v>0.86357922057787195</v>
      </c>
    </row>
    <row r="370" spans="1:14" x14ac:dyDescent="0.2">
      <c r="A370" t="s">
        <v>34</v>
      </c>
      <c r="B370" t="s">
        <v>125</v>
      </c>
      <c r="C370" t="s">
        <v>95</v>
      </c>
      <c r="D370" t="s">
        <v>95</v>
      </c>
      <c r="E370" t="s">
        <v>95</v>
      </c>
      <c r="F370">
        <v>1</v>
      </c>
      <c r="G370" s="30" t="s">
        <v>338</v>
      </c>
      <c r="H370" s="2">
        <f>INDEX('Data sources'!G:G,MATCH(G370,'Data sources'!A:A,0),1)</f>
        <v>1.1838611017829463</v>
      </c>
      <c r="I370" s="2">
        <f>INDEX('Data sources'!J:J,MATCH(G370,'Data sources'!A:A,0),1)</f>
        <v>1.0013516184567537</v>
      </c>
      <c r="J370" s="2">
        <f>INDEX('Data sources'!R:R,MATCH(G370,'Data sources'!A:A,0),1)</f>
        <v>2.6802340811720051</v>
      </c>
      <c r="K370" s="2">
        <f>INDEX('Data sources'!S:S,MATCH(G370,'Data sources'!A:A,0),1)</f>
        <v>27.108503329226927</v>
      </c>
      <c r="L370" t="str">
        <f t="shared" si="5"/>
        <v>Production of bulk chemicals_Manufacture of dyes and pigments</v>
      </c>
      <c r="M370">
        <f>INDEX('Data sources'!U:U,MATCH($G370,'Data sources'!$A:$A,0),1)</f>
        <v>0.84137119305744423</v>
      </c>
      <c r="N370">
        <f>INDEX('Data sources'!V:V,MATCH($G370,'Data sources'!$A:$A,0),1)</f>
        <v>0.86357922057787206</v>
      </c>
    </row>
    <row r="371" spans="1:14" x14ac:dyDescent="0.2">
      <c r="A371" t="s">
        <v>34</v>
      </c>
      <c r="B371" t="s">
        <v>134</v>
      </c>
      <c r="C371" t="s">
        <v>95</v>
      </c>
      <c r="D371" t="s">
        <v>95</v>
      </c>
      <c r="E371" t="s">
        <v>95</v>
      </c>
      <c r="F371">
        <v>4</v>
      </c>
      <c r="G371" s="30" t="s">
        <v>343</v>
      </c>
      <c r="H371" s="2">
        <f>INDEX('Data sources'!G:G,MATCH(G371,'Data sources'!A:A,0),1)</f>
        <v>1.7186343172225256</v>
      </c>
      <c r="I371" s="2">
        <f>INDEX('Data sources'!J:J,MATCH(G371,'Data sources'!A:A,0),1)</f>
        <v>1.3535743777501814</v>
      </c>
      <c r="J371" s="2">
        <f>INDEX('Data sources'!R:R,MATCH(G371,'Data sources'!A:A,0),1)</f>
        <v>0</v>
      </c>
      <c r="K371" s="2">
        <f>INDEX('Data sources'!S:S,MATCH(G371,'Data sources'!A:A,0),1)</f>
        <v>12.596122450268965</v>
      </c>
      <c r="L371" t="str">
        <f t="shared" si="5"/>
        <v>Production of bulk chemicals_Manufacture of fertilisers and nitrogen compounds</v>
      </c>
      <c r="M371">
        <f>INDEX('Data sources'!U:U,MATCH($G371,'Data sources'!$A:$A,0),1)</f>
        <v>0.84137119305744423</v>
      </c>
      <c r="N371">
        <f>INDEX('Data sources'!V:V,MATCH($G371,'Data sources'!$A:$A,0),1)</f>
        <v>0.86357922057787195</v>
      </c>
    </row>
    <row r="372" spans="1:14" x14ac:dyDescent="0.2">
      <c r="A372" t="s">
        <v>34</v>
      </c>
      <c r="B372" t="s">
        <v>144</v>
      </c>
      <c r="C372" t="s">
        <v>95</v>
      </c>
      <c r="D372" t="s">
        <v>95</v>
      </c>
      <c r="E372" t="s">
        <v>95</v>
      </c>
      <c r="F372">
        <v>2</v>
      </c>
      <c r="G372" s="30" t="s">
        <v>348</v>
      </c>
      <c r="H372" s="2">
        <f>INDEX('Data sources'!G:G,MATCH(G372,'Data sources'!A:A,0),1)</f>
        <v>0.7451576638020061</v>
      </c>
      <c r="I372" s="2">
        <f>INDEX('Data sources'!J:J,MATCH(G372,'Data sources'!A:A,0),1)</f>
        <v>0.6864801988122935</v>
      </c>
      <c r="J372" s="2">
        <f>INDEX('Data sources'!R:R,MATCH(G372,'Data sources'!A:A,0),1)</f>
        <v>2.1991404818942466</v>
      </c>
      <c r="K372" s="2">
        <f>INDEX('Data sources'!S:S,MATCH(G372,'Data sources'!A:A,0),1)</f>
        <v>40.412685922642247</v>
      </c>
      <c r="L372" t="str">
        <f t="shared" si="5"/>
        <v>Production of bulk chemicals_Manufacture of glues</v>
      </c>
      <c r="M372">
        <f>INDEX('Data sources'!U:U,MATCH($G372,'Data sources'!$A:$A,0),1)</f>
        <v>0.84137119305744434</v>
      </c>
      <c r="N372">
        <f>INDEX('Data sources'!V:V,MATCH($G372,'Data sources'!$A:$A,0),1)</f>
        <v>0.86357922057787184</v>
      </c>
    </row>
    <row r="373" spans="1:14" x14ac:dyDescent="0.2">
      <c r="A373" t="s">
        <v>34</v>
      </c>
      <c r="B373" t="s">
        <v>152</v>
      </c>
      <c r="C373" t="s">
        <v>95</v>
      </c>
      <c r="D373" t="s">
        <v>95</v>
      </c>
      <c r="E373" t="s">
        <v>95</v>
      </c>
      <c r="F373">
        <v>3</v>
      </c>
      <c r="G373" s="30" t="s">
        <v>339</v>
      </c>
      <c r="H373" s="2">
        <f>INDEX('Data sources'!G:G,MATCH(G373,'Data sources'!A:A,0),1)</f>
        <v>8.4591606470324017</v>
      </c>
      <c r="I373" s="2">
        <f>INDEX('Data sources'!J:J,MATCH(G373,'Data sources'!A:A,0),1)</f>
        <v>6.4483962143983575</v>
      </c>
      <c r="J373" s="2">
        <f>INDEX('Data sources'!R:R,MATCH(G373,'Data sources'!A:A,0),1)</f>
        <v>0</v>
      </c>
      <c r="K373" s="2">
        <f>INDEX('Data sources'!S:S,MATCH(G373,'Data sources'!A:A,0),1)</f>
        <v>120.04801920768308</v>
      </c>
      <c r="L373" t="str">
        <f t="shared" si="5"/>
        <v>Production of bulk chemicals_Manufacture of industrial gases</v>
      </c>
      <c r="M373">
        <f>INDEX('Data sources'!U:U,MATCH($G373,'Data sources'!$A:$A,0),1)</f>
        <v>0.84137119305744423</v>
      </c>
      <c r="N373">
        <f>INDEX('Data sources'!V:V,MATCH($G373,'Data sources'!$A:$A,0),1)</f>
        <v>0.86357922057787195</v>
      </c>
    </row>
    <row r="374" spans="1:14" x14ac:dyDescent="0.2">
      <c r="A374" t="s">
        <v>34</v>
      </c>
      <c r="B374" t="s">
        <v>176</v>
      </c>
      <c r="C374" t="s">
        <v>95</v>
      </c>
      <c r="D374" t="s">
        <v>95</v>
      </c>
      <c r="E374" t="s">
        <v>95</v>
      </c>
      <c r="F374">
        <v>1</v>
      </c>
      <c r="G374" s="30" t="s">
        <v>338</v>
      </c>
      <c r="H374" s="2">
        <f>INDEX('Data sources'!G:G,MATCH(G374,'Data sources'!A:A,0),1)</f>
        <v>1.1838611017829463</v>
      </c>
      <c r="I374" s="2">
        <f>INDEX('Data sources'!J:J,MATCH(G374,'Data sources'!A:A,0),1)</f>
        <v>1.0013516184567537</v>
      </c>
      <c r="J374" s="2">
        <f>INDEX('Data sources'!R:R,MATCH(G374,'Data sources'!A:A,0),1)</f>
        <v>2.6802340811720051</v>
      </c>
      <c r="K374" s="2">
        <f>INDEX('Data sources'!S:S,MATCH(G374,'Data sources'!A:A,0),1)</f>
        <v>27.108503329226927</v>
      </c>
      <c r="L374" t="str">
        <f t="shared" si="5"/>
        <v>Production of bulk chemicals_Manufacture of other chemical products</v>
      </c>
      <c r="M374">
        <f>INDEX('Data sources'!U:U,MATCH($G374,'Data sources'!$A:$A,0),1)</f>
        <v>0.84137119305744423</v>
      </c>
      <c r="N374">
        <f>INDEX('Data sources'!V:V,MATCH($G374,'Data sources'!$A:$A,0),1)</f>
        <v>0.86357922057787206</v>
      </c>
    </row>
    <row r="375" spans="1:14" x14ac:dyDescent="0.2">
      <c r="A375" t="s">
        <v>34</v>
      </c>
      <c r="B375" t="s">
        <v>177</v>
      </c>
      <c r="C375" t="s">
        <v>95</v>
      </c>
      <c r="D375" t="s">
        <v>95</v>
      </c>
      <c r="E375" t="s">
        <v>95</v>
      </c>
      <c r="F375">
        <v>4</v>
      </c>
      <c r="G375" s="30" t="s">
        <v>338</v>
      </c>
      <c r="H375" s="2">
        <f>INDEX('Data sources'!G:G,MATCH(G375,'Data sources'!A:A,0),1)</f>
        <v>1.1838611017829463</v>
      </c>
      <c r="I375" s="2">
        <f>INDEX('Data sources'!J:J,MATCH(G375,'Data sources'!A:A,0),1)</f>
        <v>1.0013516184567537</v>
      </c>
      <c r="J375" s="2">
        <f>INDEX('Data sources'!R:R,MATCH(G375,'Data sources'!A:A,0),1)</f>
        <v>2.6802340811720051</v>
      </c>
      <c r="K375" s="2">
        <f>INDEX('Data sources'!S:S,MATCH(G375,'Data sources'!A:A,0),1)</f>
        <v>27.108503329226927</v>
      </c>
      <c r="L375" t="str">
        <f t="shared" si="5"/>
        <v>Production of bulk chemicals_Manufacture of other chemical products n.e.c.</v>
      </c>
      <c r="M375">
        <f>INDEX('Data sources'!U:U,MATCH($G375,'Data sources'!$A:$A,0),1)</f>
        <v>0.84137119305744423</v>
      </c>
      <c r="N375">
        <f>INDEX('Data sources'!V:V,MATCH($G375,'Data sources'!$A:$A,0),1)</f>
        <v>0.86357922057787206</v>
      </c>
    </row>
    <row r="376" spans="1:14" x14ac:dyDescent="0.2">
      <c r="A376" t="s">
        <v>34</v>
      </c>
      <c r="B376" t="s">
        <v>185</v>
      </c>
      <c r="C376" t="s">
        <v>95</v>
      </c>
      <c r="D376" t="s">
        <v>95</v>
      </c>
      <c r="E376" t="s">
        <v>95</v>
      </c>
      <c r="F376">
        <v>4</v>
      </c>
      <c r="G376" s="30" t="s">
        <v>349</v>
      </c>
      <c r="H376" s="2">
        <f>INDEX('Data sources'!G:G,MATCH(G376,'Data sources'!A:A,0),1)</f>
        <v>1.5967631163208207</v>
      </c>
      <c r="I376" s="2">
        <f>INDEX('Data sources'!J:J,MATCH(G376,'Data sources'!A:A,0),1)</f>
        <v>1.2656396050839946</v>
      </c>
      <c r="J376" s="2">
        <f>INDEX('Data sources'!R:R,MATCH(G376,'Data sources'!A:A,0),1)</f>
        <v>3.2911730425008185</v>
      </c>
      <c r="K376" s="2">
        <f>INDEX('Data sources'!S:S,MATCH(G376,'Data sources'!A:A,0),1)</f>
        <v>10.213571642020407</v>
      </c>
      <c r="L376" t="str">
        <f t="shared" si="5"/>
        <v>Production of bulk chemicals_Manufacture of other inorganic basic chemicals</v>
      </c>
      <c r="M376">
        <f>INDEX('Data sources'!U:U,MATCH($G376,'Data sources'!$A:$A,0),1)</f>
        <v>0.84137119305744423</v>
      </c>
      <c r="N376">
        <f>INDEX('Data sources'!V:V,MATCH($G376,'Data sources'!$A:$A,0),1)</f>
        <v>0.86357922057787195</v>
      </c>
    </row>
    <row r="377" spans="1:14" x14ac:dyDescent="0.2">
      <c r="A377" t="s">
        <v>34</v>
      </c>
      <c r="B377" t="s">
        <v>191</v>
      </c>
      <c r="C377" t="s">
        <v>95</v>
      </c>
      <c r="D377" t="s">
        <v>95</v>
      </c>
      <c r="E377" t="s">
        <v>95</v>
      </c>
      <c r="F377">
        <v>155</v>
      </c>
      <c r="G377" s="30" t="s">
        <v>348</v>
      </c>
      <c r="H377" s="2">
        <f>INDEX('Data sources'!G:G,MATCH(G377,'Data sources'!A:A,0),1)</f>
        <v>0.7451576638020061</v>
      </c>
      <c r="I377" s="2">
        <f>INDEX('Data sources'!J:J,MATCH(G377,'Data sources'!A:A,0),1)</f>
        <v>0.6864801988122935</v>
      </c>
      <c r="J377" s="2">
        <f>INDEX('Data sources'!R:R,MATCH(G377,'Data sources'!A:A,0),1)</f>
        <v>2.1991404818942466</v>
      </c>
      <c r="K377" s="2">
        <f>INDEX('Data sources'!S:S,MATCH(G377,'Data sources'!A:A,0),1)</f>
        <v>40.412685922642247</v>
      </c>
      <c r="L377" t="str">
        <f t="shared" si="5"/>
        <v>Production of bulk chemicals_Manufacture of other organic basic chemicals</v>
      </c>
      <c r="M377">
        <f>INDEX('Data sources'!U:U,MATCH($G377,'Data sources'!$A:$A,0),1)</f>
        <v>0.84137119305744434</v>
      </c>
      <c r="N377">
        <f>INDEX('Data sources'!V:V,MATCH($G377,'Data sources'!$A:$A,0),1)</f>
        <v>0.86357922057787184</v>
      </c>
    </row>
    <row r="378" spans="1:14" x14ac:dyDescent="0.2">
      <c r="A378" t="s">
        <v>34</v>
      </c>
      <c r="B378" t="s">
        <v>216</v>
      </c>
      <c r="C378" t="s">
        <v>95</v>
      </c>
      <c r="D378" t="s">
        <v>95</v>
      </c>
      <c r="E378" t="s">
        <v>95</v>
      </c>
      <c r="F378">
        <v>41</v>
      </c>
      <c r="G378" s="30" t="s">
        <v>335</v>
      </c>
      <c r="H378" s="2">
        <f>INDEX('Data sources'!G:G,MATCH(G378,'Data sources'!A:A,0),1)</f>
        <v>0.49494039340491602</v>
      </c>
      <c r="I378" s="2">
        <f>INDEX('Data sources'!J:J,MATCH(G378,'Data sources'!A:A,0),1)</f>
        <v>0.76276347235126118</v>
      </c>
      <c r="J378" s="2">
        <f>INDEX('Data sources'!R:R,MATCH(G378,'Data sources'!A:A,0),1)</f>
        <v>6.0728236366858992</v>
      </c>
      <c r="K378" s="2">
        <f>INDEX('Data sources'!S:S,MATCH(G378,'Data sources'!A:A,0),1)</f>
        <v>0</v>
      </c>
      <c r="L378" t="str">
        <f t="shared" si="5"/>
        <v>Production of bulk chemicals_Manufacture of plastics in primary forms</v>
      </c>
      <c r="M378">
        <f>INDEX('Data sources'!U:U,MATCH($G378,'Data sources'!$A:$A,0),1)</f>
        <v>0.84137119305744412</v>
      </c>
      <c r="N378">
        <f>INDEX('Data sources'!V:V,MATCH($G378,'Data sources'!$A:$A,0),1)</f>
        <v>0.86357922057787206</v>
      </c>
    </row>
    <row r="379" spans="1:14" x14ac:dyDescent="0.2">
      <c r="A379" t="s">
        <v>34</v>
      </c>
      <c r="B379" t="s">
        <v>231</v>
      </c>
      <c r="C379" t="s">
        <v>95</v>
      </c>
      <c r="D379" t="s">
        <v>95</v>
      </c>
      <c r="E379" t="s">
        <v>95</v>
      </c>
      <c r="F379">
        <v>3</v>
      </c>
      <c r="G379" s="30" t="s">
        <v>335</v>
      </c>
      <c r="H379" s="2">
        <f>INDEX('Data sources'!G:G,MATCH(G379,'Data sources'!A:A,0),1)</f>
        <v>0.49494039340491602</v>
      </c>
      <c r="I379" s="2">
        <f>INDEX('Data sources'!J:J,MATCH(G379,'Data sources'!A:A,0),1)</f>
        <v>0.76276347235126118</v>
      </c>
      <c r="J379" s="2">
        <f>INDEX('Data sources'!R:R,MATCH(G379,'Data sources'!A:A,0),1)</f>
        <v>6.0728236366858992</v>
      </c>
      <c r="K379" s="2">
        <f>INDEX('Data sources'!S:S,MATCH(G379,'Data sources'!A:A,0),1)</f>
        <v>0</v>
      </c>
      <c r="L379" t="str">
        <f t="shared" si="5"/>
        <v>Production of bulk chemicals_Manufacture of synthetic rubber in primary forms</v>
      </c>
      <c r="M379">
        <f>INDEX('Data sources'!U:U,MATCH($G379,'Data sources'!$A:$A,0),1)</f>
        <v>0.84137119305744412</v>
      </c>
      <c r="N379">
        <f>INDEX('Data sources'!V:V,MATCH($G379,'Data sources'!$A:$A,0),1)</f>
        <v>0.86357922057787206</v>
      </c>
    </row>
    <row r="380" spans="1:14" x14ac:dyDescent="0.2">
      <c r="A380" t="s">
        <v>34</v>
      </c>
      <c r="B380" t="s">
        <v>303</v>
      </c>
      <c r="C380" t="s">
        <v>304</v>
      </c>
      <c r="D380" t="s">
        <v>403</v>
      </c>
      <c r="E380" t="s">
        <v>55</v>
      </c>
      <c r="F380">
        <v>1</v>
      </c>
      <c r="G380" s="30" t="s">
        <v>325</v>
      </c>
      <c r="H380" s="2">
        <f>INDEX('Data sources'!G:G,MATCH(G380,'Data sources'!A:A,0),1)</f>
        <v>5.79E-2</v>
      </c>
      <c r="I380" s="2">
        <f>INDEX('Data sources'!J:J,MATCH(G380,'Data sources'!A:A,0),1)</f>
        <v>4.2599999999999999E-2</v>
      </c>
      <c r="J380" s="2">
        <f>INDEX('Data sources'!R:R,MATCH(G380,'Data sources'!A:A,0),1)</f>
        <v>1</v>
      </c>
      <c r="K380" s="2">
        <f>INDEX('Data sources'!S:S,MATCH(G380,'Data sources'!A:A,0),1)</f>
        <v>0</v>
      </c>
      <c r="L380" t="str">
        <f t="shared" si="5"/>
        <v>Production of bulk chemicals_Support activities for petroleum and natural gas extraction</v>
      </c>
      <c r="M380">
        <f>INDEX('Data sources'!U:U,MATCH($G380,'Data sources'!$A:$A,0),1)</f>
        <v>0.78416348147957027</v>
      </c>
      <c r="N380">
        <f>INDEX('Data sources'!V:V,MATCH($G380,'Data sources'!$A:$A,0),1)</f>
        <v>0.72535139859924458</v>
      </c>
    </row>
    <row r="381" spans="1:14" x14ac:dyDescent="0.2">
      <c r="A381" t="s">
        <v>34</v>
      </c>
      <c r="B381" t="s">
        <v>57</v>
      </c>
      <c r="C381" t="s">
        <v>58</v>
      </c>
      <c r="D381" t="s">
        <v>403</v>
      </c>
      <c r="E381" t="s">
        <v>242</v>
      </c>
      <c r="F381">
        <v>1</v>
      </c>
      <c r="G381" s="30" t="s">
        <v>325</v>
      </c>
      <c r="H381" s="2">
        <f>INDEX('Data sources'!G:G,MATCH(G381,'Data sources'!A:A,0),1)</f>
        <v>5.79E-2</v>
      </c>
      <c r="I381" s="2">
        <f>INDEX('Data sources'!J:J,MATCH(G381,'Data sources'!A:A,0),1)</f>
        <v>4.2599999999999999E-2</v>
      </c>
      <c r="J381" s="2">
        <f>INDEX('Data sources'!R:R,MATCH(G381,'Data sources'!A:A,0),1)</f>
        <v>1</v>
      </c>
      <c r="K381" s="2">
        <f>INDEX('Data sources'!S:S,MATCH(G381,'Data sources'!A:A,0),1)</f>
        <v>0</v>
      </c>
      <c r="L381" t="str">
        <f t="shared" si="5"/>
        <v>Production of bulk chemicals_Extraction of salt</v>
      </c>
      <c r="M381">
        <f>INDEX('Data sources'!U:U,MATCH($G381,'Data sources'!$A:$A,0),1)</f>
        <v>0.78416348147957027</v>
      </c>
      <c r="N381">
        <f>INDEX('Data sources'!V:V,MATCH($G381,'Data sources'!$A:$A,0),1)</f>
        <v>0.72535139859924458</v>
      </c>
    </row>
    <row r="382" spans="1:14" x14ac:dyDescent="0.2">
      <c r="A382" t="s">
        <v>34</v>
      </c>
      <c r="B382" t="s">
        <v>31</v>
      </c>
      <c r="C382" t="s">
        <v>32</v>
      </c>
      <c r="D382" t="s">
        <v>403</v>
      </c>
      <c r="E382" t="s">
        <v>15</v>
      </c>
      <c r="F382">
        <v>3</v>
      </c>
      <c r="G382" s="30" t="s">
        <v>325</v>
      </c>
      <c r="H382" s="2">
        <f>INDEX('Data sources'!G:G,MATCH(G382,'Data sources'!A:A,0),1)</f>
        <v>5.79E-2</v>
      </c>
      <c r="I382" s="2">
        <f>INDEX('Data sources'!J:J,MATCH(G382,'Data sources'!A:A,0),1)</f>
        <v>4.2599999999999999E-2</v>
      </c>
      <c r="J382" s="2">
        <f>INDEX('Data sources'!R:R,MATCH(G382,'Data sources'!A:A,0),1)</f>
        <v>1</v>
      </c>
      <c r="K382" s="2">
        <f>INDEX('Data sources'!S:S,MATCH(G382,'Data sources'!A:A,0),1)</f>
        <v>0</v>
      </c>
      <c r="L382" t="str">
        <f t="shared" si="5"/>
        <v>Production of bulk chemicals_Data processing, hosting and related activities</v>
      </c>
      <c r="M382">
        <f>INDEX('Data sources'!U:U,MATCH($G382,'Data sources'!$A:$A,0),1)</f>
        <v>0.78416348147957027</v>
      </c>
      <c r="N382">
        <f>INDEX('Data sources'!V:V,MATCH($G382,'Data sources'!$A:$A,0),1)</f>
        <v>0.72535139859924458</v>
      </c>
    </row>
    <row r="383" spans="1:14" x14ac:dyDescent="0.2">
      <c r="A383" t="s">
        <v>34</v>
      </c>
      <c r="B383" t="s">
        <v>211</v>
      </c>
      <c r="C383" t="s">
        <v>94</v>
      </c>
      <c r="D383" t="s">
        <v>95</v>
      </c>
      <c r="E383" t="s">
        <v>94</v>
      </c>
      <c r="F383">
        <v>1</v>
      </c>
      <c r="G383" s="30" t="s">
        <v>342</v>
      </c>
      <c r="H383" s="2">
        <f>INDEX('Data sources'!G:G,MATCH(G383,'Data sources'!A:A,0),1)</f>
        <v>0.38529467763961761</v>
      </c>
      <c r="I383" s="2">
        <f>INDEX('Data sources'!J:J,MATCH(G383,'Data sources'!A:A,0),1)</f>
        <v>0.65015695160798492</v>
      </c>
      <c r="J383" s="2">
        <f>INDEX('Data sources'!R:R,MATCH(G383,'Data sources'!A:A,0),1)</f>
        <v>0.99664158109543011</v>
      </c>
      <c r="K383" s="2">
        <f>INDEX('Data sources'!S:S,MATCH(G383,'Data sources'!A:A,0),1)</f>
        <v>5.2249389559964285</v>
      </c>
      <c r="L383" t="str">
        <f t="shared" si="5"/>
        <v>Production of bulk chemicals_Manufacture of pharmaceutical preparations</v>
      </c>
      <c r="M383">
        <f>INDEX('Data sources'!U:U,MATCH($G383,'Data sources'!$A:$A,0),1)</f>
        <v>0.84137119305744412</v>
      </c>
      <c r="N383">
        <f>INDEX('Data sources'!V:V,MATCH($G383,'Data sources'!$A:$A,0),1)</f>
        <v>0.86357922057787184</v>
      </c>
    </row>
    <row r="384" spans="1:14" x14ac:dyDescent="0.2">
      <c r="A384" t="s">
        <v>34</v>
      </c>
      <c r="B384" t="s">
        <v>223</v>
      </c>
      <c r="C384" t="s">
        <v>115</v>
      </c>
      <c r="D384" t="s">
        <v>224</v>
      </c>
      <c r="E384" t="s">
        <v>224</v>
      </c>
      <c r="F384">
        <v>2</v>
      </c>
      <c r="G384" s="30" t="s">
        <v>333</v>
      </c>
      <c r="H384" s="2">
        <f>INDEX('Data sources'!G:G,MATCH(G384,'Data sources'!A:A,0),1)</f>
        <v>0.55000000000000004</v>
      </c>
      <c r="I384" s="2">
        <f>INDEX('Data sources'!J:J,MATCH(G384,'Data sources'!A:A,0),1)</f>
        <v>0.40714285714285714</v>
      </c>
      <c r="J384" s="2">
        <f>INDEX('Data sources'!R:R,MATCH(G384,'Data sources'!A:A,0),1)</f>
        <v>0</v>
      </c>
      <c r="K384" s="2">
        <f>INDEX('Data sources'!S:S,MATCH(G384,'Data sources'!A:A,0),1)</f>
        <v>0.432</v>
      </c>
      <c r="L384" t="str">
        <f t="shared" si="5"/>
        <v>Production of bulk chemicals_Manufacture of refined petroleum products</v>
      </c>
      <c r="M384">
        <f>INDEX('Data sources'!U:U,MATCH($G384,'Data sources'!$A:$A,0),1)</f>
        <v>0.75247638813310724</v>
      </c>
      <c r="N384">
        <f>INDEX('Data sources'!V:V,MATCH($G384,'Data sources'!$A:$A,0),1)</f>
        <v>0.39034566820695693</v>
      </c>
    </row>
    <row r="385" spans="1:14" x14ac:dyDescent="0.2">
      <c r="A385" s="2" t="s">
        <v>34</v>
      </c>
      <c r="D385" t="s">
        <v>95</v>
      </c>
      <c r="E385">
        <v>0</v>
      </c>
      <c r="G385" s="30" t="s">
        <v>338</v>
      </c>
      <c r="H385" s="2">
        <f>INDEX('Data sources'!G:G,MATCH(G385,'Data sources'!A:A,0),1)</f>
        <v>1.1838611017829463</v>
      </c>
      <c r="I385" s="2">
        <f>INDEX('Data sources'!J:J,MATCH(G385,'Data sources'!A:A,0),1)</f>
        <v>1.0013516184567537</v>
      </c>
      <c r="J385" s="2">
        <f>INDEX('Data sources'!R:R,MATCH(G385,'Data sources'!A:A,0),1)</f>
        <v>2.6802340811720051</v>
      </c>
      <c r="K385" s="2">
        <f>INDEX('Data sources'!S:S,MATCH(G385,'Data sources'!A:A,0),1)</f>
        <v>27.108503329226927</v>
      </c>
      <c r="L385" t="str">
        <f t="shared" si="5"/>
        <v>Production of bulk chemicals</v>
      </c>
      <c r="M385">
        <f>INDEX('Data sources'!U:U,MATCH($G385,'Data sources'!$A:$A,0),1)</f>
        <v>0.84137119305744423</v>
      </c>
      <c r="N385">
        <f>INDEX('Data sources'!V:V,MATCH($G385,'Data sources'!$A:$A,0),1)</f>
        <v>0.86357922057787206</v>
      </c>
    </row>
    <row r="386" spans="1:14" x14ac:dyDescent="0.2">
      <c r="A386" t="s">
        <v>186</v>
      </c>
      <c r="B386" t="s">
        <v>185</v>
      </c>
      <c r="C386" t="s">
        <v>95</v>
      </c>
      <c r="D386" t="s">
        <v>95</v>
      </c>
      <c r="E386" t="s">
        <v>95</v>
      </c>
      <c r="F386">
        <v>13</v>
      </c>
      <c r="G386" s="30" t="s">
        <v>344</v>
      </c>
      <c r="H386" s="2">
        <f>INDEX('Data sources'!G:G,MATCH(G386,'Data sources'!A:A,0),1)</f>
        <v>1.8240000000000001</v>
      </c>
      <c r="I386" s="2">
        <f>INDEX('Data sources'!J:J,MATCH(G386,'Data sources'!A:A,0),1)</f>
        <v>1.4850000000000001</v>
      </c>
      <c r="J386" s="2">
        <f>INDEX('Data sources'!R:R,MATCH(G386,'Data sources'!A:A,0),1)</f>
        <v>64.8</v>
      </c>
      <c r="K386" s="2">
        <f>INDEX('Data sources'!S:S,MATCH(G386,'Data sources'!A:A,0),1)</f>
        <v>0</v>
      </c>
      <c r="L386" t="str">
        <f t="shared" ref="L386:L449" si="6">IF(B386="",A386,A386&amp;"_"&amp;B386)</f>
        <v>Production of carbon black_Manufacture of other inorganic basic chemicals</v>
      </c>
      <c r="M386">
        <f>INDEX('Data sources'!U:U,MATCH($G386,'Data sources'!$A:$A,0),1)</f>
        <v>0.84137119305744412</v>
      </c>
      <c r="N386">
        <f>INDEX('Data sources'!V:V,MATCH($G386,'Data sources'!$A:$A,0),1)</f>
        <v>0.86357922057787195</v>
      </c>
    </row>
    <row r="387" spans="1:14" x14ac:dyDescent="0.2">
      <c r="A387" t="s">
        <v>186</v>
      </c>
      <c r="B387" t="s">
        <v>191</v>
      </c>
      <c r="C387" t="s">
        <v>95</v>
      </c>
      <c r="D387" t="s">
        <v>95</v>
      </c>
      <c r="E387" t="s">
        <v>95</v>
      </c>
      <c r="F387">
        <v>3</v>
      </c>
      <c r="G387" s="30" t="s">
        <v>344</v>
      </c>
      <c r="H387" s="2">
        <f>INDEX('Data sources'!G:G,MATCH(G387,'Data sources'!A:A,0),1)</f>
        <v>1.8240000000000001</v>
      </c>
      <c r="I387" s="2">
        <f>INDEX('Data sources'!J:J,MATCH(G387,'Data sources'!A:A,0),1)</f>
        <v>1.4850000000000001</v>
      </c>
      <c r="J387" s="2">
        <f>INDEX('Data sources'!R:R,MATCH(G387,'Data sources'!A:A,0),1)</f>
        <v>64.8</v>
      </c>
      <c r="K387" s="2">
        <f>INDEX('Data sources'!S:S,MATCH(G387,'Data sources'!A:A,0),1)</f>
        <v>0</v>
      </c>
      <c r="L387" t="str">
        <f t="shared" si="6"/>
        <v>Production of carbon black_Manufacture of other organic basic chemicals</v>
      </c>
      <c r="M387">
        <f>INDEX('Data sources'!U:U,MATCH($G387,'Data sources'!$A:$A,0),1)</f>
        <v>0.84137119305744412</v>
      </c>
      <c r="N387">
        <f>INDEX('Data sources'!V:V,MATCH($G387,'Data sources'!$A:$A,0),1)</f>
        <v>0.86357922057787195</v>
      </c>
    </row>
    <row r="388" spans="1:14" x14ac:dyDescent="0.2">
      <c r="A388" t="s">
        <v>186</v>
      </c>
      <c r="B388" t="s">
        <v>216</v>
      </c>
      <c r="C388" t="s">
        <v>95</v>
      </c>
      <c r="D388" t="s">
        <v>95</v>
      </c>
      <c r="E388" t="s">
        <v>95</v>
      </c>
      <c r="F388">
        <v>1</v>
      </c>
      <c r="G388" s="30" t="s">
        <v>344</v>
      </c>
      <c r="H388" s="2">
        <f>INDEX('Data sources'!G:G,MATCH(G388,'Data sources'!A:A,0),1)</f>
        <v>1.8240000000000001</v>
      </c>
      <c r="I388" s="2">
        <f>INDEX('Data sources'!J:J,MATCH(G388,'Data sources'!A:A,0),1)</f>
        <v>1.4850000000000001</v>
      </c>
      <c r="J388" s="2">
        <f>INDEX('Data sources'!R:R,MATCH(G388,'Data sources'!A:A,0),1)</f>
        <v>64.8</v>
      </c>
      <c r="K388" s="2">
        <f>INDEX('Data sources'!S:S,MATCH(G388,'Data sources'!A:A,0),1)</f>
        <v>0</v>
      </c>
      <c r="L388" t="str">
        <f t="shared" si="6"/>
        <v>Production of carbon black_Manufacture of plastics in primary forms</v>
      </c>
      <c r="M388">
        <f>INDEX('Data sources'!U:U,MATCH($G388,'Data sources'!$A:$A,0),1)</f>
        <v>0.84137119305744412</v>
      </c>
      <c r="N388">
        <f>INDEX('Data sources'!V:V,MATCH($G388,'Data sources'!$A:$A,0),1)</f>
        <v>0.86357922057787195</v>
      </c>
    </row>
    <row r="389" spans="1:14" x14ac:dyDescent="0.2">
      <c r="A389" s="2" t="s">
        <v>186</v>
      </c>
      <c r="D389" t="s">
        <v>95</v>
      </c>
      <c r="E389">
        <v>0</v>
      </c>
      <c r="G389" s="30" t="s">
        <v>344</v>
      </c>
      <c r="H389" s="2">
        <f>INDEX('Data sources'!G:G,MATCH(G389,'Data sources'!A:A,0),1)</f>
        <v>1.8240000000000001</v>
      </c>
      <c r="I389" s="2">
        <f>INDEX('Data sources'!J:J,MATCH(G389,'Data sources'!A:A,0),1)</f>
        <v>1.4850000000000001</v>
      </c>
      <c r="J389" s="2">
        <f>INDEX('Data sources'!R:R,MATCH(G389,'Data sources'!A:A,0),1)</f>
        <v>64.8</v>
      </c>
      <c r="K389" s="2">
        <f>INDEX('Data sources'!S:S,MATCH(G389,'Data sources'!A:A,0),1)</f>
        <v>0</v>
      </c>
      <c r="L389" t="str">
        <f t="shared" si="6"/>
        <v>Production of carbon black</v>
      </c>
      <c r="M389">
        <f>INDEX('Data sources'!U:U,MATCH($G389,'Data sources'!$A:$A,0),1)</f>
        <v>0.84137119305744412</v>
      </c>
      <c r="N389">
        <f>INDEX('Data sources'!V:V,MATCH($G389,'Data sources'!$A:$A,0),1)</f>
        <v>0.86357922057787195</v>
      </c>
    </row>
    <row r="390" spans="1:14" x14ac:dyDescent="0.2">
      <c r="A390" t="s">
        <v>104</v>
      </c>
      <c r="B390" t="s">
        <v>105</v>
      </c>
      <c r="C390" t="s">
        <v>81</v>
      </c>
      <c r="D390" t="s">
        <v>409</v>
      </c>
      <c r="E390" t="s">
        <v>106</v>
      </c>
      <c r="F390">
        <v>186</v>
      </c>
      <c r="G390" s="30" t="s">
        <v>327</v>
      </c>
      <c r="H390" s="2">
        <f>INDEX('Data sources'!G:G,MATCH(G390,'Data sources'!A:A,0),1)</f>
        <v>0.81745070728588098</v>
      </c>
      <c r="I390" s="2">
        <f>INDEX('Data sources'!J:J,MATCH(G390,'Data sources'!A:A,0),1)</f>
        <v>0.6991394038416423</v>
      </c>
      <c r="J390" s="2">
        <f>INDEX('Data sources'!R:R,MATCH(G390,'Data sources'!A:A,0),1)</f>
        <v>4.3200000000000021</v>
      </c>
      <c r="K390" s="2">
        <f>INDEX('Data sources'!S:S,MATCH(G390,'Data sources'!A:A,0),1)</f>
        <v>0</v>
      </c>
      <c r="L390" t="str">
        <f t="shared" si="6"/>
        <v>Production of cement clinker_Manufacture of cement</v>
      </c>
      <c r="M390">
        <f>INDEX('Data sources'!U:U,MATCH($G390,'Data sources'!$A:$A,0),1)</f>
        <v>0.66884534593017986</v>
      </c>
      <c r="N390">
        <f>INDEX('Data sources'!V:V,MATCH($G390,'Data sources'!$A:$A,0),1)</f>
        <v>0.58742624959688228</v>
      </c>
    </row>
    <row r="391" spans="1:14" x14ac:dyDescent="0.2">
      <c r="A391" t="s">
        <v>104</v>
      </c>
      <c r="B391" t="s">
        <v>111</v>
      </c>
      <c r="C391" t="s">
        <v>81</v>
      </c>
      <c r="D391" t="s">
        <v>409</v>
      </c>
      <c r="E391" t="s">
        <v>101</v>
      </c>
      <c r="F391">
        <v>1</v>
      </c>
      <c r="G391" s="30" t="s">
        <v>326</v>
      </c>
      <c r="H391" s="2">
        <f>INDEX('Data sources'!G:G,MATCH(G391,'Data sources'!A:A,0),1)</f>
        <v>0.12876363322314929</v>
      </c>
      <c r="I391" s="2">
        <f>INDEX('Data sources'!J:J,MATCH(G391,'Data sources'!A:A,0),1)</f>
        <v>9.509036148184509E-2</v>
      </c>
      <c r="J391" s="2">
        <f>INDEX('Data sources'!R:R,MATCH(G391,'Data sources'!A:A,0),1)</f>
        <v>3.0746807959647584</v>
      </c>
      <c r="K391" s="2">
        <f>INDEX('Data sources'!S:S,MATCH(G391,'Data sources'!A:A,0),1)</f>
        <v>0</v>
      </c>
      <c r="L391" t="str">
        <f t="shared" si="6"/>
        <v>Production of cement clinker_Manufacture of ceramic tiles and flags</v>
      </c>
      <c r="M391">
        <f>INDEX('Data sources'!U:U,MATCH($G391,'Data sources'!$A:$A,0),1)</f>
        <v>0.66884534593017986</v>
      </c>
      <c r="N391">
        <f>INDEX('Data sources'!V:V,MATCH($G391,'Data sources'!$A:$A,0),1)</f>
        <v>0.58742624959688228</v>
      </c>
    </row>
    <row r="392" spans="1:14" x14ac:dyDescent="0.2">
      <c r="A392" t="s">
        <v>104</v>
      </c>
      <c r="B392" t="s">
        <v>154</v>
      </c>
      <c r="C392" t="s">
        <v>81</v>
      </c>
      <c r="D392" t="s">
        <v>409</v>
      </c>
      <c r="E392" t="s">
        <v>155</v>
      </c>
      <c r="F392">
        <v>12</v>
      </c>
      <c r="G392" s="30" t="s">
        <v>337</v>
      </c>
      <c r="H392" s="2">
        <f>INDEX('Data sources'!G:G,MATCH(G392,'Data sources'!A:A,0),1)</f>
        <v>1.0858855073623837</v>
      </c>
      <c r="I392" s="2">
        <f>INDEX('Data sources'!J:J,MATCH(G392,'Data sources'!A:A,0),1)</f>
        <v>0.76053043758401917</v>
      </c>
      <c r="J392" s="2">
        <f>INDEX('Data sources'!R:R,MATCH(G392,'Data sources'!A:A,0),1)</f>
        <v>3.7079999999999997</v>
      </c>
      <c r="K392" s="2">
        <f>INDEX('Data sources'!S:S,MATCH(G392,'Data sources'!A:A,0),1)</f>
        <v>0</v>
      </c>
      <c r="L392" t="str">
        <f t="shared" si="6"/>
        <v>Production of cement clinker_Manufacture of lime and plaster</v>
      </c>
      <c r="M392">
        <f>INDEX('Data sources'!U:U,MATCH($G392,'Data sources'!$A:$A,0),1)</f>
        <v>0.66884534593017986</v>
      </c>
      <c r="N392">
        <f>INDEX('Data sources'!V:V,MATCH($G392,'Data sources'!$A:$A,0),1)</f>
        <v>0.58742624959688228</v>
      </c>
    </row>
    <row r="393" spans="1:14" x14ac:dyDescent="0.2">
      <c r="A393" t="s">
        <v>104</v>
      </c>
      <c r="B393" t="s">
        <v>208</v>
      </c>
      <c r="C393" t="s">
        <v>122</v>
      </c>
      <c r="D393" t="s">
        <v>410</v>
      </c>
      <c r="E393" t="s">
        <v>173</v>
      </c>
      <c r="F393">
        <v>1</v>
      </c>
      <c r="G393" s="30" t="s">
        <v>356</v>
      </c>
      <c r="H393" s="2">
        <f>INDEX('Data sources'!G:G,MATCH(G393,'Data sources'!A:A,0),1)</f>
        <v>0.2201185822484337</v>
      </c>
      <c r="I393" s="2">
        <f>INDEX('Data sources'!J:J,MATCH(G393,'Data sources'!A:A,0),1)</f>
        <v>0.22144473697589778</v>
      </c>
      <c r="J393" s="2">
        <f>INDEX('Data sources'!R:R,MATCH(G393,'Data sources'!A:A,0),1)</f>
        <v>6.1071928683366004</v>
      </c>
      <c r="K393" s="2">
        <f>INDEX('Data sources'!S:S,MATCH(G393,'Data sources'!A:A,0),1)</f>
        <v>0</v>
      </c>
      <c r="L393" t="str">
        <f t="shared" si="6"/>
        <v>Production of cement clinker_Manufacture of paper and paperboard</v>
      </c>
      <c r="M393">
        <f>INDEX('Data sources'!U:U,MATCH($G393,'Data sources'!$A:$A,0),1)</f>
        <v>0.8165774412482697</v>
      </c>
      <c r="N393">
        <f>INDEX('Data sources'!V:V,MATCH($G393,'Data sources'!$A:$A,0),1)</f>
        <v>0.94441452831676753</v>
      </c>
    </row>
    <row r="394" spans="1:14" x14ac:dyDescent="0.2">
      <c r="A394" s="2" t="s">
        <v>104</v>
      </c>
      <c r="D394" t="s">
        <v>409</v>
      </c>
      <c r="E394">
        <v>0</v>
      </c>
      <c r="G394" s="30" t="s">
        <v>327</v>
      </c>
      <c r="H394" s="2">
        <f>INDEX('Data sources'!G:G,MATCH(G394,'Data sources'!A:A,0),1)</f>
        <v>0.81745070728588098</v>
      </c>
      <c r="I394" s="2">
        <f>INDEX('Data sources'!J:J,MATCH(G394,'Data sources'!A:A,0),1)</f>
        <v>0.6991394038416423</v>
      </c>
      <c r="J394" s="2">
        <f>INDEX('Data sources'!R:R,MATCH(G394,'Data sources'!A:A,0),1)</f>
        <v>4.3200000000000021</v>
      </c>
      <c r="K394" s="2">
        <f>INDEX('Data sources'!S:S,MATCH(G394,'Data sources'!A:A,0),1)</f>
        <v>0</v>
      </c>
      <c r="L394" t="str">
        <f t="shared" si="6"/>
        <v>Production of cement clinker</v>
      </c>
      <c r="M394">
        <f>INDEX('Data sources'!U:U,MATCH($G394,'Data sources'!$A:$A,0),1)</f>
        <v>0.66884534593017986</v>
      </c>
      <c r="N394">
        <f>INDEX('Data sources'!V:V,MATCH($G394,'Data sources'!$A:$A,0),1)</f>
        <v>0.58742624959688228</v>
      </c>
    </row>
    <row r="395" spans="1:14" x14ac:dyDescent="0.2">
      <c r="A395" t="s">
        <v>51</v>
      </c>
      <c r="B395" t="s">
        <v>114</v>
      </c>
      <c r="C395" t="s">
        <v>115</v>
      </c>
      <c r="D395" t="s">
        <v>224</v>
      </c>
      <c r="E395" t="s">
        <v>116</v>
      </c>
      <c r="F395">
        <v>14</v>
      </c>
      <c r="G395" s="30" t="s">
        <v>116</v>
      </c>
      <c r="H395" s="2">
        <f>INDEX('Data sources'!G:G,MATCH(G395,'Data sources'!A:A,0),1)</f>
        <v>0.28199999999999997</v>
      </c>
      <c r="I395" s="2">
        <f>INDEX('Data sources'!J:J,MATCH(G395,'Data sources'!A:A,0),1)</f>
        <v>0.217</v>
      </c>
      <c r="J395" s="2">
        <f>INDEX('Data sources'!R:R,MATCH(G395,'Data sources'!A:A,0),1)</f>
        <v>0</v>
      </c>
      <c r="K395" s="2">
        <f>INDEX('Data sources'!S:S,MATCH(G395,'Data sources'!A:A,0),1)</f>
        <v>0</v>
      </c>
      <c r="L395" t="str">
        <f t="shared" si="6"/>
        <v>Production of coke_Manufacture of coke oven products</v>
      </c>
      <c r="M395">
        <f>INDEX('Data sources'!U:U,MATCH($G395,'Data sources'!$A:$A,0),1)</f>
        <v>0.75247638813310724</v>
      </c>
      <c r="N395">
        <f>INDEX('Data sources'!V:V,MATCH($G395,'Data sources'!$A:$A,0),1)</f>
        <v>0.39034566820695693</v>
      </c>
    </row>
    <row r="396" spans="1:14" x14ac:dyDescent="0.2">
      <c r="A396" t="s">
        <v>51</v>
      </c>
      <c r="B396" t="s">
        <v>47</v>
      </c>
      <c r="C396" t="s">
        <v>44</v>
      </c>
      <c r="D396" t="s">
        <v>45</v>
      </c>
      <c r="E396" t="s">
        <v>45</v>
      </c>
      <c r="F396">
        <v>1</v>
      </c>
      <c r="G396" s="30" t="s">
        <v>325</v>
      </c>
      <c r="H396" s="2">
        <f>INDEX('Data sources'!G:G,MATCH(G396,'Data sources'!A:A,0),1)</f>
        <v>5.79E-2</v>
      </c>
      <c r="I396" s="2">
        <f>INDEX('Data sources'!J:J,MATCH(G396,'Data sources'!A:A,0),1)</f>
        <v>4.2599999999999999E-2</v>
      </c>
      <c r="J396" s="2">
        <f>INDEX('Data sources'!R:R,MATCH(G396,'Data sources'!A:A,0),1)</f>
        <v>1</v>
      </c>
      <c r="K396" s="2">
        <f>INDEX('Data sources'!S:S,MATCH(G396,'Data sources'!A:A,0),1)</f>
        <v>0</v>
      </c>
      <c r="L396" t="str">
        <f t="shared" si="6"/>
        <v>Production of coke_Electric power generation, transmission and distribution</v>
      </c>
      <c r="M396">
        <f>INDEX('Data sources'!U:U,MATCH($G396,'Data sources'!$A:$A,0),1)</f>
        <v>0.78416348147957027</v>
      </c>
      <c r="N396">
        <f>INDEX('Data sources'!V:V,MATCH($G396,'Data sources'!$A:$A,0),1)</f>
        <v>0.72535139859924458</v>
      </c>
    </row>
    <row r="397" spans="1:14" x14ac:dyDescent="0.2">
      <c r="A397" s="2" t="s">
        <v>51</v>
      </c>
      <c r="D397" t="s">
        <v>224</v>
      </c>
      <c r="E397">
        <v>0</v>
      </c>
      <c r="G397" s="30" t="s">
        <v>116</v>
      </c>
      <c r="H397" s="2">
        <f>INDEX('Data sources'!G:G,MATCH(G397,'Data sources'!A:A,0),1)</f>
        <v>0.28199999999999997</v>
      </c>
      <c r="I397" s="2">
        <f>INDEX('Data sources'!J:J,MATCH(G397,'Data sources'!A:A,0),1)</f>
        <v>0.217</v>
      </c>
      <c r="J397" s="2">
        <f>INDEX('Data sources'!R:R,MATCH(G397,'Data sources'!A:A,0),1)</f>
        <v>0</v>
      </c>
      <c r="K397" s="2">
        <f>INDEX('Data sources'!S:S,MATCH(G397,'Data sources'!A:A,0),1)</f>
        <v>0</v>
      </c>
      <c r="L397" t="str">
        <f t="shared" si="6"/>
        <v>Production of coke</v>
      </c>
      <c r="M397">
        <f>INDEX('Data sources'!U:U,MATCH($G397,'Data sources'!$A:$A,0),1)</f>
        <v>0.75247638813310724</v>
      </c>
      <c r="N397">
        <f>INDEX('Data sources'!V:V,MATCH($G397,'Data sources'!$A:$A,0),1)</f>
        <v>0.39034566820695693</v>
      </c>
    </row>
    <row r="398" spans="1:14" x14ac:dyDescent="0.2">
      <c r="A398" t="s">
        <v>193</v>
      </c>
      <c r="B398" t="s">
        <v>191</v>
      </c>
      <c r="C398" t="s">
        <v>95</v>
      </c>
      <c r="D398" t="s">
        <v>95</v>
      </c>
      <c r="E398" t="s">
        <v>95</v>
      </c>
      <c r="F398">
        <v>1</v>
      </c>
      <c r="G398" s="30" t="s">
        <v>348</v>
      </c>
      <c r="H398" s="2">
        <f>INDEX('Data sources'!G:G,MATCH(G398,'Data sources'!A:A,0),1)</f>
        <v>0.7451576638020061</v>
      </c>
      <c r="I398" s="2">
        <f>INDEX('Data sources'!J:J,MATCH(G398,'Data sources'!A:A,0),1)</f>
        <v>0.6864801988122935</v>
      </c>
      <c r="J398" s="2">
        <f>INDEX('Data sources'!R:R,MATCH(G398,'Data sources'!A:A,0),1)</f>
        <v>2.1991404818942466</v>
      </c>
      <c r="K398" s="2">
        <f>INDEX('Data sources'!S:S,MATCH(G398,'Data sources'!A:A,0),1)</f>
        <v>40.412685922642247</v>
      </c>
      <c r="L398" t="str">
        <f t="shared" si="6"/>
        <v>Production of glyoxal and glyoxylic acid_Manufacture of other organic basic chemicals</v>
      </c>
      <c r="M398">
        <f>INDEX('Data sources'!U:U,MATCH($G398,'Data sources'!$A:$A,0),1)</f>
        <v>0.84137119305744434</v>
      </c>
      <c r="N398">
        <f>INDEX('Data sources'!V:V,MATCH($G398,'Data sources'!$A:$A,0),1)</f>
        <v>0.86357922057787184</v>
      </c>
    </row>
    <row r="399" spans="1:14" x14ac:dyDescent="0.2">
      <c r="A399" s="2" t="s">
        <v>193</v>
      </c>
      <c r="D399" t="s">
        <v>95</v>
      </c>
      <c r="E399">
        <v>0</v>
      </c>
      <c r="G399" s="31" t="s">
        <v>348</v>
      </c>
      <c r="H399" s="2">
        <f>INDEX('Data sources'!G:G,MATCH(G399,'Data sources'!A:A,0),1)</f>
        <v>0.7451576638020061</v>
      </c>
      <c r="I399" s="2">
        <f>INDEX('Data sources'!J:J,MATCH(G399,'Data sources'!A:A,0),1)</f>
        <v>0.6864801988122935</v>
      </c>
      <c r="J399" s="2">
        <f>INDEX('Data sources'!R:R,MATCH(G399,'Data sources'!A:A,0),1)</f>
        <v>2.1991404818942466</v>
      </c>
      <c r="K399" s="2">
        <f>INDEX('Data sources'!S:S,MATCH(G399,'Data sources'!A:A,0),1)</f>
        <v>40.412685922642247</v>
      </c>
      <c r="L399" t="str">
        <f t="shared" si="6"/>
        <v>Production of glyoxal and glyoxylic acid</v>
      </c>
      <c r="M399">
        <f>INDEX('Data sources'!U:U,MATCH($G399,'Data sources'!$A:$A,0),1)</f>
        <v>0.84137119305744434</v>
      </c>
      <c r="N399">
        <f>INDEX('Data sources'!V:V,MATCH($G399,'Data sources'!$A:$A,0),1)</f>
        <v>0.86357922057787184</v>
      </c>
    </row>
    <row r="400" spans="1:14" x14ac:dyDescent="0.2">
      <c r="A400" t="s">
        <v>151</v>
      </c>
      <c r="B400" t="s">
        <v>152</v>
      </c>
      <c r="C400" t="s">
        <v>95</v>
      </c>
      <c r="D400" t="s">
        <v>95</v>
      </c>
      <c r="E400" t="s">
        <v>95</v>
      </c>
      <c r="F400">
        <v>32</v>
      </c>
      <c r="G400" s="30" t="s">
        <v>339</v>
      </c>
      <c r="H400" s="2">
        <f>INDEX('Data sources'!G:G,MATCH(G400,'Data sources'!A:A,0),1)</f>
        <v>8.4591606470324017</v>
      </c>
      <c r="I400" s="2">
        <f>INDEX('Data sources'!J:J,MATCH(G400,'Data sources'!A:A,0),1)</f>
        <v>6.4483962143983575</v>
      </c>
      <c r="J400" s="2">
        <f>INDEX('Data sources'!R:R,MATCH(G400,'Data sources'!A:A,0),1)</f>
        <v>0</v>
      </c>
      <c r="K400" s="2">
        <f>INDEX('Data sources'!S:S,MATCH(G400,'Data sources'!A:A,0),1)</f>
        <v>120.04801920768308</v>
      </c>
      <c r="L400" t="str">
        <f t="shared" si="6"/>
        <v>Production of hydrogen and synthesis gas_Manufacture of industrial gases</v>
      </c>
      <c r="M400">
        <f>INDEX('Data sources'!U:U,MATCH($G400,'Data sources'!$A:$A,0),1)</f>
        <v>0.84137119305744423</v>
      </c>
      <c r="N400">
        <f>INDEX('Data sources'!V:V,MATCH($G400,'Data sources'!$A:$A,0),1)</f>
        <v>0.86357922057787195</v>
      </c>
    </row>
    <row r="401" spans="1:14" x14ac:dyDescent="0.2">
      <c r="A401" t="s">
        <v>151</v>
      </c>
      <c r="B401" t="s">
        <v>191</v>
      </c>
      <c r="C401" t="s">
        <v>95</v>
      </c>
      <c r="D401" t="s">
        <v>95</v>
      </c>
      <c r="E401" t="s">
        <v>95</v>
      </c>
      <c r="F401">
        <v>1</v>
      </c>
      <c r="G401" s="30" t="s">
        <v>346</v>
      </c>
      <c r="H401" s="2">
        <f>INDEX('Data sources'!G:G,MATCH(G401,'Data sources'!A:A,0),1)</f>
        <v>8.4591606470324017</v>
      </c>
      <c r="I401" s="2">
        <f>INDEX('Data sources'!J:J,MATCH(G401,'Data sources'!A:A,0),1)</f>
        <v>6.4483962143983575</v>
      </c>
      <c r="J401" s="2">
        <f>INDEX('Data sources'!R:R,MATCH(G401,'Data sources'!A:A,0),1)</f>
        <v>0</v>
      </c>
      <c r="K401" s="2">
        <f>INDEX('Data sources'!S:S,MATCH(G401,'Data sources'!A:A,0),1)</f>
        <v>120.04801920768308</v>
      </c>
      <c r="L401" t="str">
        <f t="shared" si="6"/>
        <v>Production of hydrogen and synthesis gas_Manufacture of other organic basic chemicals</v>
      </c>
      <c r="M401">
        <f>INDEX('Data sources'!U:U,MATCH($G401,'Data sources'!$A:$A,0),1)</f>
        <v>0.84137119305744423</v>
      </c>
      <c r="N401">
        <f>INDEX('Data sources'!V:V,MATCH($G401,'Data sources'!$A:$A,0),1)</f>
        <v>0.86357922057787195</v>
      </c>
    </row>
    <row r="402" spans="1:14" x14ac:dyDescent="0.2">
      <c r="A402" t="s">
        <v>151</v>
      </c>
      <c r="B402" t="s">
        <v>216</v>
      </c>
      <c r="C402" t="s">
        <v>95</v>
      </c>
      <c r="D402" t="s">
        <v>95</v>
      </c>
      <c r="E402" t="s">
        <v>95</v>
      </c>
      <c r="F402">
        <v>1</v>
      </c>
      <c r="G402" s="30" t="s">
        <v>339</v>
      </c>
      <c r="H402" s="2">
        <f>INDEX('Data sources'!G:G,MATCH(G402,'Data sources'!A:A,0),1)</f>
        <v>8.4591606470324017</v>
      </c>
      <c r="I402" s="2">
        <f>INDEX('Data sources'!J:J,MATCH(G402,'Data sources'!A:A,0),1)</f>
        <v>6.4483962143983575</v>
      </c>
      <c r="J402" s="2">
        <f>INDEX('Data sources'!R:R,MATCH(G402,'Data sources'!A:A,0),1)</f>
        <v>0</v>
      </c>
      <c r="K402" s="2">
        <f>INDEX('Data sources'!S:S,MATCH(G402,'Data sources'!A:A,0),1)</f>
        <v>120.04801920768308</v>
      </c>
      <c r="L402" t="str">
        <f t="shared" si="6"/>
        <v>Production of hydrogen and synthesis gas_Manufacture of plastics in primary forms</v>
      </c>
      <c r="M402">
        <f>INDEX('Data sources'!U:U,MATCH($G402,'Data sources'!$A:$A,0),1)</f>
        <v>0.84137119305744423</v>
      </c>
      <c r="N402">
        <f>INDEX('Data sources'!V:V,MATCH($G402,'Data sources'!$A:$A,0),1)</f>
        <v>0.86357922057787195</v>
      </c>
    </row>
    <row r="403" spans="1:14" x14ac:dyDescent="0.2">
      <c r="A403" t="s">
        <v>151</v>
      </c>
      <c r="B403" t="s">
        <v>223</v>
      </c>
      <c r="C403" t="s">
        <v>115</v>
      </c>
      <c r="D403" t="s">
        <v>224</v>
      </c>
      <c r="E403" t="s">
        <v>224</v>
      </c>
      <c r="F403">
        <v>1</v>
      </c>
      <c r="G403" s="30" t="s">
        <v>333</v>
      </c>
      <c r="H403" s="2">
        <f>INDEX('Data sources'!G:G,MATCH(G403,'Data sources'!A:A,0),1)</f>
        <v>0.55000000000000004</v>
      </c>
      <c r="I403" s="2">
        <f>INDEX('Data sources'!J:J,MATCH(G403,'Data sources'!A:A,0),1)</f>
        <v>0.40714285714285714</v>
      </c>
      <c r="J403" s="2">
        <f>INDEX('Data sources'!R:R,MATCH(G403,'Data sources'!A:A,0),1)</f>
        <v>0</v>
      </c>
      <c r="K403" s="2">
        <f>INDEX('Data sources'!S:S,MATCH(G403,'Data sources'!A:A,0),1)</f>
        <v>0.432</v>
      </c>
      <c r="L403" t="str">
        <f t="shared" si="6"/>
        <v>Production of hydrogen and synthesis gas_Manufacture of refined petroleum products</v>
      </c>
      <c r="M403">
        <f>INDEX('Data sources'!U:U,MATCH($G403,'Data sources'!$A:$A,0),1)</f>
        <v>0.75247638813310724</v>
      </c>
      <c r="N403">
        <f>INDEX('Data sources'!V:V,MATCH($G403,'Data sources'!$A:$A,0),1)</f>
        <v>0.39034566820695693</v>
      </c>
    </row>
    <row r="404" spans="1:14" x14ac:dyDescent="0.2">
      <c r="A404" s="2" t="s">
        <v>151</v>
      </c>
      <c r="D404" t="s">
        <v>95</v>
      </c>
      <c r="E404">
        <v>0</v>
      </c>
      <c r="G404" s="31" t="s">
        <v>339</v>
      </c>
      <c r="H404" s="2">
        <f>INDEX('Data sources'!G:G,MATCH(G404,'Data sources'!A:A,0),1)</f>
        <v>8.4591606470324017</v>
      </c>
      <c r="I404" s="2">
        <f>INDEX('Data sources'!J:J,MATCH(G404,'Data sources'!A:A,0),1)</f>
        <v>6.4483962143983575</v>
      </c>
      <c r="J404" s="2">
        <f>INDEX('Data sources'!R:R,MATCH(G404,'Data sources'!A:A,0),1)</f>
        <v>0</v>
      </c>
      <c r="K404" s="2">
        <f>INDEX('Data sources'!S:S,MATCH(G404,'Data sources'!A:A,0),1)</f>
        <v>120.04801920768308</v>
      </c>
      <c r="L404" t="str">
        <f t="shared" si="6"/>
        <v>Production of hydrogen and synthesis gas</v>
      </c>
      <c r="M404">
        <f>INDEX('Data sources'!U:U,MATCH($G404,'Data sources'!$A:$A,0),1)</f>
        <v>0.84137119305744423</v>
      </c>
      <c r="N404">
        <f>INDEX('Data sources'!V:V,MATCH($G404,'Data sources'!$A:$A,0),1)</f>
        <v>0.86357922057787195</v>
      </c>
    </row>
    <row r="405" spans="1:14" x14ac:dyDescent="0.2">
      <c r="A405" t="s">
        <v>49</v>
      </c>
      <c r="B405" t="s">
        <v>105</v>
      </c>
      <c r="C405" t="s">
        <v>81</v>
      </c>
      <c r="D405" t="s">
        <v>409</v>
      </c>
      <c r="E405" t="s">
        <v>106</v>
      </c>
      <c r="F405">
        <v>4</v>
      </c>
      <c r="G405" s="30" t="s">
        <v>327</v>
      </c>
      <c r="H405" s="2">
        <f>INDEX('Data sources'!G:G,MATCH(G405,'Data sources'!A:A,0),1)</f>
        <v>0.81745070728588098</v>
      </c>
      <c r="I405" s="2">
        <f>INDEX('Data sources'!J:J,MATCH(G405,'Data sources'!A:A,0),1)</f>
        <v>0.6991394038416423</v>
      </c>
      <c r="J405" s="2">
        <f>INDEX('Data sources'!R:R,MATCH(G405,'Data sources'!A:A,0),1)</f>
        <v>4.3200000000000021</v>
      </c>
      <c r="K405" s="2">
        <f>INDEX('Data sources'!S:S,MATCH(G405,'Data sources'!A:A,0),1)</f>
        <v>0</v>
      </c>
      <c r="L405" t="str">
        <f t="shared" si="6"/>
        <v>Production of lime, or calcination of dolomite/magnesite_Manufacture of cement</v>
      </c>
      <c r="M405">
        <f>INDEX('Data sources'!U:U,MATCH($G405,'Data sources'!$A:$A,0),1)</f>
        <v>0.66884534593017986</v>
      </c>
      <c r="N405">
        <f>INDEX('Data sources'!V:V,MATCH($G405,'Data sources'!$A:$A,0),1)</f>
        <v>0.58742624959688228</v>
      </c>
    </row>
    <row r="406" spans="1:14" x14ac:dyDescent="0.2">
      <c r="A406" t="s">
        <v>49</v>
      </c>
      <c r="B406" t="s">
        <v>111</v>
      </c>
      <c r="C406" t="s">
        <v>81</v>
      </c>
      <c r="D406" t="s">
        <v>409</v>
      </c>
      <c r="E406" t="s">
        <v>101</v>
      </c>
      <c r="F406">
        <v>2</v>
      </c>
      <c r="G406" s="30" t="s">
        <v>326</v>
      </c>
      <c r="H406" s="2">
        <f>INDEX('Data sources'!G:G,MATCH(G406,'Data sources'!A:A,0),1)</f>
        <v>0.12876363322314929</v>
      </c>
      <c r="I406" s="2">
        <f>INDEX('Data sources'!J:J,MATCH(G406,'Data sources'!A:A,0),1)</f>
        <v>9.509036148184509E-2</v>
      </c>
      <c r="J406" s="2">
        <f>INDEX('Data sources'!R:R,MATCH(G406,'Data sources'!A:A,0),1)</f>
        <v>3.0746807959647584</v>
      </c>
      <c r="K406" s="2">
        <f>INDEX('Data sources'!S:S,MATCH(G406,'Data sources'!A:A,0),1)</f>
        <v>0</v>
      </c>
      <c r="L406" t="str">
        <f t="shared" si="6"/>
        <v>Production of lime, or calcination of dolomite/magnesite_Manufacture of ceramic tiles and flags</v>
      </c>
      <c r="M406">
        <f>INDEX('Data sources'!U:U,MATCH($G406,'Data sources'!$A:$A,0),1)</f>
        <v>0.66884534593017986</v>
      </c>
      <c r="N406">
        <f>INDEX('Data sources'!V:V,MATCH($G406,'Data sources'!$A:$A,0),1)</f>
        <v>0.58742624959688228</v>
      </c>
    </row>
    <row r="407" spans="1:14" x14ac:dyDescent="0.2">
      <c r="A407" t="s">
        <v>49</v>
      </c>
      <c r="B407" t="s">
        <v>212</v>
      </c>
      <c r="C407" t="s">
        <v>81</v>
      </c>
      <c r="D407" t="s">
        <v>409</v>
      </c>
      <c r="E407" t="s">
        <v>213</v>
      </c>
      <c r="F407">
        <v>2</v>
      </c>
      <c r="G407" s="30" t="s">
        <v>336</v>
      </c>
      <c r="H407" s="2">
        <f>INDEX('Data sources'!G:G,MATCH(G407,'Data sources'!A:A,0),1)</f>
        <v>3.5629026621767576E-2</v>
      </c>
      <c r="I407" s="2">
        <f>INDEX('Data sources'!J:J,MATCH(G407,'Data sources'!A:A,0),1)</f>
        <v>3.1972106510782264E-2</v>
      </c>
      <c r="J407" s="2">
        <f>INDEX('Data sources'!R:R,MATCH(G407,'Data sources'!A:A,0),1)</f>
        <v>1.0800000000000005</v>
      </c>
      <c r="K407" s="2">
        <f>INDEX('Data sources'!S:S,MATCH(G407,'Data sources'!A:A,0),1)</f>
        <v>0</v>
      </c>
      <c r="L407" t="str">
        <f t="shared" si="6"/>
        <v>Production of lime, or calcination of dolomite/magnesite_Manufacture of plaster products for construction purposes</v>
      </c>
      <c r="M407">
        <f>INDEX('Data sources'!U:U,MATCH($G407,'Data sources'!$A:$A,0),1)</f>
        <v>0.66884534593017986</v>
      </c>
      <c r="N407">
        <f>INDEX('Data sources'!V:V,MATCH($G407,'Data sources'!$A:$A,0),1)</f>
        <v>0.58742624959688228</v>
      </c>
    </row>
    <row r="408" spans="1:14" x14ac:dyDescent="0.2">
      <c r="A408" t="s">
        <v>49</v>
      </c>
      <c r="B408" t="s">
        <v>154</v>
      </c>
      <c r="C408" t="s">
        <v>81</v>
      </c>
      <c r="D408" t="s">
        <v>409</v>
      </c>
      <c r="E408" t="s">
        <v>155</v>
      </c>
      <c r="F408">
        <v>165</v>
      </c>
      <c r="G408" s="30" t="s">
        <v>337</v>
      </c>
      <c r="H408" s="2">
        <f>INDEX('Data sources'!G:G,MATCH(G408,'Data sources'!A:A,0),1)</f>
        <v>1.0858855073623837</v>
      </c>
      <c r="I408" s="2">
        <f>INDEX('Data sources'!J:J,MATCH(G408,'Data sources'!A:A,0),1)</f>
        <v>0.76053043758401917</v>
      </c>
      <c r="J408" s="2">
        <f>INDEX('Data sources'!R:R,MATCH(G408,'Data sources'!A:A,0),1)</f>
        <v>3.7079999999999997</v>
      </c>
      <c r="K408" s="2">
        <f>INDEX('Data sources'!S:S,MATCH(G408,'Data sources'!A:A,0),1)</f>
        <v>0</v>
      </c>
      <c r="L408" t="str">
        <f t="shared" si="6"/>
        <v>Production of lime, or calcination of dolomite/magnesite_Manufacture of lime and plaster</v>
      </c>
      <c r="M408">
        <f>INDEX('Data sources'!U:U,MATCH($G408,'Data sources'!$A:$A,0),1)</f>
        <v>0.66884534593017986</v>
      </c>
      <c r="N408">
        <f>INDEX('Data sources'!V:V,MATCH($G408,'Data sources'!$A:$A,0),1)</f>
        <v>0.58742624959688228</v>
      </c>
    </row>
    <row r="409" spans="1:14" x14ac:dyDescent="0.2">
      <c r="A409" t="s">
        <v>49</v>
      </c>
      <c r="B409" t="s">
        <v>254</v>
      </c>
      <c r="C409" t="s">
        <v>58</v>
      </c>
      <c r="D409" t="s">
        <v>403</v>
      </c>
      <c r="E409" t="s">
        <v>242</v>
      </c>
      <c r="F409">
        <v>7</v>
      </c>
      <c r="G409" s="30" t="s">
        <v>325</v>
      </c>
      <c r="H409" s="2">
        <f>INDEX('Data sources'!G:G,MATCH(G409,'Data sources'!A:A,0),1)</f>
        <v>5.79E-2</v>
      </c>
      <c r="I409" s="2">
        <f>INDEX('Data sources'!J:J,MATCH(G409,'Data sources'!A:A,0),1)</f>
        <v>4.2599999999999999E-2</v>
      </c>
      <c r="J409" s="2">
        <f>INDEX('Data sources'!R:R,MATCH(G409,'Data sources'!A:A,0),1)</f>
        <v>1</v>
      </c>
      <c r="K409" s="2">
        <f>INDEX('Data sources'!S:S,MATCH(G409,'Data sources'!A:A,0),1)</f>
        <v>0</v>
      </c>
      <c r="L409" t="str">
        <f t="shared" si="6"/>
        <v>Production of lime, or calcination of dolomite/magnesite_Other mining and quarrying n.e.c.</v>
      </c>
      <c r="M409">
        <f>INDEX('Data sources'!U:U,MATCH($G409,'Data sources'!$A:$A,0),1)</f>
        <v>0.78416348147957027</v>
      </c>
      <c r="N409">
        <f>INDEX('Data sources'!V:V,MATCH($G409,'Data sources'!$A:$A,0),1)</f>
        <v>0.72535139859924458</v>
      </c>
    </row>
    <row r="410" spans="1:14" x14ac:dyDescent="0.2">
      <c r="A410" t="s">
        <v>49</v>
      </c>
      <c r="B410" t="s">
        <v>230</v>
      </c>
      <c r="C410" t="s">
        <v>113</v>
      </c>
      <c r="D410" t="s">
        <v>403</v>
      </c>
      <c r="E410" t="s">
        <v>15</v>
      </c>
      <c r="F410">
        <v>19</v>
      </c>
      <c r="G410" s="30" t="s">
        <v>325</v>
      </c>
      <c r="H410" s="2">
        <f>INDEX('Data sources'!G:G,MATCH(G410,'Data sources'!A:A,0),1)</f>
        <v>5.79E-2</v>
      </c>
      <c r="I410" s="2">
        <f>INDEX('Data sources'!J:J,MATCH(G410,'Data sources'!A:A,0),1)</f>
        <v>4.2599999999999999E-2</v>
      </c>
      <c r="J410" s="2">
        <f>INDEX('Data sources'!R:R,MATCH(G410,'Data sources'!A:A,0),1)</f>
        <v>1</v>
      </c>
      <c r="K410" s="2">
        <f>INDEX('Data sources'!S:S,MATCH(G410,'Data sources'!A:A,0),1)</f>
        <v>0</v>
      </c>
      <c r="L410" t="str">
        <f t="shared" si="6"/>
        <v>Production of lime, or calcination of dolomite/magnesite_Manufacture of sugar</v>
      </c>
      <c r="M410">
        <f>INDEX('Data sources'!U:U,MATCH($G410,'Data sources'!$A:$A,0),1)</f>
        <v>0.78416348147957027</v>
      </c>
      <c r="N410">
        <f>INDEX('Data sources'!V:V,MATCH($G410,'Data sources'!$A:$A,0),1)</f>
        <v>0.72535139859924458</v>
      </c>
    </row>
    <row r="411" spans="1:14" x14ac:dyDescent="0.2">
      <c r="A411" t="s">
        <v>49</v>
      </c>
      <c r="B411" t="s">
        <v>47</v>
      </c>
      <c r="C411" t="s">
        <v>44</v>
      </c>
      <c r="D411" t="s">
        <v>45</v>
      </c>
      <c r="E411" t="s">
        <v>45</v>
      </c>
      <c r="F411">
        <v>2</v>
      </c>
      <c r="G411" s="30" t="s">
        <v>325</v>
      </c>
      <c r="H411" s="2">
        <f>INDEX('Data sources'!G:G,MATCH(G411,'Data sources'!A:A,0),1)</f>
        <v>5.79E-2</v>
      </c>
      <c r="I411" s="2">
        <f>INDEX('Data sources'!J:J,MATCH(G411,'Data sources'!A:A,0),1)</f>
        <v>4.2599999999999999E-2</v>
      </c>
      <c r="J411" s="2">
        <f>INDEX('Data sources'!R:R,MATCH(G411,'Data sources'!A:A,0),1)</f>
        <v>1</v>
      </c>
      <c r="K411" s="2">
        <f>INDEX('Data sources'!S:S,MATCH(G411,'Data sources'!A:A,0),1)</f>
        <v>0</v>
      </c>
      <c r="L411" t="str">
        <f t="shared" si="6"/>
        <v>Production of lime, or calcination of dolomite/magnesite_Electric power generation, transmission and distribution</v>
      </c>
      <c r="M411">
        <f>INDEX('Data sources'!U:U,MATCH($G411,'Data sources'!$A:$A,0),1)</f>
        <v>0.78416348147957027</v>
      </c>
      <c r="N411">
        <f>INDEX('Data sources'!V:V,MATCH($G411,'Data sources'!$A:$A,0),1)</f>
        <v>0.72535139859924458</v>
      </c>
    </row>
    <row r="412" spans="1:14" x14ac:dyDescent="0.2">
      <c r="A412" t="s">
        <v>49</v>
      </c>
      <c r="B412" t="s">
        <v>225</v>
      </c>
      <c r="C412" t="s">
        <v>81</v>
      </c>
      <c r="D412" t="s">
        <v>409</v>
      </c>
      <c r="E412" t="s">
        <v>331</v>
      </c>
      <c r="F412">
        <v>5</v>
      </c>
      <c r="G412" s="30" t="s">
        <v>332</v>
      </c>
      <c r="H412" s="2">
        <f>INDEX('Data sources'!G:G,MATCH(G412,'Data sources'!A:A,0),1)</f>
        <v>1.8</v>
      </c>
      <c r="I412" s="2">
        <f>INDEX('Data sources'!J:J,MATCH(G412,'Data sources'!A:A,0),1)</f>
        <v>1.8</v>
      </c>
      <c r="J412" s="2">
        <f>INDEX('Data sources'!R:R,MATCH(G412,'Data sources'!A:A,0),1)</f>
        <v>5.378400000000001</v>
      </c>
      <c r="K412" s="2">
        <f>INDEX('Data sources'!S:S,MATCH(G412,'Data sources'!A:A,0),1)</f>
        <v>0</v>
      </c>
      <c r="L412" t="str">
        <f t="shared" si="6"/>
        <v>Production of lime, or calcination of dolomite/magnesite_Manufacture of refractory products</v>
      </c>
      <c r="M412">
        <f>INDEX('Data sources'!U:U,MATCH($G412,'Data sources'!$A:$A,0),1)</f>
        <v>0.66884534593017986</v>
      </c>
      <c r="N412">
        <f>INDEX('Data sources'!V:V,MATCH($G412,'Data sources'!$A:$A,0),1)</f>
        <v>0.58742624959688228</v>
      </c>
    </row>
    <row r="413" spans="1:14" x14ac:dyDescent="0.2">
      <c r="A413" s="2" t="s">
        <v>49</v>
      </c>
      <c r="D413" t="s">
        <v>95</v>
      </c>
      <c r="E413">
        <v>0</v>
      </c>
      <c r="G413" s="31" t="s">
        <v>337</v>
      </c>
      <c r="H413" s="2">
        <f>INDEX('Data sources'!G:G,MATCH(G413,'Data sources'!A:A,0),1)</f>
        <v>1.0858855073623837</v>
      </c>
      <c r="I413" s="2">
        <f>INDEX('Data sources'!J:J,MATCH(G413,'Data sources'!A:A,0),1)</f>
        <v>0.76053043758401917</v>
      </c>
      <c r="J413" s="2">
        <f>INDEX('Data sources'!R:R,MATCH(G413,'Data sources'!A:A,0),1)</f>
        <v>3.7079999999999997</v>
      </c>
      <c r="K413" s="2">
        <f>INDEX('Data sources'!S:S,MATCH(G413,'Data sources'!A:A,0),1)</f>
        <v>0</v>
      </c>
      <c r="L413" t="str">
        <f t="shared" si="6"/>
        <v>Production of lime, or calcination of dolomite/magnesite</v>
      </c>
      <c r="M413">
        <f>INDEX('Data sources'!U:U,MATCH($G413,'Data sources'!$A:$A,0),1)</f>
        <v>0.66884534593017986</v>
      </c>
      <c r="N413">
        <f>INDEX('Data sources'!V:V,MATCH($G413,'Data sources'!$A:$A,0),1)</f>
        <v>0.58742624959688228</v>
      </c>
    </row>
    <row r="414" spans="1:14" x14ac:dyDescent="0.2">
      <c r="A414" t="s">
        <v>135</v>
      </c>
      <c r="B414" t="s">
        <v>134</v>
      </c>
      <c r="C414" t="s">
        <v>95</v>
      </c>
      <c r="D414" t="s">
        <v>95</v>
      </c>
      <c r="E414" t="s">
        <v>95</v>
      </c>
      <c r="F414">
        <v>26</v>
      </c>
      <c r="G414" s="30" t="s">
        <v>341</v>
      </c>
      <c r="H414" s="2">
        <f>INDEX('Data sources'!G:G,MATCH(G414,'Data sources'!A:A,0),1)</f>
        <v>0.20499999999999999</v>
      </c>
      <c r="I414" s="2">
        <f>INDEX('Data sources'!J:J,MATCH(G414,'Data sources'!A:A,0),1)</f>
        <v>0.23</v>
      </c>
      <c r="J414" s="2">
        <f>INDEX('Data sources'!R:R,MATCH(G414,'Data sources'!A:A,0),1)</f>
        <v>0</v>
      </c>
      <c r="K414" s="2">
        <f>INDEX('Data sources'!S:S,MATCH(G414,'Data sources'!A:A,0),1)</f>
        <v>5.9673600000000002</v>
      </c>
      <c r="L414" t="str">
        <f t="shared" si="6"/>
        <v>Production of nitric acid_Manufacture of fertilisers and nitrogen compounds</v>
      </c>
      <c r="M414">
        <f>INDEX('Data sources'!U:U,MATCH($G414,'Data sources'!$A:$A,0),1)</f>
        <v>0.84137119305744412</v>
      </c>
      <c r="N414">
        <f>INDEX('Data sources'!V:V,MATCH($G414,'Data sources'!$A:$A,0),1)</f>
        <v>0.86357922057787195</v>
      </c>
    </row>
    <row r="415" spans="1:14" x14ac:dyDescent="0.2">
      <c r="A415" t="s">
        <v>135</v>
      </c>
      <c r="B415" t="s">
        <v>191</v>
      </c>
      <c r="C415" t="s">
        <v>95</v>
      </c>
      <c r="D415" t="s">
        <v>95</v>
      </c>
      <c r="E415" t="s">
        <v>95</v>
      </c>
      <c r="F415">
        <v>1</v>
      </c>
      <c r="G415" s="30" t="s">
        <v>341</v>
      </c>
      <c r="H415" s="2">
        <f>INDEX('Data sources'!G:G,MATCH(G415,'Data sources'!A:A,0),1)</f>
        <v>0.20499999999999999</v>
      </c>
      <c r="I415" s="2">
        <f>INDEX('Data sources'!J:J,MATCH(G415,'Data sources'!A:A,0),1)</f>
        <v>0.23</v>
      </c>
      <c r="J415" s="2">
        <f>INDEX('Data sources'!R:R,MATCH(G415,'Data sources'!A:A,0),1)</f>
        <v>0</v>
      </c>
      <c r="K415" s="2">
        <f>INDEX('Data sources'!S:S,MATCH(G415,'Data sources'!A:A,0),1)</f>
        <v>5.9673600000000002</v>
      </c>
      <c r="L415" t="str">
        <f t="shared" si="6"/>
        <v>Production of nitric acid_Manufacture of other organic basic chemicals</v>
      </c>
      <c r="M415">
        <f>INDEX('Data sources'!U:U,MATCH($G415,'Data sources'!$A:$A,0),1)</f>
        <v>0.84137119305744412</v>
      </c>
      <c r="N415">
        <f>INDEX('Data sources'!V:V,MATCH($G415,'Data sources'!$A:$A,0),1)</f>
        <v>0.86357922057787195</v>
      </c>
    </row>
    <row r="416" spans="1:14" x14ac:dyDescent="0.2">
      <c r="A416" s="2" t="s">
        <v>135</v>
      </c>
      <c r="D416" t="s">
        <v>95</v>
      </c>
      <c r="E416">
        <v>0</v>
      </c>
      <c r="G416" s="31" t="s">
        <v>341</v>
      </c>
      <c r="H416" s="2">
        <f>INDEX('Data sources'!G:G,MATCH(G416,'Data sources'!A:A,0),1)</f>
        <v>0.20499999999999999</v>
      </c>
      <c r="I416" s="2">
        <f>INDEX('Data sources'!J:J,MATCH(G416,'Data sources'!A:A,0),1)</f>
        <v>0.23</v>
      </c>
      <c r="J416" s="2">
        <f>INDEX('Data sources'!R:R,MATCH(G416,'Data sources'!A:A,0),1)</f>
        <v>0</v>
      </c>
      <c r="K416" s="2">
        <f>INDEX('Data sources'!S:S,MATCH(G416,'Data sources'!A:A,0),1)</f>
        <v>5.9673600000000002</v>
      </c>
      <c r="L416" t="str">
        <f t="shared" si="6"/>
        <v>Production of nitric acid</v>
      </c>
      <c r="M416">
        <f>INDEX('Data sources'!U:U,MATCH($G416,'Data sources'!$A:$A,0),1)</f>
        <v>0.84137119305744412</v>
      </c>
      <c r="N416">
        <f>INDEX('Data sources'!V:V,MATCH($G416,'Data sources'!$A:$A,0),1)</f>
        <v>0.86357922057787195</v>
      </c>
    </row>
    <row r="417" spans="1:14" x14ac:dyDescent="0.2">
      <c r="A417" t="s">
        <v>35</v>
      </c>
      <c r="B417" t="s">
        <v>121</v>
      </c>
      <c r="C417" t="s">
        <v>122</v>
      </c>
      <c r="D417" t="s">
        <v>410</v>
      </c>
      <c r="E417" t="s">
        <v>123</v>
      </c>
      <c r="F417">
        <v>12</v>
      </c>
      <c r="G417" s="30" t="s">
        <v>328</v>
      </c>
      <c r="H417" s="2">
        <f>INDEX('Data sources'!G:G,MATCH(G417,'Data sources'!A:A,0),1)</f>
        <v>0.20263440019098061</v>
      </c>
      <c r="I417" s="2">
        <f>INDEX('Data sources'!J:J,MATCH(G417,'Data sources'!A:A,0),1)</f>
        <v>0.19255330027571974</v>
      </c>
      <c r="J417" s="2">
        <f>INDEX('Data sources'!R:R,MATCH(G417,'Data sources'!A:A,0),1)</f>
        <v>4.968</v>
      </c>
      <c r="K417" s="2">
        <f>INDEX('Data sources'!S:S,MATCH(G417,'Data sources'!A:A,0),1)</f>
        <v>0</v>
      </c>
      <c r="L417" t="str">
        <f t="shared" si="6"/>
        <v>Production of paper or cardboard_Manufacture of corrugated paper and paperboard and of containers of paper and paperboard</v>
      </c>
      <c r="M417">
        <f>INDEX('Data sources'!U:U,MATCH($G417,'Data sources'!$A:$A,0),1)</f>
        <v>0.81657744124826948</v>
      </c>
      <c r="N417">
        <f>INDEX('Data sources'!V:V,MATCH($G417,'Data sources'!$A:$A,0),1)</f>
        <v>0.94441452831676742</v>
      </c>
    </row>
    <row r="418" spans="1:14" x14ac:dyDescent="0.2">
      <c r="A418" t="s">
        <v>35</v>
      </c>
      <c r="B418" t="s">
        <v>31</v>
      </c>
      <c r="C418" t="s">
        <v>32</v>
      </c>
      <c r="D418" t="s">
        <v>403</v>
      </c>
      <c r="E418" t="s">
        <v>15</v>
      </c>
      <c r="F418">
        <v>1</v>
      </c>
      <c r="G418" s="30" t="s">
        <v>325</v>
      </c>
      <c r="H418" s="2">
        <f>INDEX('Data sources'!G:G,MATCH(G418,'Data sources'!A:A,0),1)</f>
        <v>5.79E-2</v>
      </c>
      <c r="I418" s="2">
        <f>INDEX('Data sources'!J:J,MATCH(G418,'Data sources'!A:A,0),1)</f>
        <v>4.2599999999999999E-2</v>
      </c>
      <c r="J418" s="2">
        <f>INDEX('Data sources'!R:R,MATCH(G418,'Data sources'!A:A,0),1)</f>
        <v>1</v>
      </c>
      <c r="K418" s="2">
        <f>INDEX('Data sources'!S:S,MATCH(G418,'Data sources'!A:A,0),1)</f>
        <v>0</v>
      </c>
      <c r="L418" t="str">
        <f t="shared" si="6"/>
        <v>Production of paper or cardboard_Data processing, hosting and related activities</v>
      </c>
      <c r="M418">
        <f>INDEX('Data sources'!U:U,MATCH($G418,'Data sources'!$A:$A,0),1)</f>
        <v>0.78416348147957027</v>
      </c>
      <c r="N418">
        <f>INDEX('Data sources'!V:V,MATCH($G418,'Data sources'!$A:$A,0),1)</f>
        <v>0.72535139859924458</v>
      </c>
    </row>
    <row r="419" spans="1:14" x14ac:dyDescent="0.2">
      <c r="A419" t="s">
        <v>35</v>
      </c>
      <c r="B419" t="s">
        <v>170</v>
      </c>
      <c r="C419" t="s">
        <v>62</v>
      </c>
      <c r="D419" t="s">
        <v>403</v>
      </c>
      <c r="E419" t="s">
        <v>15</v>
      </c>
      <c r="F419">
        <v>1</v>
      </c>
      <c r="G419" s="30" t="s">
        <v>325</v>
      </c>
      <c r="H419" s="2">
        <f>INDEX('Data sources'!G:G,MATCH(G419,'Data sources'!A:A,0),1)</f>
        <v>5.79E-2</v>
      </c>
      <c r="I419" s="2">
        <f>INDEX('Data sources'!J:J,MATCH(G419,'Data sources'!A:A,0),1)</f>
        <v>4.2599999999999999E-2</v>
      </c>
      <c r="J419" s="2">
        <f>INDEX('Data sources'!R:R,MATCH(G419,'Data sources'!A:A,0),1)</f>
        <v>1</v>
      </c>
      <c r="K419" s="2">
        <f>INDEX('Data sources'!S:S,MATCH(G419,'Data sources'!A:A,0),1)</f>
        <v>0</v>
      </c>
      <c r="L419" t="str">
        <f t="shared" si="6"/>
        <v>Production of paper or cardboard_Manufacture of non-wovens and articles made from non-wovens, except apparel</v>
      </c>
      <c r="M419">
        <f>INDEX('Data sources'!U:U,MATCH($G419,'Data sources'!$A:$A,0),1)</f>
        <v>0.78416348147957027</v>
      </c>
      <c r="N419">
        <f>INDEX('Data sources'!V:V,MATCH($G419,'Data sources'!$A:$A,0),1)</f>
        <v>0.72535139859924458</v>
      </c>
    </row>
    <row r="420" spans="1:14" x14ac:dyDescent="0.2">
      <c r="A420" t="s">
        <v>35</v>
      </c>
      <c r="B420" t="s">
        <v>238</v>
      </c>
      <c r="C420" t="s">
        <v>89</v>
      </c>
      <c r="D420" t="s">
        <v>403</v>
      </c>
      <c r="E420" t="s">
        <v>15</v>
      </c>
      <c r="F420">
        <v>1</v>
      </c>
      <c r="G420" s="30" t="s">
        <v>325</v>
      </c>
      <c r="H420" s="2">
        <f>INDEX('Data sources'!G:G,MATCH(G420,'Data sources'!A:A,0),1)</f>
        <v>5.79E-2</v>
      </c>
      <c r="I420" s="2">
        <f>INDEX('Data sources'!J:J,MATCH(G420,'Data sources'!A:A,0),1)</f>
        <v>4.2599999999999999E-2</v>
      </c>
      <c r="J420" s="2">
        <f>INDEX('Data sources'!R:R,MATCH(G420,'Data sources'!A:A,0),1)</f>
        <v>1</v>
      </c>
      <c r="K420" s="2">
        <f>INDEX('Data sources'!S:S,MATCH(G420,'Data sources'!A:A,0),1)</f>
        <v>0</v>
      </c>
      <c r="L420" t="str">
        <f t="shared" si="6"/>
        <v>Production of paper or cardboard_Manufacture of veneer sheets and wood-based panels</v>
      </c>
      <c r="M420">
        <f>INDEX('Data sources'!U:U,MATCH($G420,'Data sources'!$A:$A,0),1)</f>
        <v>0.78416348147957027</v>
      </c>
      <c r="N420">
        <f>INDEX('Data sources'!V:V,MATCH($G420,'Data sources'!$A:$A,0),1)</f>
        <v>0.72535139859924458</v>
      </c>
    </row>
    <row r="421" spans="1:14" x14ac:dyDescent="0.2">
      <c r="A421" t="s">
        <v>35</v>
      </c>
      <c r="B421" t="s">
        <v>172</v>
      </c>
      <c r="C421" t="s">
        <v>122</v>
      </c>
      <c r="D421" t="s">
        <v>410</v>
      </c>
      <c r="E421" t="s">
        <v>173</v>
      </c>
      <c r="F421">
        <v>4</v>
      </c>
      <c r="G421" s="30" t="s">
        <v>356</v>
      </c>
      <c r="H421" s="2">
        <f>INDEX('Data sources'!G:G,MATCH(G421,'Data sources'!A:A,0),1)</f>
        <v>0.2201185822484337</v>
      </c>
      <c r="I421" s="2">
        <f>INDEX('Data sources'!J:J,MATCH(G421,'Data sources'!A:A,0),1)</f>
        <v>0.22144473697589778</v>
      </c>
      <c r="J421" s="2">
        <f>INDEX('Data sources'!R:R,MATCH(G421,'Data sources'!A:A,0),1)</f>
        <v>6.1071928683366004</v>
      </c>
      <c r="K421" s="2">
        <f>INDEX('Data sources'!S:S,MATCH(G421,'Data sources'!A:A,0),1)</f>
        <v>0</v>
      </c>
      <c r="L421" t="str">
        <f t="shared" si="6"/>
        <v>Production of paper or cardboard_Manufacture of other articles of paper and paperboard</v>
      </c>
      <c r="M421">
        <f>INDEX('Data sources'!U:U,MATCH($G421,'Data sources'!$A:$A,0),1)</f>
        <v>0.8165774412482697</v>
      </c>
      <c r="N421">
        <f>INDEX('Data sources'!V:V,MATCH($G421,'Data sources'!$A:$A,0),1)</f>
        <v>0.94441452831676753</v>
      </c>
    </row>
    <row r="422" spans="1:14" x14ac:dyDescent="0.2">
      <c r="A422" t="s">
        <v>35</v>
      </c>
      <c r="B422" t="s">
        <v>208</v>
      </c>
      <c r="C422" t="s">
        <v>122</v>
      </c>
      <c r="D422" t="s">
        <v>410</v>
      </c>
      <c r="E422" t="s">
        <v>173</v>
      </c>
      <c r="F422">
        <v>397</v>
      </c>
      <c r="G422" s="30" t="s">
        <v>356</v>
      </c>
      <c r="H422" s="2">
        <f>INDEX('Data sources'!G:G,MATCH(G422,'Data sources'!A:A,0),1)</f>
        <v>0.2201185822484337</v>
      </c>
      <c r="I422" s="2">
        <f>INDEX('Data sources'!J:J,MATCH(G422,'Data sources'!A:A,0),1)</f>
        <v>0.22144473697589778</v>
      </c>
      <c r="J422" s="2">
        <f>INDEX('Data sources'!R:R,MATCH(G422,'Data sources'!A:A,0),1)</f>
        <v>6.1071928683366004</v>
      </c>
      <c r="K422" s="2">
        <f>INDEX('Data sources'!S:S,MATCH(G422,'Data sources'!A:A,0),1)</f>
        <v>0</v>
      </c>
      <c r="L422" t="str">
        <f t="shared" si="6"/>
        <v>Production of paper or cardboard_Manufacture of paper and paperboard</v>
      </c>
      <c r="M422">
        <f>INDEX('Data sources'!U:U,MATCH($G422,'Data sources'!$A:$A,0),1)</f>
        <v>0.8165774412482697</v>
      </c>
      <c r="N422">
        <f>INDEX('Data sources'!V:V,MATCH($G422,'Data sources'!$A:$A,0),1)</f>
        <v>0.94441452831676753</v>
      </c>
    </row>
    <row r="423" spans="1:14" x14ac:dyDescent="0.2">
      <c r="A423" t="s">
        <v>35</v>
      </c>
      <c r="B423" t="s">
        <v>239</v>
      </c>
      <c r="C423" t="s">
        <v>122</v>
      </c>
      <c r="D423" t="s">
        <v>410</v>
      </c>
      <c r="E423" t="s">
        <v>173</v>
      </c>
      <c r="F423">
        <v>1</v>
      </c>
      <c r="G423" s="30" t="s">
        <v>356</v>
      </c>
      <c r="H423" s="2">
        <f>INDEX('Data sources'!G:G,MATCH(G423,'Data sources'!A:A,0),1)</f>
        <v>0.2201185822484337</v>
      </c>
      <c r="I423" s="2">
        <f>INDEX('Data sources'!J:J,MATCH(G423,'Data sources'!A:A,0),1)</f>
        <v>0.22144473697589778</v>
      </c>
      <c r="J423" s="2">
        <f>INDEX('Data sources'!R:R,MATCH(G423,'Data sources'!A:A,0),1)</f>
        <v>6.1071928683366004</v>
      </c>
      <c r="K423" s="2">
        <f>INDEX('Data sources'!S:S,MATCH(G423,'Data sources'!A:A,0),1)</f>
        <v>0</v>
      </c>
      <c r="L423" t="str">
        <f t="shared" si="6"/>
        <v>Production of paper or cardboard_Manufacture of wallpaper</v>
      </c>
      <c r="M423">
        <f>INDEX('Data sources'!U:U,MATCH($G423,'Data sources'!$A:$A,0),1)</f>
        <v>0.8165774412482697</v>
      </c>
      <c r="N423">
        <f>INDEX('Data sources'!V:V,MATCH($G423,'Data sources'!$A:$A,0),1)</f>
        <v>0.94441452831676753</v>
      </c>
    </row>
    <row r="424" spans="1:14" x14ac:dyDescent="0.2">
      <c r="A424" t="s">
        <v>35</v>
      </c>
      <c r="B424" t="s">
        <v>47</v>
      </c>
      <c r="C424" t="s">
        <v>44</v>
      </c>
      <c r="D424" t="s">
        <v>45</v>
      </c>
      <c r="E424" t="s">
        <v>45</v>
      </c>
      <c r="F424">
        <v>3</v>
      </c>
      <c r="G424" s="30" t="s">
        <v>325</v>
      </c>
      <c r="H424" s="2">
        <f>INDEX('Data sources'!G:G,MATCH(G424,'Data sources'!A:A,0),1)</f>
        <v>5.79E-2</v>
      </c>
      <c r="I424" s="2">
        <f>INDEX('Data sources'!J:J,MATCH(G424,'Data sources'!A:A,0),1)</f>
        <v>4.2599999999999999E-2</v>
      </c>
      <c r="J424" s="2">
        <f>INDEX('Data sources'!R:R,MATCH(G424,'Data sources'!A:A,0),1)</f>
        <v>1</v>
      </c>
      <c r="K424" s="2">
        <f>INDEX('Data sources'!S:S,MATCH(G424,'Data sources'!A:A,0),1)</f>
        <v>0</v>
      </c>
      <c r="L424" t="str">
        <f t="shared" si="6"/>
        <v>Production of paper or cardboard_Electric power generation, transmission and distribution</v>
      </c>
      <c r="M424">
        <f>INDEX('Data sources'!U:U,MATCH($G424,'Data sources'!$A:$A,0),1)</f>
        <v>0.78416348147957027</v>
      </c>
      <c r="N424">
        <f>INDEX('Data sources'!V:V,MATCH($G424,'Data sources'!$A:$A,0),1)</f>
        <v>0.72535139859924458</v>
      </c>
    </row>
    <row r="425" spans="1:14" x14ac:dyDescent="0.2">
      <c r="A425" t="s">
        <v>35</v>
      </c>
      <c r="B425" t="s">
        <v>44</v>
      </c>
      <c r="C425" t="s">
        <v>44</v>
      </c>
      <c r="D425" t="s">
        <v>45</v>
      </c>
      <c r="E425" t="s">
        <v>45</v>
      </c>
      <c r="F425">
        <v>1</v>
      </c>
      <c r="G425" s="30" t="s">
        <v>329</v>
      </c>
      <c r="H425" s="2">
        <f>INDEX('Data sources'!G:G,MATCH(G425,'Data sources'!A:A,0),1)</f>
        <v>7.6799999999999993E-2</v>
      </c>
      <c r="I425" s="2">
        <f>INDEX('Data sources'!J:J,MATCH(G425,'Data sources'!A:A,0),1)</f>
        <v>4.7300000000000002E-2</v>
      </c>
      <c r="J425" s="2">
        <f>INDEX('Data sources'!R:R,MATCH(G425,'Data sources'!A:A,0),1)</f>
        <v>1</v>
      </c>
      <c r="K425" s="2">
        <f>INDEX('Data sources'!S:S,MATCH(G425,'Data sources'!A:A,0),1)</f>
        <v>0</v>
      </c>
      <c r="L425" t="str">
        <f t="shared" si="6"/>
        <v>Production of paper or cardboard_Electricity, gas, steam and air conditioning supply</v>
      </c>
      <c r="M425">
        <f>INDEX('Data sources'!U:U,MATCH($G425,'Data sources'!$A:$A,0),1)</f>
        <v>0.78416348147957027</v>
      </c>
      <c r="N425">
        <f>INDEX('Data sources'!V:V,MATCH($G425,'Data sources'!$A:$A,0),1)</f>
        <v>0.72535139859924458</v>
      </c>
    </row>
    <row r="426" spans="1:14" x14ac:dyDescent="0.2">
      <c r="A426" t="s">
        <v>35</v>
      </c>
      <c r="B426" t="s">
        <v>282</v>
      </c>
      <c r="C426" t="s">
        <v>44</v>
      </c>
      <c r="D426" t="s">
        <v>45</v>
      </c>
      <c r="E426" t="s">
        <v>45</v>
      </c>
      <c r="F426">
        <v>1</v>
      </c>
      <c r="G426" s="30" t="s">
        <v>325</v>
      </c>
      <c r="H426" s="2">
        <f>INDEX('Data sources'!G:G,MATCH(G426,'Data sources'!A:A,0),1)</f>
        <v>5.79E-2</v>
      </c>
      <c r="I426" s="2">
        <f>INDEX('Data sources'!J:J,MATCH(G426,'Data sources'!A:A,0),1)</f>
        <v>4.2599999999999999E-2</v>
      </c>
      <c r="J426" s="2">
        <f>INDEX('Data sources'!R:R,MATCH(G426,'Data sources'!A:A,0),1)</f>
        <v>1</v>
      </c>
      <c r="K426" s="2">
        <f>INDEX('Data sources'!S:S,MATCH(G426,'Data sources'!A:A,0),1)</f>
        <v>0</v>
      </c>
      <c r="L426" t="str">
        <f t="shared" si="6"/>
        <v>Production of paper or cardboard_Production of electricity</v>
      </c>
      <c r="M426">
        <f>INDEX('Data sources'!U:U,MATCH($G426,'Data sources'!$A:$A,0),1)</f>
        <v>0.78416348147957027</v>
      </c>
      <c r="N426">
        <f>INDEX('Data sources'!V:V,MATCH($G426,'Data sources'!$A:$A,0),1)</f>
        <v>0.72535139859924458</v>
      </c>
    </row>
    <row r="427" spans="1:14" x14ac:dyDescent="0.2">
      <c r="A427" t="s">
        <v>35</v>
      </c>
      <c r="B427" t="s">
        <v>301</v>
      </c>
      <c r="C427" t="s">
        <v>44</v>
      </c>
      <c r="D427" t="s">
        <v>45</v>
      </c>
      <c r="E427" t="s">
        <v>45</v>
      </c>
      <c r="F427">
        <v>2</v>
      </c>
      <c r="G427" s="30" t="s">
        <v>329</v>
      </c>
      <c r="H427" s="2">
        <f>INDEX('Data sources'!G:G,MATCH(G427,'Data sources'!A:A,0),1)</f>
        <v>7.6799999999999993E-2</v>
      </c>
      <c r="I427" s="2">
        <f>INDEX('Data sources'!J:J,MATCH(G427,'Data sources'!A:A,0),1)</f>
        <v>4.7300000000000002E-2</v>
      </c>
      <c r="J427" s="2">
        <f>INDEX('Data sources'!R:R,MATCH(G427,'Data sources'!A:A,0),1)</f>
        <v>1</v>
      </c>
      <c r="K427" s="2">
        <f>INDEX('Data sources'!S:S,MATCH(G427,'Data sources'!A:A,0),1)</f>
        <v>0</v>
      </c>
      <c r="L427" t="str">
        <f t="shared" si="6"/>
        <v>Production of paper or cardboard_Steam and air conditioning supply</v>
      </c>
      <c r="M427">
        <f>INDEX('Data sources'!U:U,MATCH($G427,'Data sources'!$A:$A,0),1)</f>
        <v>0.78416348147957027</v>
      </c>
      <c r="N427">
        <f>INDEX('Data sources'!V:V,MATCH($G427,'Data sources'!$A:$A,0),1)</f>
        <v>0.72535139859924458</v>
      </c>
    </row>
    <row r="428" spans="1:14" x14ac:dyDescent="0.2">
      <c r="A428" t="s">
        <v>35</v>
      </c>
      <c r="B428" t="s">
        <v>220</v>
      </c>
      <c r="C428" t="s">
        <v>122</v>
      </c>
      <c r="D428" t="s">
        <v>410</v>
      </c>
      <c r="E428" t="s">
        <v>221</v>
      </c>
      <c r="F428">
        <v>5</v>
      </c>
      <c r="G428" s="30" t="s">
        <v>330</v>
      </c>
      <c r="H428" s="2">
        <f>INDEX('Data sources'!G:G,MATCH(G428,'Data sources'!A:A,0),1)</f>
        <v>7.0004406322813018E-2</v>
      </c>
      <c r="I428" s="2">
        <f>INDEX('Data sources'!J:J,MATCH(G428,'Data sources'!A:A,0),1)</f>
        <v>4.658929294687298E-2</v>
      </c>
      <c r="J428" s="2">
        <f>INDEX('Data sources'!R:R,MATCH(G428,'Data sources'!A:A,0),1)</f>
        <v>3.2582614424994669</v>
      </c>
      <c r="K428" s="2">
        <f>INDEX('Data sources'!S:S,MATCH(G428,'Data sources'!A:A,0),1)</f>
        <v>0</v>
      </c>
      <c r="L428" t="str">
        <f t="shared" si="6"/>
        <v>Production of paper or cardboard_Manufacture of pulp</v>
      </c>
      <c r="M428">
        <f>INDEX('Data sources'!U:U,MATCH($G428,'Data sources'!$A:$A,0),1)</f>
        <v>0.81657744124826959</v>
      </c>
      <c r="N428">
        <f>INDEX('Data sources'!V:V,MATCH($G428,'Data sources'!$A:$A,0),1)</f>
        <v>0.94441452831676742</v>
      </c>
    </row>
    <row r="429" spans="1:14" x14ac:dyDescent="0.2">
      <c r="A429" t="s">
        <v>35</v>
      </c>
      <c r="B429" t="s">
        <v>148</v>
      </c>
      <c r="C429" t="s">
        <v>122</v>
      </c>
      <c r="D429" t="s">
        <v>410</v>
      </c>
      <c r="E429" t="s">
        <v>173</v>
      </c>
      <c r="F429">
        <v>20</v>
      </c>
      <c r="G429" s="30" t="s">
        <v>356</v>
      </c>
      <c r="H429" s="2">
        <f>INDEX('Data sources'!G:G,MATCH(G429,'Data sources'!A:A,0),1)</f>
        <v>0.2201185822484337</v>
      </c>
      <c r="I429" s="2">
        <f>INDEX('Data sources'!J:J,MATCH(G429,'Data sources'!A:A,0),1)</f>
        <v>0.22144473697589778</v>
      </c>
      <c r="J429" s="2">
        <f>INDEX('Data sources'!R:R,MATCH(G429,'Data sources'!A:A,0),1)</f>
        <v>6.1071928683366004</v>
      </c>
      <c r="K429" s="2">
        <f>INDEX('Data sources'!S:S,MATCH(G429,'Data sources'!A:A,0),1)</f>
        <v>0</v>
      </c>
      <c r="L429" t="str">
        <f t="shared" si="6"/>
        <v>Production of paper or cardboard_Manufacture of household and sanitary goods and of toilet requisites</v>
      </c>
      <c r="M429">
        <f>INDEX('Data sources'!U:U,MATCH($G429,'Data sources'!$A:$A,0),1)</f>
        <v>0.8165774412482697</v>
      </c>
      <c r="N429">
        <f>INDEX('Data sources'!V:V,MATCH($G429,'Data sources'!$A:$A,0),1)</f>
        <v>0.94441452831676753</v>
      </c>
    </row>
    <row r="430" spans="1:14" x14ac:dyDescent="0.2">
      <c r="A430" s="2" t="s">
        <v>35</v>
      </c>
      <c r="D430" t="s">
        <v>410</v>
      </c>
      <c r="E430">
        <v>0</v>
      </c>
      <c r="G430" s="31" t="s">
        <v>356</v>
      </c>
      <c r="H430" s="2">
        <f>INDEX('Data sources'!G:G,MATCH(G430,'Data sources'!A:A,0),1)</f>
        <v>0.2201185822484337</v>
      </c>
      <c r="I430" s="2">
        <f>INDEX('Data sources'!J:J,MATCH(G430,'Data sources'!A:A,0),1)</f>
        <v>0.22144473697589778</v>
      </c>
      <c r="J430" s="2">
        <f>INDEX('Data sources'!R:R,MATCH(G430,'Data sources'!A:A,0),1)</f>
        <v>6.1071928683366004</v>
      </c>
      <c r="K430" s="2">
        <f>INDEX('Data sources'!S:S,MATCH(G430,'Data sources'!A:A,0),1)</f>
        <v>0</v>
      </c>
      <c r="L430" t="str">
        <f t="shared" si="6"/>
        <v>Production of paper or cardboard</v>
      </c>
      <c r="M430">
        <f>INDEX('Data sources'!U:U,MATCH($G430,'Data sources'!$A:$A,0),1)</f>
        <v>0.8165774412482697</v>
      </c>
      <c r="N430">
        <f>INDEX('Data sources'!V:V,MATCH($G430,'Data sources'!$A:$A,0),1)</f>
        <v>0.94441452831676753</v>
      </c>
    </row>
    <row r="431" spans="1:14" x14ac:dyDescent="0.2">
      <c r="A431" t="s">
        <v>21</v>
      </c>
      <c r="B431" t="s">
        <v>19</v>
      </c>
      <c r="C431" t="s">
        <v>6</v>
      </c>
      <c r="D431" t="s">
        <v>237</v>
      </c>
      <c r="E431" t="s">
        <v>237</v>
      </c>
      <c r="F431">
        <v>6</v>
      </c>
      <c r="G431" s="30" t="s">
        <v>352</v>
      </c>
      <c r="H431" s="2">
        <f>INDEX('Data sources'!G:G,MATCH(G431,'Data sources'!A:A,0),1)</f>
        <v>0.37</v>
      </c>
      <c r="I431" s="2">
        <f>INDEX('Data sources'!J:J,MATCH(G431,'Data sources'!A:A,0),1)</f>
        <v>0.28199999999999997</v>
      </c>
      <c r="J431" s="2">
        <f>INDEX('Data sources'!R:R,MATCH(G431,'Data sources'!A:A,0),1)</f>
        <v>2.4768000000000003</v>
      </c>
      <c r="K431" s="2">
        <f>INDEX('Data sources'!S:S,MATCH(G431,'Data sources'!A:A,0),1)</f>
        <v>0</v>
      </c>
      <c r="L431" t="str">
        <f t="shared" si="6"/>
        <v>Production of pig iron or steel_Casting of iron</v>
      </c>
      <c r="M431">
        <f>INDEX('Data sources'!U:U,MATCH($G431,'Data sources'!$A:$A,0),1)</f>
        <v>0.55465092775711555</v>
      </c>
      <c r="N431">
        <f>INDEX('Data sources'!V:V,MATCH($G431,'Data sources'!$A:$A,0),1)</f>
        <v>0.43306202258392729</v>
      </c>
    </row>
    <row r="432" spans="1:14" x14ac:dyDescent="0.2">
      <c r="A432" t="s">
        <v>21</v>
      </c>
      <c r="B432" t="s">
        <v>90</v>
      </c>
      <c r="C432" t="s">
        <v>6</v>
      </c>
      <c r="D432" t="s">
        <v>237</v>
      </c>
      <c r="E432" t="s">
        <v>237</v>
      </c>
      <c r="F432">
        <v>163</v>
      </c>
      <c r="G432" s="31" t="s">
        <v>377</v>
      </c>
      <c r="H432" s="2">
        <f>INDEX('Data sources'!G:G,MATCH(G432,'Data sources'!A:A,0),1)</f>
        <v>1.4950000000000001</v>
      </c>
      <c r="I432" s="2">
        <f>INDEX('Data sources'!J:J,MATCH(G432,'Data sources'!A:A,0),1)</f>
        <v>1.288</v>
      </c>
      <c r="J432" s="2">
        <f>INDEX('Data sources'!R:R,MATCH(G432,'Data sources'!A:A,0),1)</f>
        <v>14.976000000000001</v>
      </c>
      <c r="K432" s="2">
        <f>INDEX('Data sources'!S:S,MATCH(G432,'Data sources'!A:A,0),1)</f>
        <v>6.8039999999999985</v>
      </c>
      <c r="L432" t="str">
        <f t="shared" si="6"/>
        <v>Production of pig iron or steel_Manufacture of basic iron and steel and of ferro-alloys</v>
      </c>
      <c r="M432">
        <f>INDEX('Data sources'!U:U,MATCH($G432,'Data sources'!$A:$A,0),1)</f>
        <v>0.55465092775711555</v>
      </c>
      <c r="N432">
        <f>INDEX('Data sources'!V:V,MATCH($G432,'Data sources'!$A:$A,0),1)</f>
        <v>0.43306202258392729</v>
      </c>
    </row>
    <row r="433" spans="1:14" x14ac:dyDescent="0.2">
      <c r="A433" t="s">
        <v>21</v>
      </c>
      <c r="B433" t="s">
        <v>180</v>
      </c>
      <c r="C433" t="s">
        <v>65</v>
      </c>
      <c r="D433" t="s">
        <v>237</v>
      </c>
      <c r="E433" t="s">
        <v>237</v>
      </c>
      <c r="F433">
        <v>2</v>
      </c>
      <c r="G433" s="31" t="s">
        <v>377</v>
      </c>
      <c r="H433" s="2">
        <f>INDEX('Data sources'!G:G,MATCH(G433,'Data sources'!A:A,0),1)</f>
        <v>1.4950000000000001</v>
      </c>
      <c r="I433" s="2">
        <f>INDEX('Data sources'!J:J,MATCH(G433,'Data sources'!A:A,0),1)</f>
        <v>1.288</v>
      </c>
      <c r="J433" s="2">
        <f>INDEX('Data sources'!R:R,MATCH(G433,'Data sources'!A:A,0),1)</f>
        <v>14.976000000000001</v>
      </c>
      <c r="K433" s="2">
        <f>INDEX('Data sources'!S:S,MATCH(G433,'Data sources'!A:A,0),1)</f>
        <v>6.8039999999999985</v>
      </c>
      <c r="L433" t="str">
        <f t="shared" si="6"/>
        <v>Production of pig iron or steel_Manufacture of other fabricated metal products n.e.c.</v>
      </c>
      <c r="M433">
        <f>INDEX('Data sources'!U:U,MATCH($G433,'Data sources'!$A:$A,0),1)</f>
        <v>0.55465092775711555</v>
      </c>
      <c r="N433">
        <f>INDEX('Data sources'!V:V,MATCH($G433,'Data sources'!$A:$A,0),1)</f>
        <v>0.43306202258392729</v>
      </c>
    </row>
    <row r="434" spans="1:14" x14ac:dyDescent="0.2">
      <c r="A434" t="s">
        <v>21</v>
      </c>
      <c r="B434" t="s">
        <v>236</v>
      </c>
      <c r="C434" t="s">
        <v>6</v>
      </c>
      <c r="D434" t="s">
        <v>237</v>
      </c>
      <c r="E434" t="s">
        <v>237</v>
      </c>
      <c r="F434">
        <v>4</v>
      </c>
      <c r="G434" s="31" t="s">
        <v>440</v>
      </c>
      <c r="H434" s="2">
        <f>INDEX('Data sources'!G:G,MATCH(G434,'Data sources'!A:A,0),1)</f>
        <v>0.28693460797283676</v>
      </c>
      <c r="I434" s="2">
        <f>INDEX('Data sources'!J:J,MATCH(G434,'Data sources'!A:A,0),1)</f>
        <v>0.24234523094630439</v>
      </c>
      <c r="J434" s="2">
        <f>INDEX('Data sources'!R:R,MATCH(G434,'Data sources'!A:A,0),1)</f>
        <v>2.4768000000000003</v>
      </c>
      <c r="K434" s="2">
        <f>INDEX('Data sources'!S:S,MATCH(G434,'Data sources'!A:A,0),1)</f>
        <v>0</v>
      </c>
      <c r="L434" t="str">
        <f t="shared" si="6"/>
        <v>Production of pig iron or steel_Manufacture of tubes, pipes, hollow profiles and related fittings, of steel</v>
      </c>
      <c r="M434">
        <f>INDEX('Data sources'!U:U,MATCH($G434,'Data sources'!$A:$A,0),1)</f>
        <v>0.55465092775711555</v>
      </c>
      <c r="N434">
        <f>INDEX('Data sources'!V:V,MATCH($G434,'Data sources'!$A:$A,0),1)</f>
        <v>0.43306202258392729</v>
      </c>
    </row>
    <row r="435" spans="1:14" x14ac:dyDescent="0.2">
      <c r="A435" s="2" t="s">
        <v>21</v>
      </c>
      <c r="D435" t="s">
        <v>237</v>
      </c>
      <c r="E435">
        <v>0</v>
      </c>
      <c r="G435" s="31" t="s">
        <v>377</v>
      </c>
      <c r="H435" s="2">
        <f>INDEX('Data sources'!G:G,MATCH(G435,'Data sources'!A:A,0),1)</f>
        <v>1.4950000000000001</v>
      </c>
      <c r="I435" s="2">
        <f>INDEX('Data sources'!J:J,MATCH(G435,'Data sources'!A:A,0),1)</f>
        <v>1.288</v>
      </c>
      <c r="J435" s="2">
        <f>INDEX('Data sources'!R:R,MATCH(G435,'Data sources'!A:A,0),1)</f>
        <v>14.976000000000001</v>
      </c>
      <c r="K435" s="2">
        <f>INDEX('Data sources'!S:S,MATCH(G435,'Data sources'!A:A,0),1)</f>
        <v>6.8039999999999985</v>
      </c>
      <c r="L435" t="str">
        <f t="shared" si="6"/>
        <v>Production of pig iron or steel</v>
      </c>
      <c r="M435">
        <f>INDEX('Data sources'!U:U,MATCH($G435,'Data sources'!$A:$A,0),1)</f>
        <v>0.55465092775711555</v>
      </c>
      <c r="N435">
        <f>INDEX('Data sources'!V:V,MATCH($G435,'Data sources'!$A:$A,0),1)</f>
        <v>0.43306202258392729</v>
      </c>
    </row>
    <row r="436" spans="1:14" x14ac:dyDescent="0.2">
      <c r="A436" t="s">
        <v>4</v>
      </c>
      <c r="B436" t="s">
        <v>5</v>
      </c>
      <c r="C436" t="s">
        <v>6</v>
      </c>
      <c r="D436" t="s">
        <v>256</v>
      </c>
      <c r="E436" t="s">
        <v>7</v>
      </c>
      <c r="F436">
        <v>28</v>
      </c>
      <c r="G436" s="30" t="s">
        <v>324</v>
      </c>
      <c r="H436" s="2">
        <f>INDEX('Data sources'!G:G,MATCH(G436,'Data sources'!A:A,0),1)</f>
        <v>1.641</v>
      </c>
      <c r="I436" s="2">
        <f>INDEX('Data sources'!J:J,MATCH(G436,'Data sources'!A:A,0),1)</f>
        <v>1.464</v>
      </c>
      <c r="J436" s="2">
        <f>INDEX('Data sources'!R:R,MATCH(G436,'Data sources'!A:A,0),1)</f>
        <v>12.024000000000001</v>
      </c>
      <c r="K436" s="2">
        <f>INDEX('Data sources'!S:S,MATCH(G436,'Data sources'!A:A,0),1)</f>
        <v>0</v>
      </c>
      <c r="L436" t="str">
        <f t="shared" si="6"/>
        <v>Production of primary aluminium_Aluminium production</v>
      </c>
      <c r="M436">
        <f>INDEX('Data sources'!U:U,MATCH($G436,'Data sources'!$A:$A,0),1)</f>
        <v>0.83923856134650876</v>
      </c>
      <c r="N436">
        <f>INDEX('Data sources'!V:V,MATCH($G436,'Data sources'!$A:$A,0),1)</f>
        <v>0.99183492762409997</v>
      </c>
    </row>
    <row r="437" spans="1:14" x14ac:dyDescent="0.2">
      <c r="A437" s="2" t="s">
        <v>4</v>
      </c>
      <c r="D437" t="s">
        <v>409</v>
      </c>
      <c r="E437">
        <v>0</v>
      </c>
      <c r="G437" s="31" t="s">
        <v>324</v>
      </c>
      <c r="H437" s="2">
        <f>INDEX('Data sources'!G:G,MATCH(G437,'Data sources'!A:A,0),1)</f>
        <v>1.641</v>
      </c>
      <c r="I437" s="2">
        <f>INDEX('Data sources'!J:J,MATCH(G437,'Data sources'!A:A,0),1)</f>
        <v>1.464</v>
      </c>
      <c r="J437" s="2">
        <f>INDEX('Data sources'!R:R,MATCH(G437,'Data sources'!A:A,0),1)</f>
        <v>12.024000000000001</v>
      </c>
      <c r="K437" s="2">
        <f>INDEX('Data sources'!S:S,MATCH(G437,'Data sources'!A:A,0),1)</f>
        <v>0</v>
      </c>
      <c r="L437" t="str">
        <f t="shared" si="6"/>
        <v>Production of primary aluminium</v>
      </c>
      <c r="M437">
        <f>INDEX('Data sources'!U:U,MATCH($G437,'Data sources'!$A:$A,0),1)</f>
        <v>0.83923856134650876</v>
      </c>
      <c r="N437">
        <f>INDEX('Data sources'!V:V,MATCH($G437,'Data sources'!$A:$A,0),1)</f>
        <v>0.99183492762409997</v>
      </c>
    </row>
    <row r="438" spans="1:14" x14ac:dyDescent="0.2">
      <c r="A438" t="s">
        <v>124</v>
      </c>
      <c r="B438" t="s">
        <v>162</v>
      </c>
      <c r="C438" t="s">
        <v>95</v>
      </c>
      <c r="D438" t="s">
        <v>95</v>
      </c>
      <c r="E438" t="s">
        <v>95</v>
      </c>
      <c r="F438">
        <v>1</v>
      </c>
      <c r="G438" s="30" t="s">
        <v>335</v>
      </c>
      <c r="H438" s="2">
        <f>INDEX('Data sources'!G:G,MATCH(G438,'Data sources'!A:A,0),1)</f>
        <v>0.49494039340491602</v>
      </c>
      <c r="I438" s="2">
        <f>INDEX('Data sources'!J:J,MATCH(G438,'Data sources'!A:A,0),1)</f>
        <v>0.76276347235126118</v>
      </c>
      <c r="J438" s="2">
        <f>INDEX('Data sources'!R:R,MATCH(G438,'Data sources'!A:A,0),1)</f>
        <v>6.0728236366858992</v>
      </c>
      <c r="K438" s="2">
        <f>INDEX('Data sources'!S:S,MATCH(G438,'Data sources'!A:A,0),1)</f>
        <v>0</v>
      </c>
      <c r="L438" t="str">
        <f t="shared" si="6"/>
        <v>Production of pulp_Manufacture of man-made fibres</v>
      </c>
      <c r="M438">
        <f>INDEX('Data sources'!U:U,MATCH($G438,'Data sources'!$A:$A,0),1)</f>
        <v>0.84137119305744412</v>
      </c>
      <c r="N438">
        <f>INDEX('Data sources'!V:V,MATCH($G438,'Data sources'!$A:$A,0),1)</f>
        <v>0.86357922057787206</v>
      </c>
    </row>
    <row r="439" spans="1:14" x14ac:dyDescent="0.2">
      <c r="A439" t="s">
        <v>124</v>
      </c>
      <c r="B439" t="s">
        <v>191</v>
      </c>
      <c r="C439" t="s">
        <v>95</v>
      </c>
      <c r="D439" t="s">
        <v>95</v>
      </c>
      <c r="E439" t="s">
        <v>95</v>
      </c>
      <c r="F439">
        <v>1</v>
      </c>
      <c r="G439" s="30" t="s">
        <v>348</v>
      </c>
      <c r="H439" s="2">
        <f>INDEX('Data sources'!G:G,MATCH(G439,'Data sources'!A:A,0),1)</f>
        <v>0.7451576638020061</v>
      </c>
      <c r="I439" s="2">
        <f>INDEX('Data sources'!J:J,MATCH(G439,'Data sources'!A:A,0),1)</f>
        <v>0.6864801988122935</v>
      </c>
      <c r="J439" s="2">
        <f>INDEX('Data sources'!R:R,MATCH(G439,'Data sources'!A:A,0),1)</f>
        <v>2.1991404818942466</v>
      </c>
      <c r="K439" s="2">
        <f>INDEX('Data sources'!S:S,MATCH(G439,'Data sources'!A:A,0),1)</f>
        <v>40.412685922642247</v>
      </c>
      <c r="L439" t="str">
        <f t="shared" si="6"/>
        <v>Production of pulp_Manufacture of other organic basic chemicals</v>
      </c>
      <c r="M439">
        <f>INDEX('Data sources'!U:U,MATCH($G439,'Data sources'!$A:$A,0),1)</f>
        <v>0.84137119305744434</v>
      </c>
      <c r="N439">
        <f>INDEX('Data sources'!V:V,MATCH($G439,'Data sources'!$A:$A,0),1)</f>
        <v>0.86357922057787184</v>
      </c>
    </row>
    <row r="440" spans="1:14" x14ac:dyDescent="0.2">
      <c r="A440" t="s">
        <v>124</v>
      </c>
      <c r="B440" t="s">
        <v>121</v>
      </c>
      <c r="C440" t="s">
        <v>122</v>
      </c>
      <c r="D440" t="s">
        <v>410</v>
      </c>
      <c r="E440" t="s">
        <v>123</v>
      </c>
      <c r="F440">
        <v>4</v>
      </c>
      <c r="G440" s="30" t="s">
        <v>328</v>
      </c>
      <c r="H440" s="2">
        <f>INDEX('Data sources'!G:G,MATCH(G440,'Data sources'!A:A,0),1)</f>
        <v>0.20263440019098061</v>
      </c>
      <c r="I440" s="2">
        <f>INDEX('Data sources'!J:J,MATCH(G440,'Data sources'!A:A,0),1)</f>
        <v>0.19255330027571974</v>
      </c>
      <c r="J440" s="2">
        <f>INDEX('Data sources'!R:R,MATCH(G440,'Data sources'!A:A,0),1)</f>
        <v>4.968</v>
      </c>
      <c r="K440" s="2">
        <f>INDEX('Data sources'!S:S,MATCH(G440,'Data sources'!A:A,0),1)</f>
        <v>0</v>
      </c>
      <c r="L440" t="str">
        <f t="shared" si="6"/>
        <v>Production of pulp_Manufacture of corrugated paper and paperboard and of containers of paper and paperboard</v>
      </c>
      <c r="M440">
        <f>INDEX('Data sources'!U:U,MATCH($G440,'Data sources'!$A:$A,0),1)</f>
        <v>0.81657744124826948</v>
      </c>
      <c r="N440">
        <f>INDEX('Data sources'!V:V,MATCH($G440,'Data sources'!$A:$A,0),1)</f>
        <v>0.94441452831676742</v>
      </c>
    </row>
    <row r="441" spans="1:14" x14ac:dyDescent="0.2">
      <c r="A441" t="s">
        <v>124</v>
      </c>
      <c r="B441" t="s">
        <v>170</v>
      </c>
      <c r="C441" t="s">
        <v>62</v>
      </c>
      <c r="D441" t="s">
        <v>403</v>
      </c>
      <c r="E441" t="s">
        <v>15</v>
      </c>
      <c r="F441">
        <v>1</v>
      </c>
      <c r="G441" s="30" t="s">
        <v>325</v>
      </c>
      <c r="H441" s="2">
        <f>INDEX('Data sources'!G:G,MATCH(G441,'Data sources'!A:A,0),1)</f>
        <v>5.79E-2</v>
      </c>
      <c r="I441" s="2">
        <f>INDEX('Data sources'!J:J,MATCH(G441,'Data sources'!A:A,0),1)</f>
        <v>4.2599999999999999E-2</v>
      </c>
      <c r="J441" s="2">
        <f>INDEX('Data sources'!R:R,MATCH(G441,'Data sources'!A:A,0),1)</f>
        <v>1</v>
      </c>
      <c r="K441" s="2">
        <f>INDEX('Data sources'!S:S,MATCH(G441,'Data sources'!A:A,0),1)</f>
        <v>0</v>
      </c>
      <c r="L441" t="str">
        <f t="shared" si="6"/>
        <v>Production of pulp_Manufacture of non-wovens and articles made from non-wovens, except apparel</v>
      </c>
      <c r="M441">
        <f>INDEX('Data sources'!U:U,MATCH($G441,'Data sources'!$A:$A,0),1)</f>
        <v>0.78416348147957027</v>
      </c>
      <c r="N441">
        <f>INDEX('Data sources'!V:V,MATCH($G441,'Data sources'!$A:$A,0),1)</f>
        <v>0.72535139859924458</v>
      </c>
    </row>
    <row r="442" spans="1:14" x14ac:dyDescent="0.2">
      <c r="A442" t="s">
        <v>124</v>
      </c>
      <c r="B442" t="s">
        <v>238</v>
      </c>
      <c r="C442" t="s">
        <v>89</v>
      </c>
      <c r="D442" t="s">
        <v>403</v>
      </c>
      <c r="E442" t="s">
        <v>15</v>
      </c>
      <c r="F442">
        <v>1</v>
      </c>
      <c r="G442" s="30" t="s">
        <v>325</v>
      </c>
      <c r="H442" s="2">
        <f>INDEX('Data sources'!G:G,MATCH(G442,'Data sources'!A:A,0),1)</f>
        <v>5.79E-2</v>
      </c>
      <c r="I442" s="2">
        <f>INDEX('Data sources'!J:J,MATCH(G442,'Data sources'!A:A,0),1)</f>
        <v>4.2599999999999999E-2</v>
      </c>
      <c r="J442" s="2">
        <f>INDEX('Data sources'!R:R,MATCH(G442,'Data sources'!A:A,0),1)</f>
        <v>1</v>
      </c>
      <c r="K442" s="2">
        <f>INDEX('Data sources'!S:S,MATCH(G442,'Data sources'!A:A,0),1)</f>
        <v>0</v>
      </c>
      <c r="L442" t="str">
        <f t="shared" si="6"/>
        <v>Production of pulp_Manufacture of veneer sheets and wood-based panels</v>
      </c>
      <c r="M442">
        <f>INDEX('Data sources'!U:U,MATCH($G442,'Data sources'!$A:$A,0),1)</f>
        <v>0.78416348147957027</v>
      </c>
      <c r="N442">
        <f>INDEX('Data sources'!V:V,MATCH($G442,'Data sources'!$A:$A,0),1)</f>
        <v>0.72535139859924458</v>
      </c>
    </row>
    <row r="443" spans="1:14" x14ac:dyDescent="0.2">
      <c r="A443" t="s">
        <v>124</v>
      </c>
      <c r="B443" t="s">
        <v>208</v>
      </c>
      <c r="C443" t="s">
        <v>122</v>
      </c>
      <c r="D443" t="s">
        <v>410</v>
      </c>
      <c r="E443" t="s">
        <v>173</v>
      </c>
      <c r="F443">
        <v>78</v>
      </c>
      <c r="G443" s="30" t="s">
        <v>356</v>
      </c>
      <c r="H443" s="2">
        <f>INDEX('Data sources'!G:G,MATCH(G443,'Data sources'!A:A,0),1)</f>
        <v>0.2201185822484337</v>
      </c>
      <c r="I443" s="2">
        <f>INDEX('Data sources'!J:J,MATCH(G443,'Data sources'!A:A,0),1)</f>
        <v>0.22144473697589778</v>
      </c>
      <c r="J443" s="2">
        <f>INDEX('Data sources'!R:R,MATCH(G443,'Data sources'!A:A,0),1)</f>
        <v>6.1071928683366004</v>
      </c>
      <c r="K443" s="2">
        <f>INDEX('Data sources'!S:S,MATCH(G443,'Data sources'!A:A,0),1)</f>
        <v>0</v>
      </c>
      <c r="L443" t="str">
        <f t="shared" si="6"/>
        <v>Production of pulp_Manufacture of paper and paperboard</v>
      </c>
      <c r="M443">
        <f>INDEX('Data sources'!U:U,MATCH($G443,'Data sources'!$A:$A,0),1)</f>
        <v>0.8165774412482697</v>
      </c>
      <c r="N443">
        <f>INDEX('Data sources'!V:V,MATCH($G443,'Data sources'!$A:$A,0),1)</f>
        <v>0.94441452831676753</v>
      </c>
    </row>
    <row r="444" spans="1:14" x14ac:dyDescent="0.2">
      <c r="A444" t="s">
        <v>124</v>
      </c>
      <c r="B444" t="s">
        <v>282</v>
      </c>
      <c r="C444" t="s">
        <v>44</v>
      </c>
      <c r="D444" t="s">
        <v>45</v>
      </c>
      <c r="E444" t="s">
        <v>45</v>
      </c>
      <c r="F444">
        <v>1</v>
      </c>
      <c r="G444" s="30" t="s">
        <v>325</v>
      </c>
      <c r="H444" s="2">
        <f>INDEX('Data sources'!G:G,MATCH(G444,'Data sources'!A:A,0),1)</f>
        <v>5.79E-2</v>
      </c>
      <c r="I444" s="2">
        <f>INDEX('Data sources'!J:J,MATCH(G444,'Data sources'!A:A,0),1)</f>
        <v>4.2599999999999999E-2</v>
      </c>
      <c r="J444" s="2">
        <f>INDEX('Data sources'!R:R,MATCH(G444,'Data sources'!A:A,0),1)</f>
        <v>1</v>
      </c>
      <c r="K444" s="2">
        <f>INDEX('Data sources'!S:S,MATCH(G444,'Data sources'!A:A,0),1)</f>
        <v>0</v>
      </c>
      <c r="L444" t="str">
        <f t="shared" si="6"/>
        <v>Production of pulp_Production of electricity</v>
      </c>
      <c r="M444">
        <f>INDEX('Data sources'!U:U,MATCH($G444,'Data sources'!$A:$A,0),1)</f>
        <v>0.78416348147957027</v>
      </c>
      <c r="N444">
        <f>INDEX('Data sources'!V:V,MATCH($G444,'Data sources'!$A:$A,0),1)</f>
        <v>0.72535139859924458</v>
      </c>
    </row>
    <row r="445" spans="1:14" x14ac:dyDescent="0.2">
      <c r="A445" t="s">
        <v>124</v>
      </c>
      <c r="B445" t="s">
        <v>220</v>
      </c>
      <c r="C445" t="s">
        <v>122</v>
      </c>
      <c r="D445" t="s">
        <v>410</v>
      </c>
      <c r="E445" t="s">
        <v>221</v>
      </c>
      <c r="F445">
        <v>47</v>
      </c>
      <c r="G445" s="30" t="s">
        <v>330</v>
      </c>
      <c r="H445" s="2">
        <f>INDEX('Data sources'!G:G,MATCH(G445,'Data sources'!A:A,0),1)</f>
        <v>7.0004406322813018E-2</v>
      </c>
      <c r="I445" s="2">
        <f>INDEX('Data sources'!J:J,MATCH(G445,'Data sources'!A:A,0),1)</f>
        <v>4.658929294687298E-2</v>
      </c>
      <c r="J445" s="2">
        <f>INDEX('Data sources'!R:R,MATCH(G445,'Data sources'!A:A,0),1)</f>
        <v>3.2582614424994669</v>
      </c>
      <c r="K445" s="2">
        <f>INDEX('Data sources'!S:S,MATCH(G445,'Data sources'!A:A,0),1)</f>
        <v>0</v>
      </c>
      <c r="L445" t="str">
        <f t="shared" si="6"/>
        <v>Production of pulp_Manufacture of pulp</v>
      </c>
      <c r="M445">
        <f>INDEX('Data sources'!U:U,MATCH($G445,'Data sources'!$A:$A,0),1)</f>
        <v>0.81657744124826959</v>
      </c>
      <c r="N445">
        <f>INDEX('Data sources'!V:V,MATCH($G445,'Data sources'!$A:$A,0),1)</f>
        <v>0.94441452831676742</v>
      </c>
    </row>
    <row r="446" spans="1:14" x14ac:dyDescent="0.2">
      <c r="A446" t="s">
        <v>124</v>
      </c>
      <c r="B446" t="s">
        <v>148</v>
      </c>
      <c r="C446" t="s">
        <v>122</v>
      </c>
      <c r="D446" t="s">
        <v>410</v>
      </c>
      <c r="E446" t="s">
        <v>173</v>
      </c>
      <c r="F446">
        <v>9</v>
      </c>
      <c r="G446" s="30" t="s">
        <v>356</v>
      </c>
      <c r="H446" s="2">
        <f>INDEX('Data sources'!G:G,MATCH(G446,'Data sources'!A:A,0),1)</f>
        <v>0.2201185822484337</v>
      </c>
      <c r="I446" s="2">
        <f>INDEX('Data sources'!J:J,MATCH(G446,'Data sources'!A:A,0),1)</f>
        <v>0.22144473697589778</v>
      </c>
      <c r="J446" s="2">
        <f>INDEX('Data sources'!R:R,MATCH(G446,'Data sources'!A:A,0),1)</f>
        <v>6.1071928683366004</v>
      </c>
      <c r="K446" s="2">
        <f>INDEX('Data sources'!S:S,MATCH(G446,'Data sources'!A:A,0),1)</f>
        <v>0</v>
      </c>
      <c r="L446" t="str">
        <f t="shared" si="6"/>
        <v>Production of pulp_Manufacture of household and sanitary goods and of toilet requisites</v>
      </c>
      <c r="M446">
        <f>INDEX('Data sources'!U:U,MATCH($G446,'Data sources'!$A:$A,0),1)</f>
        <v>0.8165774412482697</v>
      </c>
      <c r="N446">
        <f>INDEX('Data sources'!V:V,MATCH($G446,'Data sources'!$A:$A,0),1)</f>
        <v>0.94441452831676753</v>
      </c>
    </row>
    <row r="447" spans="1:14" x14ac:dyDescent="0.2">
      <c r="A447" s="2" t="s">
        <v>124</v>
      </c>
      <c r="D447" t="s">
        <v>410</v>
      </c>
      <c r="E447">
        <v>0</v>
      </c>
      <c r="G447" s="31" t="s">
        <v>330</v>
      </c>
      <c r="H447" s="2">
        <f>INDEX('Data sources'!G:G,MATCH(G447,'Data sources'!A:A,0),1)</f>
        <v>7.0004406322813018E-2</v>
      </c>
      <c r="I447" s="2">
        <f>INDEX('Data sources'!J:J,MATCH(G447,'Data sources'!A:A,0),1)</f>
        <v>4.658929294687298E-2</v>
      </c>
      <c r="J447" s="2">
        <f>INDEX('Data sources'!R:R,MATCH(G447,'Data sources'!A:A,0),1)</f>
        <v>3.2582614424994669</v>
      </c>
      <c r="K447" s="2">
        <f>INDEX('Data sources'!S:S,MATCH(G447,'Data sources'!A:A,0),1)</f>
        <v>0</v>
      </c>
      <c r="L447" t="str">
        <f t="shared" si="6"/>
        <v>Production of pulp</v>
      </c>
      <c r="M447">
        <f>INDEX('Data sources'!U:U,MATCH($G447,'Data sources'!$A:$A,0),1)</f>
        <v>0.81657744124826959</v>
      </c>
      <c r="N447">
        <f>INDEX('Data sources'!V:V,MATCH($G447,'Data sources'!$A:$A,0),1)</f>
        <v>0.94441452831676742</v>
      </c>
    </row>
    <row r="448" spans="1:14" x14ac:dyDescent="0.2">
      <c r="A448" t="s">
        <v>8</v>
      </c>
      <c r="B448" t="s">
        <v>5</v>
      </c>
      <c r="C448" t="s">
        <v>6</v>
      </c>
      <c r="D448" t="s">
        <v>256</v>
      </c>
      <c r="E448" t="s">
        <v>7</v>
      </c>
      <c r="F448">
        <v>18</v>
      </c>
      <c r="G448" s="30" t="s">
        <v>324</v>
      </c>
      <c r="H448" s="2">
        <f>INDEX('Data sources'!G:G,MATCH(G448,'Data sources'!A:A,0),1)</f>
        <v>1.641</v>
      </c>
      <c r="I448" s="2">
        <f>INDEX('Data sources'!J:J,MATCH(G448,'Data sources'!A:A,0),1)</f>
        <v>1.464</v>
      </c>
      <c r="J448" s="2">
        <f>INDEX('Data sources'!R:R,MATCH(G448,'Data sources'!A:A,0),1)</f>
        <v>12.024000000000001</v>
      </c>
      <c r="K448" s="2">
        <f>INDEX('Data sources'!S:S,MATCH(G448,'Data sources'!A:A,0),1)</f>
        <v>0</v>
      </c>
      <c r="L448" t="str">
        <f t="shared" si="6"/>
        <v>Production of secondary aluminium_Aluminium production</v>
      </c>
      <c r="M448">
        <f>INDEX('Data sources'!U:U,MATCH($G448,'Data sources'!$A:$A,0),1)</f>
        <v>0.83923856134650876</v>
      </c>
      <c r="N448">
        <f>INDEX('Data sources'!V:V,MATCH($G448,'Data sources'!$A:$A,0),1)</f>
        <v>0.99183492762409997</v>
      </c>
    </row>
    <row r="449" spans="1:14" x14ac:dyDescent="0.2">
      <c r="A449" t="s">
        <v>8</v>
      </c>
      <c r="B449" t="s">
        <v>22</v>
      </c>
      <c r="C449" t="s">
        <v>6</v>
      </c>
      <c r="D449" t="s">
        <v>256</v>
      </c>
      <c r="E449" t="s">
        <v>256</v>
      </c>
      <c r="F449">
        <v>6</v>
      </c>
      <c r="G449" s="30" t="s">
        <v>354</v>
      </c>
      <c r="H449" s="2">
        <f>INDEX('Data sources'!G:G,MATCH(G449,'Data sources'!A:A,0),1)</f>
        <v>1.6536666666666668</v>
      </c>
      <c r="I449" s="2">
        <f>INDEX('Data sources'!J:J,MATCH(G449,'Data sources'!A:A,0),1)</f>
        <v>1.5946666666666667</v>
      </c>
      <c r="J449" s="2">
        <f>INDEX('Data sources'!R:R,MATCH(G449,'Data sources'!A:A,0),1)</f>
        <v>2.2680000000000002</v>
      </c>
      <c r="K449" s="2">
        <f>INDEX('Data sources'!S:S,MATCH(G449,'Data sources'!A:A,0),1)</f>
        <v>0</v>
      </c>
      <c r="L449" t="str">
        <f t="shared" si="6"/>
        <v>Production of secondary aluminium_Casting of light metals</v>
      </c>
      <c r="M449">
        <f>INDEX('Data sources'!U:U,MATCH($G449,'Data sources'!$A:$A,0),1)</f>
        <v>0.83923856134650876</v>
      </c>
      <c r="N449">
        <f>INDEX('Data sources'!V:V,MATCH($G449,'Data sources'!$A:$A,0),1)</f>
        <v>0.99183492762409997</v>
      </c>
    </row>
    <row r="450" spans="1:14" x14ac:dyDescent="0.2">
      <c r="A450" s="2" t="s">
        <v>8</v>
      </c>
      <c r="D450" t="s">
        <v>409</v>
      </c>
      <c r="E450">
        <v>0</v>
      </c>
      <c r="G450" s="31" t="s">
        <v>324</v>
      </c>
      <c r="H450" s="2">
        <f>INDEX('Data sources'!G:G,MATCH(G450,'Data sources'!A:A,0),1)</f>
        <v>1.641</v>
      </c>
      <c r="I450" s="2">
        <f>INDEX('Data sources'!J:J,MATCH(G450,'Data sources'!A:A,0),1)</f>
        <v>1.464</v>
      </c>
      <c r="J450" s="2">
        <f>INDEX('Data sources'!R:R,MATCH(G450,'Data sources'!A:A,0),1)</f>
        <v>12.024000000000001</v>
      </c>
      <c r="K450" s="2">
        <f>INDEX('Data sources'!S:S,MATCH(G450,'Data sources'!A:A,0),1)</f>
        <v>0</v>
      </c>
      <c r="L450" t="str">
        <f t="shared" ref="L450:L492" si="7">IF(B450="",A450,A450&amp;"_"&amp;B450)</f>
        <v>Production of secondary aluminium</v>
      </c>
      <c r="M450">
        <f>INDEX('Data sources'!U:U,MATCH($G450,'Data sources'!$A:$A,0),1)</f>
        <v>0.83923856134650876</v>
      </c>
      <c r="N450">
        <f>INDEX('Data sources'!V:V,MATCH($G450,'Data sources'!$A:$A,0),1)</f>
        <v>0.99183492762409997</v>
      </c>
    </row>
    <row r="451" spans="1:14" x14ac:dyDescent="0.2">
      <c r="A451" t="s">
        <v>187</v>
      </c>
      <c r="B451" t="s">
        <v>185</v>
      </c>
      <c r="C451" t="s">
        <v>95</v>
      </c>
      <c r="D451" t="s">
        <v>95</v>
      </c>
      <c r="E451" t="s">
        <v>95</v>
      </c>
      <c r="F451">
        <v>11</v>
      </c>
      <c r="G451" s="30" t="s">
        <v>347</v>
      </c>
      <c r="H451" s="2">
        <f>INDEX('Data sources'!G:G,MATCH(G451,'Data sources'!A:A,0),1)</f>
        <v>0.94499999999999995</v>
      </c>
      <c r="I451" s="2">
        <f>INDEX('Data sources'!J:J,MATCH(G451,'Data sources'!A:A,0),1)</f>
        <v>0.753</v>
      </c>
      <c r="J451" s="2">
        <f>INDEX('Data sources'!R:R,MATCH(G451,'Data sources'!A:A,0),1)</f>
        <v>11.303999999999998</v>
      </c>
      <c r="K451" s="2">
        <f>INDEX('Data sources'!S:S,MATCH(G451,'Data sources'!A:A,0),1)</f>
        <v>0</v>
      </c>
      <c r="L451" t="str">
        <f t="shared" si="7"/>
        <v>Production of soda ash and sodium bicarbonate_Manufacture of other inorganic basic chemicals</v>
      </c>
      <c r="M451">
        <f>INDEX('Data sources'!U:U,MATCH($G451,'Data sources'!$A:$A,0),1)</f>
        <v>0.84137119305744412</v>
      </c>
      <c r="N451">
        <f>INDEX('Data sources'!V:V,MATCH($G451,'Data sources'!$A:$A,0),1)</f>
        <v>0.86357922057787195</v>
      </c>
    </row>
    <row r="452" spans="1:14" x14ac:dyDescent="0.2">
      <c r="A452" s="2" t="s">
        <v>187</v>
      </c>
      <c r="D452" t="s">
        <v>95</v>
      </c>
      <c r="E452">
        <v>0</v>
      </c>
      <c r="G452" s="31" t="s">
        <v>368</v>
      </c>
      <c r="H452" s="2">
        <f>INDEX('Data sources'!G:G,MATCH(G452,'Data sources'!A:A,0),1)</f>
        <v>0.94499999999999995</v>
      </c>
      <c r="I452" s="2">
        <f>INDEX('Data sources'!J:J,MATCH(G452,'Data sources'!A:A,0),1)</f>
        <v>0.753</v>
      </c>
      <c r="J452" s="2">
        <f>INDEX('Data sources'!R:R,MATCH(G452,'Data sources'!A:A,0),1)</f>
        <v>11.303999999999998</v>
      </c>
      <c r="K452" s="2">
        <f>INDEX('Data sources'!S:S,MATCH(G452,'Data sources'!A:A,0),1)</f>
        <v>0</v>
      </c>
      <c r="L452" t="str">
        <f t="shared" si="7"/>
        <v>Production of soda ash and sodium bicarbonate</v>
      </c>
      <c r="M452">
        <f>INDEX('Data sources'!U:U,MATCH($G452,'Data sources'!$A:$A,0),1)</f>
        <v>0.84137119305744412</v>
      </c>
      <c r="N452">
        <f>INDEX('Data sources'!V:V,MATCH($G452,'Data sources'!$A:$A,0),1)</f>
        <v>0.86357922057787195</v>
      </c>
    </row>
    <row r="453" spans="1:14" x14ac:dyDescent="0.2">
      <c r="A453" t="s">
        <v>18</v>
      </c>
      <c r="B453" t="s">
        <v>23</v>
      </c>
      <c r="C453" t="s">
        <v>6</v>
      </c>
      <c r="D453" t="s">
        <v>237</v>
      </c>
      <c r="E453" t="s">
        <v>237</v>
      </c>
      <c r="F453">
        <v>1</v>
      </c>
      <c r="G453" s="31" t="s">
        <v>440</v>
      </c>
      <c r="H453" s="2">
        <f>INDEX('Data sources'!G:G,MATCH(G453,'Data sources'!A:A,0),1)</f>
        <v>0.28693460797283676</v>
      </c>
      <c r="I453" s="2">
        <f>INDEX('Data sources'!J:J,MATCH(G453,'Data sources'!A:A,0),1)</f>
        <v>0.24234523094630439</v>
      </c>
      <c r="J453" s="2">
        <f>INDEX('Data sources'!R:R,MATCH(G453,'Data sources'!A:A,0),1)</f>
        <v>2.4768000000000003</v>
      </c>
      <c r="K453" s="2">
        <f>INDEX('Data sources'!S:S,MATCH(G453,'Data sources'!A:A,0),1)</f>
        <v>0</v>
      </c>
      <c r="L453" t="str">
        <f t="shared" si="7"/>
        <v>Production or processing of ferrous metals_Cold drawing of bars</v>
      </c>
      <c r="M453">
        <f>INDEX('Data sources'!U:U,MATCH($G453,'Data sources'!$A:$A,0),1)</f>
        <v>0.55465092775711555</v>
      </c>
      <c r="N453">
        <f>INDEX('Data sources'!V:V,MATCH($G453,'Data sources'!$A:$A,0),1)</f>
        <v>0.43306202258392729</v>
      </c>
    </row>
    <row r="454" spans="1:14" x14ac:dyDescent="0.2">
      <c r="A454" t="s">
        <v>18</v>
      </c>
      <c r="B454" t="s">
        <v>24</v>
      </c>
      <c r="C454" t="s">
        <v>6</v>
      </c>
      <c r="D454" t="s">
        <v>237</v>
      </c>
      <c r="E454" t="s">
        <v>237</v>
      </c>
      <c r="F454">
        <v>1</v>
      </c>
      <c r="G454" s="31" t="s">
        <v>440</v>
      </c>
      <c r="H454" s="2">
        <f>INDEX('Data sources'!G:G,MATCH(G454,'Data sources'!A:A,0),1)</f>
        <v>0.28693460797283676</v>
      </c>
      <c r="I454" s="2">
        <f>INDEX('Data sources'!J:J,MATCH(G454,'Data sources'!A:A,0),1)</f>
        <v>0.24234523094630439</v>
      </c>
      <c r="J454" s="2">
        <f>INDEX('Data sources'!R:R,MATCH(G454,'Data sources'!A:A,0),1)</f>
        <v>2.4768000000000003</v>
      </c>
      <c r="K454" s="2">
        <f>INDEX('Data sources'!S:S,MATCH(G454,'Data sources'!A:A,0),1)</f>
        <v>0</v>
      </c>
      <c r="L454" t="str">
        <f t="shared" si="7"/>
        <v>Production or processing of ferrous metals_Cold drawing of wire</v>
      </c>
      <c r="M454">
        <f>INDEX('Data sources'!U:U,MATCH($G454,'Data sources'!$A:$A,0),1)</f>
        <v>0.55465092775711555</v>
      </c>
      <c r="N454">
        <f>INDEX('Data sources'!V:V,MATCH($G454,'Data sources'!$A:$A,0),1)</f>
        <v>0.43306202258392729</v>
      </c>
    </row>
    <row r="455" spans="1:14" x14ac:dyDescent="0.2">
      <c r="A455" t="s">
        <v>18</v>
      </c>
      <c r="B455" t="s">
        <v>25</v>
      </c>
      <c r="C455" t="s">
        <v>6</v>
      </c>
      <c r="D455" t="s">
        <v>237</v>
      </c>
      <c r="E455" t="s">
        <v>237</v>
      </c>
      <c r="F455">
        <v>2</v>
      </c>
      <c r="G455" s="31" t="s">
        <v>440</v>
      </c>
      <c r="H455" s="2">
        <f>INDEX('Data sources'!G:G,MATCH(G455,'Data sources'!A:A,0),1)</f>
        <v>0.28693460797283676</v>
      </c>
      <c r="I455" s="2">
        <f>INDEX('Data sources'!J:J,MATCH(G455,'Data sources'!A:A,0),1)</f>
        <v>0.24234523094630439</v>
      </c>
      <c r="J455" s="2">
        <f>INDEX('Data sources'!R:R,MATCH(G455,'Data sources'!A:A,0),1)</f>
        <v>2.4768000000000003</v>
      </c>
      <c r="K455" s="2">
        <f>INDEX('Data sources'!S:S,MATCH(G455,'Data sources'!A:A,0),1)</f>
        <v>0</v>
      </c>
      <c r="L455" t="str">
        <f t="shared" si="7"/>
        <v>Production or processing of ferrous metals_Cold forming or folding</v>
      </c>
      <c r="M455">
        <f>INDEX('Data sources'!U:U,MATCH($G455,'Data sources'!$A:$A,0),1)</f>
        <v>0.55465092775711555</v>
      </c>
      <c r="N455">
        <f>INDEX('Data sources'!V:V,MATCH($G455,'Data sources'!$A:$A,0),1)</f>
        <v>0.43306202258392729</v>
      </c>
    </row>
    <row r="456" spans="1:14" x14ac:dyDescent="0.2">
      <c r="A456" t="s">
        <v>18</v>
      </c>
      <c r="B456" t="s">
        <v>26</v>
      </c>
      <c r="C456" t="s">
        <v>6</v>
      </c>
      <c r="D456" t="s">
        <v>237</v>
      </c>
      <c r="E456" t="s">
        <v>237</v>
      </c>
      <c r="F456">
        <v>1</v>
      </c>
      <c r="G456" s="31" t="s">
        <v>440</v>
      </c>
      <c r="H456" s="2">
        <f>INDEX('Data sources'!G:G,MATCH(G456,'Data sources'!A:A,0),1)</f>
        <v>0.28693460797283676</v>
      </c>
      <c r="I456" s="2">
        <f>INDEX('Data sources'!J:J,MATCH(G456,'Data sources'!A:A,0),1)</f>
        <v>0.24234523094630439</v>
      </c>
      <c r="J456" s="2">
        <f>INDEX('Data sources'!R:R,MATCH(G456,'Data sources'!A:A,0),1)</f>
        <v>2.4768000000000003</v>
      </c>
      <c r="K456" s="2">
        <f>INDEX('Data sources'!S:S,MATCH(G456,'Data sources'!A:A,0),1)</f>
        <v>0</v>
      </c>
      <c r="L456" t="str">
        <f t="shared" si="7"/>
        <v>Production or processing of ferrous metals_Cold rolling of narrow strip</v>
      </c>
      <c r="M456">
        <f>INDEX('Data sources'!U:U,MATCH($G456,'Data sources'!$A:$A,0),1)</f>
        <v>0.55465092775711555</v>
      </c>
      <c r="N456">
        <f>INDEX('Data sources'!V:V,MATCH($G456,'Data sources'!$A:$A,0),1)</f>
        <v>0.43306202258392729</v>
      </c>
    </row>
    <row r="457" spans="1:14" x14ac:dyDescent="0.2">
      <c r="A457" t="s">
        <v>18</v>
      </c>
      <c r="B457" t="s">
        <v>64</v>
      </c>
      <c r="C457" t="s">
        <v>65</v>
      </c>
      <c r="D457" t="s">
        <v>237</v>
      </c>
      <c r="E457" t="s">
        <v>237</v>
      </c>
      <c r="F457">
        <v>21</v>
      </c>
      <c r="G457" s="31" t="s">
        <v>440</v>
      </c>
      <c r="H457" s="2">
        <f>INDEX('Data sources'!G:G,MATCH(G457,'Data sources'!A:A,0),1)</f>
        <v>0.28693460797283676</v>
      </c>
      <c r="I457" s="2">
        <f>INDEX('Data sources'!J:J,MATCH(G457,'Data sources'!A:A,0),1)</f>
        <v>0.24234523094630439</v>
      </c>
      <c r="J457" s="2">
        <f>INDEX('Data sources'!R:R,MATCH(G457,'Data sources'!A:A,0),1)</f>
        <v>2.4768000000000003</v>
      </c>
      <c r="K457" s="2">
        <f>INDEX('Data sources'!S:S,MATCH(G457,'Data sources'!A:A,0),1)</f>
        <v>0</v>
      </c>
      <c r="L457" t="str">
        <f t="shared" si="7"/>
        <v>Production or processing of ferrous metals_Forging, pressing, stamping and roll-forming of metal</v>
      </c>
      <c r="M457">
        <f>INDEX('Data sources'!U:U,MATCH($G457,'Data sources'!$A:$A,0),1)</f>
        <v>0.55465092775711555</v>
      </c>
      <c r="N457">
        <f>INDEX('Data sources'!V:V,MATCH($G457,'Data sources'!$A:$A,0),1)</f>
        <v>0.43306202258392729</v>
      </c>
    </row>
    <row r="458" spans="1:14" x14ac:dyDescent="0.2">
      <c r="A458" t="s">
        <v>18</v>
      </c>
      <c r="B458" t="s">
        <v>313</v>
      </c>
      <c r="C458" t="s">
        <v>65</v>
      </c>
      <c r="D458" t="s">
        <v>237</v>
      </c>
      <c r="E458" t="s">
        <v>237</v>
      </c>
      <c r="F458">
        <v>4</v>
      </c>
      <c r="G458" s="31" t="s">
        <v>440</v>
      </c>
      <c r="H458" s="2">
        <f>INDEX('Data sources'!G:G,MATCH(G458,'Data sources'!A:A,0),1)</f>
        <v>0.28693460797283676</v>
      </c>
      <c r="I458" s="2">
        <f>INDEX('Data sources'!J:J,MATCH(G458,'Data sources'!A:A,0),1)</f>
        <v>0.24234523094630439</v>
      </c>
      <c r="J458" s="2">
        <f>INDEX('Data sources'!R:R,MATCH(G458,'Data sources'!A:A,0),1)</f>
        <v>2.4768000000000003</v>
      </c>
      <c r="K458" s="2">
        <f>INDEX('Data sources'!S:S,MATCH(G458,'Data sources'!A:A,0),1)</f>
        <v>0</v>
      </c>
      <c r="L458" t="str">
        <f t="shared" si="7"/>
        <v>Production or processing of ferrous metals_Treatment and coating of metals</v>
      </c>
      <c r="M458">
        <f>INDEX('Data sources'!U:U,MATCH($G458,'Data sources'!$A:$A,0),1)</f>
        <v>0.55465092775711555</v>
      </c>
      <c r="N458">
        <f>INDEX('Data sources'!V:V,MATCH($G458,'Data sources'!$A:$A,0),1)</f>
        <v>0.43306202258392729</v>
      </c>
    </row>
    <row r="459" spans="1:14" x14ac:dyDescent="0.2">
      <c r="A459" t="s">
        <v>18</v>
      </c>
      <c r="B459" t="s">
        <v>19</v>
      </c>
      <c r="C459" t="s">
        <v>6</v>
      </c>
      <c r="D459" t="s">
        <v>237</v>
      </c>
      <c r="E459" t="s">
        <v>237</v>
      </c>
      <c r="F459">
        <v>20</v>
      </c>
      <c r="G459" s="30" t="s">
        <v>352</v>
      </c>
      <c r="H459" s="2">
        <f>INDEX('Data sources'!G:G,MATCH(G459,'Data sources'!A:A,0),1)</f>
        <v>0.37</v>
      </c>
      <c r="I459" s="2">
        <f>INDEX('Data sources'!J:J,MATCH(G459,'Data sources'!A:A,0),1)</f>
        <v>0.28199999999999997</v>
      </c>
      <c r="J459" s="2">
        <f>INDEX('Data sources'!R:R,MATCH(G459,'Data sources'!A:A,0),1)</f>
        <v>2.4768000000000003</v>
      </c>
      <c r="K459" s="2">
        <f>INDEX('Data sources'!S:S,MATCH(G459,'Data sources'!A:A,0),1)</f>
        <v>0</v>
      </c>
      <c r="L459" t="str">
        <f t="shared" si="7"/>
        <v>Production or processing of ferrous metals_Casting of iron</v>
      </c>
      <c r="M459">
        <f>INDEX('Data sources'!U:U,MATCH($G459,'Data sources'!$A:$A,0),1)</f>
        <v>0.55465092775711555</v>
      </c>
      <c r="N459">
        <f>INDEX('Data sources'!V:V,MATCH($G459,'Data sources'!$A:$A,0),1)</f>
        <v>0.43306202258392729</v>
      </c>
    </row>
    <row r="460" spans="1:14" x14ac:dyDescent="0.2">
      <c r="A460" t="s">
        <v>18</v>
      </c>
      <c r="B460" t="s">
        <v>90</v>
      </c>
      <c r="C460" t="s">
        <v>6</v>
      </c>
      <c r="D460" t="s">
        <v>237</v>
      </c>
      <c r="E460" t="s">
        <v>237</v>
      </c>
      <c r="F460">
        <v>127</v>
      </c>
      <c r="G460" s="31" t="s">
        <v>377</v>
      </c>
      <c r="H460" s="2">
        <f>INDEX('Data sources'!G:G,MATCH(G460,'Data sources'!A:A,0),1)</f>
        <v>1.4950000000000001</v>
      </c>
      <c r="I460" s="2">
        <f>INDEX('Data sources'!J:J,MATCH(G460,'Data sources'!A:A,0),1)</f>
        <v>1.288</v>
      </c>
      <c r="J460" s="2">
        <f>INDEX('Data sources'!R:R,MATCH(G460,'Data sources'!A:A,0),1)</f>
        <v>14.976000000000001</v>
      </c>
      <c r="K460" s="2">
        <f>INDEX('Data sources'!S:S,MATCH(G460,'Data sources'!A:A,0),1)</f>
        <v>6.8039999999999985</v>
      </c>
      <c r="L460" t="str">
        <f t="shared" si="7"/>
        <v>Production or processing of ferrous metals_Manufacture of basic iron and steel and of ferro-alloys</v>
      </c>
      <c r="M460">
        <f>INDEX('Data sources'!U:U,MATCH($G460,'Data sources'!$A:$A,0),1)</f>
        <v>0.55465092775711555</v>
      </c>
      <c r="N460">
        <f>INDEX('Data sources'!V:V,MATCH($G460,'Data sources'!$A:$A,0),1)</f>
        <v>0.43306202258392729</v>
      </c>
    </row>
    <row r="461" spans="1:14" x14ac:dyDescent="0.2">
      <c r="A461" t="s">
        <v>18</v>
      </c>
      <c r="B461" t="s">
        <v>180</v>
      </c>
      <c r="C461" t="s">
        <v>65</v>
      </c>
      <c r="D461" t="s">
        <v>237</v>
      </c>
      <c r="E461" t="s">
        <v>237</v>
      </c>
      <c r="F461">
        <v>1</v>
      </c>
      <c r="G461" s="31" t="s">
        <v>377</v>
      </c>
      <c r="H461" s="2">
        <f>INDEX('Data sources'!G:G,MATCH(G461,'Data sources'!A:A,0),1)</f>
        <v>1.4950000000000001</v>
      </c>
      <c r="I461" s="2">
        <f>INDEX('Data sources'!J:J,MATCH(G461,'Data sources'!A:A,0),1)</f>
        <v>1.288</v>
      </c>
      <c r="J461" s="2">
        <f>INDEX('Data sources'!R:R,MATCH(G461,'Data sources'!A:A,0),1)</f>
        <v>14.976000000000001</v>
      </c>
      <c r="K461" s="2">
        <f>INDEX('Data sources'!S:S,MATCH(G461,'Data sources'!A:A,0),1)</f>
        <v>6.8039999999999985</v>
      </c>
      <c r="L461" t="str">
        <f t="shared" si="7"/>
        <v>Production or processing of ferrous metals_Manufacture of other fabricated metal products n.e.c.</v>
      </c>
      <c r="M461">
        <f>INDEX('Data sources'!U:U,MATCH($G461,'Data sources'!$A:$A,0),1)</f>
        <v>0.55465092775711555</v>
      </c>
      <c r="N461">
        <f>INDEX('Data sources'!V:V,MATCH($G461,'Data sources'!$A:$A,0),1)</f>
        <v>0.43306202258392729</v>
      </c>
    </row>
    <row r="462" spans="1:14" x14ac:dyDescent="0.2">
      <c r="A462" t="s">
        <v>18</v>
      </c>
      <c r="B462" t="s">
        <v>236</v>
      </c>
      <c r="C462" t="s">
        <v>6</v>
      </c>
      <c r="D462" t="s">
        <v>237</v>
      </c>
      <c r="E462" t="s">
        <v>237</v>
      </c>
      <c r="F462">
        <v>18</v>
      </c>
      <c r="G462" s="31" t="s">
        <v>440</v>
      </c>
      <c r="H462" s="2">
        <f>INDEX('Data sources'!G:G,MATCH(G462,'Data sources'!A:A,0),1)</f>
        <v>0.28693460797283676</v>
      </c>
      <c r="I462" s="2">
        <f>INDEX('Data sources'!J:J,MATCH(G462,'Data sources'!A:A,0),1)</f>
        <v>0.24234523094630439</v>
      </c>
      <c r="J462" s="2">
        <f>INDEX('Data sources'!R:R,MATCH(G462,'Data sources'!A:A,0),1)</f>
        <v>2.4768000000000003</v>
      </c>
      <c r="K462" s="2">
        <f>INDEX('Data sources'!S:S,MATCH(G462,'Data sources'!A:A,0),1)</f>
        <v>0</v>
      </c>
      <c r="L462" t="str">
        <f t="shared" si="7"/>
        <v>Production or processing of ferrous metals_Manufacture of tubes, pipes, hollow profiles and related fittings, of steel</v>
      </c>
      <c r="M462">
        <f>INDEX('Data sources'!U:U,MATCH($G462,'Data sources'!$A:$A,0),1)</f>
        <v>0.55465092775711555</v>
      </c>
      <c r="N462">
        <f>INDEX('Data sources'!V:V,MATCH($G462,'Data sources'!$A:$A,0),1)</f>
        <v>0.43306202258392729</v>
      </c>
    </row>
    <row r="463" spans="1:14" x14ac:dyDescent="0.2">
      <c r="A463" t="s">
        <v>18</v>
      </c>
      <c r="B463" t="s">
        <v>31</v>
      </c>
      <c r="C463" t="s">
        <v>32</v>
      </c>
      <c r="D463" t="s">
        <v>403</v>
      </c>
      <c r="E463" t="s">
        <v>15</v>
      </c>
      <c r="F463">
        <v>1</v>
      </c>
      <c r="G463" s="30" t="s">
        <v>325</v>
      </c>
      <c r="H463" s="2">
        <f>INDEX('Data sources'!G:G,MATCH(G463,'Data sources'!A:A,0),1)</f>
        <v>5.79E-2</v>
      </c>
      <c r="I463" s="2">
        <f>INDEX('Data sources'!J:J,MATCH(G463,'Data sources'!A:A,0),1)</f>
        <v>4.2599999999999999E-2</v>
      </c>
      <c r="J463" s="2">
        <f>INDEX('Data sources'!R:R,MATCH(G463,'Data sources'!A:A,0),1)</f>
        <v>1</v>
      </c>
      <c r="K463" s="2">
        <f>INDEX('Data sources'!S:S,MATCH(G463,'Data sources'!A:A,0),1)</f>
        <v>0</v>
      </c>
      <c r="L463" t="str">
        <f t="shared" si="7"/>
        <v>Production or processing of ferrous metals_Data processing, hosting and related activities</v>
      </c>
      <c r="M463">
        <f>INDEX('Data sources'!U:U,MATCH($G463,'Data sources'!$A:$A,0),1)</f>
        <v>0.78416348147957027</v>
      </c>
      <c r="N463">
        <f>INDEX('Data sources'!V:V,MATCH($G463,'Data sources'!$A:$A,0),1)</f>
        <v>0.72535139859924458</v>
      </c>
    </row>
    <row r="464" spans="1:14" x14ac:dyDescent="0.2">
      <c r="A464" t="s">
        <v>18</v>
      </c>
      <c r="B464" t="s">
        <v>126</v>
      </c>
      <c r="C464" t="s">
        <v>127</v>
      </c>
      <c r="D464" t="s">
        <v>403</v>
      </c>
      <c r="E464" t="s">
        <v>15</v>
      </c>
      <c r="F464">
        <v>2</v>
      </c>
      <c r="G464" s="30" t="s">
        <v>325</v>
      </c>
      <c r="H464" s="2">
        <f>INDEX('Data sources'!G:G,MATCH(G464,'Data sources'!A:A,0),1)</f>
        <v>5.79E-2</v>
      </c>
      <c r="I464" s="2">
        <f>INDEX('Data sources'!J:J,MATCH(G464,'Data sources'!A:A,0),1)</f>
        <v>4.2599999999999999E-2</v>
      </c>
      <c r="J464" s="2">
        <f>INDEX('Data sources'!R:R,MATCH(G464,'Data sources'!A:A,0),1)</f>
        <v>1</v>
      </c>
      <c r="K464" s="2">
        <f>INDEX('Data sources'!S:S,MATCH(G464,'Data sources'!A:A,0),1)</f>
        <v>0</v>
      </c>
      <c r="L464" t="str">
        <f t="shared" si="7"/>
        <v>Production or processing of ferrous metals_Manufacture of electric domestic appliances</v>
      </c>
      <c r="M464">
        <f>INDEX('Data sources'!U:U,MATCH($G464,'Data sources'!$A:$A,0),1)</f>
        <v>0.78416348147957027</v>
      </c>
      <c r="N464">
        <f>INDEX('Data sources'!V:V,MATCH($G464,'Data sources'!$A:$A,0),1)</f>
        <v>0.72535139859924458</v>
      </c>
    </row>
    <row r="465" spans="1:14" x14ac:dyDescent="0.2">
      <c r="A465" t="s">
        <v>18</v>
      </c>
      <c r="B465" t="s">
        <v>157</v>
      </c>
      <c r="C465" t="s">
        <v>86</v>
      </c>
      <c r="D465" t="s">
        <v>403</v>
      </c>
      <c r="E465" t="s">
        <v>15</v>
      </c>
      <c r="F465">
        <v>1</v>
      </c>
      <c r="G465" s="30" t="s">
        <v>325</v>
      </c>
      <c r="H465" s="2">
        <f>INDEX('Data sources'!G:G,MATCH(G465,'Data sources'!A:A,0),1)</f>
        <v>5.79E-2</v>
      </c>
      <c r="I465" s="2">
        <f>INDEX('Data sources'!J:J,MATCH(G465,'Data sources'!A:A,0),1)</f>
        <v>4.2599999999999999E-2</v>
      </c>
      <c r="J465" s="2">
        <f>INDEX('Data sources'!R:R,MATCH(G465,'Data sources'!A:A,0),1)</f>
        <v>1</v>
      </c>
      <c r="K465" s="2">
        <f>INDEX('Data sources'!S:S,MATCH(G465,'Data sources'!A:A,0),1)</f>
        <v>0</v>
      </c>
      <c r="L465" t="str">
        <f t="shared" si="7"/>
        <v>Production or processing of ferrous metals_Manufacture of machinery for metallurgy</v>
      </c>
      <c r="M465">
        <f>INDEX('Data sources'!U:U,MATCH($G465,'Data sources'!$A:$A,0),1)</f>
        <v>0.78416348147957027</v>
      </c>
      <c r="N465">
        <f>INDEX('Data sources'!V:V,MATCH($G465,'Data sources'!$A:$A,0),1)</f>
        <v>0.72535139859924458</v>
      </c>
    </row>
    <row r="466" spans="1:14" x14ac:dyDescent="0.2">
      <c r="A466" t="s">
        <v>18</v>
      </c>
      <c r="B466" t="s">
        <v>159</v>
      </c>
      <c r="C466" t="s">
        <v>86</v>
      </c>
      <c r="D466" t="s">
        <v>403</v>
      </c>
      <c r="E466" t="s">
        <v>15</v>
      </c>
      <c r="F466">
        <v>1</v>
      </c>
      <c r="G466" s="30" t="s">
        <v>325</v>
      </c>
      <c r="H466" s="2">
        <f>INDEX('Data sources'!G:G,MATCH(G466,'Data sources'!A:A,0),1)</f>
        <v>5.79E-2</v>
      </c>
      <c r="I466" s="2">
        <f>INDEX('Data sources'!J:J,MATCH(G466,'Data sources'!A:A,0),1)</f>
        <v>4.2599999999999999E-2</v>
      </c>
      <c r="J466" s="2">
        <f>INDEX('Data sources'!R:R,MATCH(G466,'Data sources'!A:A,0),1)</f>
        <v>1</v>
      </c>
      <c r="K466" s="2">
        <f>INDEX('Data sources'!S:S,MATCH(G466,'Data sources'!A:A,0),1)</f>
        <v>0</v>
      </c>
      <c r="L466" t="str">
        <f t="shared" si="7"/>
        <v>Production or processing of ferrous metals_Manufacture of machinery for textile, apparel and leather production</v>
      </c>
      <c r="M466">
        <f>INDEX('Data sources'!U:U,MATCH($G466,'Data sources'!$A:$A,0),1)</f>
        <v>0.78416348147957027</v>
      </c>
      <c r="N466">
        <f>INDEX('Data sources'!V:V,MATCH($G466,'Data sources'!$A:$A,0),1)</f>
        <v>0.72535139859924458</v>
      </c>
    </row>
    <row r="467" spans="1:14" x14ac:dyDescent="0.2">
      <c r="A467" t="s">
        <v>18</v>
      </c>
      <c r="B467" t="s">
        <v>222</v>
      </c>
      <c r="C467" t="s">
        <v>14</v>
      </c>
      <c r="D467" t="s">
        <v>403</v>
      </c>
      <c r="E467" t="s">
        <v>15</v>
      </c>
      <c r="F467">
        <v>1</v>
      </c>
      <c r="G467" s="30" t="s">
        <v>325</v>
      </c>
      <c r="H467" s="2">
        <f>INDEX('Data sources'!G:G,MATCH(G467,'Data sources'!A:A,0),1)</f>
        <v>5.79E-2</v>
      </c>
      <c r="I467" s="2">
        <f>INDEX('Data sources'!J:J,MATCH(G467,'Data sources'!A:A,0),1)</f>
        <v>4.2599999999999999E-2</v>
      </c>
      <c r="J467" s="2">
        <f>INDEX('Data sources'!R:R,MATCH(G467,'Data sources'!A:A,0),1)</f>
        <v>1</v>
      </c>
      <c r="K467" s="2">
        <f>INDEX('Data sources'!S:S,MATCH(G467,'Data sources'!A:A,0),1)</f>
        <v>0</v>
      </c>
      <c r="L467" t="str">
        <f t="shared" si="7"/>
        <v>Production or processing of ferrous metals_Manufacture of railway locomotives and rolling stock</v>
      </c>
      <c r="M467">
        <f>INDEX('Data sources'!U:U,MATCH($G467,'Data sources'!$A:$A,0),1)</f>
        <v>0.78416348147957027</v>
      </c>
      <c r="N467">
        <f>INDEX('Data sources'!V:V,MATCH($G467,'Data sources'!$A:$A,0),1)</f>
        <v>0.72535139859924458</v>
      </c>
    </row>
    <row r="468" spans="1:14" x14ac:dyDescent="0.2">
      <c r="A468" s="2" t="s">
        <v>18</v>
      </c>
      <c r="D468" t="s">
        <v>237</v>
      </c>
      <c r="E468" t="s">
        <v>237</v>
      </c>
      <c r="G468" s="31" t="s">
        <v>377</v>
      </c>
      <c r="H468" s="2">
        <f>INDEX('Data sources'!G:G,MATCH(G468,'Data sources'!A:A,0),1)</f>
        <v>1.4950000000000001</v>
      </c>
      <c r="I468" s="2">
        <f>INDEX('Data sources'!J:J,MATCH(G468,'Data sources'!A:A,0),1)</f>
        <v>1.288</v>
      </c>
      <c r="J468" s="2">
        <f>INDEX('Data sources'!R:R,MATCH(G468,'Data sources'!A:A,0),1)</f>
        <v>14.976000000000001</v>
      </c>
      <c r="K468" s="2">
        <f>INDEX('Data sources'!S:S,MATCH(G468,'Data sources'!A:A,0),1)</f>
        <v>6.8039999999999985</v>
      </c>
      <c r="L468" t="str">
        <f t="shared" si="7"/>
        <v>Production or processing of ferrous metals</v>
      </c>
      <c r="M468">
        <f>INDEX('Data sources'!U:U,MATCH($G468,'Data sources'!$A:$A,0),1)</f>
        <v>0.55465092775711555</v>
      </c>
      <c r="N468">
        <f>INDEX('Data sources'!V:V,MATCH($G468,'Data sources'!$A:$A,0),1)</f>
        <v>0.43306202258392729</v>
      </c>
    </row>
    <row r="469" spans="1:14" x14ac:dyDescent="0.2">
      <c r="A469" t="s">
        <v>36</v>
      </c>
      <c r="B469" t="s">
        <v>212</v>
      </c>
      <c r="C469" t="s">
        <v>81</v>
      </c>
      <c r="D469" t="s">
        <v>409</v>
      </c>
      <c r="E469" t="s">
        <v>213</v>
      </c>
      <c r="F469">
        <v>31</v>
      </c>
      <c r="G469" s="30" t="s">
        <v>336</v>
      </c>
      <c r="H469" s="2">
        <f>INDEX('Data sources'!G:G,MATCH(G469,'Data sources'!A:A,0),1)</f>
        <v>3.5629026621767576E-2</v>
      </c>
      <c r="I469" s="2">
        <f>INDEX('Data sources'!J:J,MATCH(G469,'Data sources'!A:A,0),1)</f>
        <v>3.1972106510782264E-2</v>
      </c>
      <c r="J469" s="2">
        <f>INDEX('Data sources'!R:R,MATCH(G469,'Data sources'!A:A,0),1)</f>
        <v>1.0800000000000005</v>
      </c>
      <c r="K469" s="2">
        <f>INDEX('Data sources'!S:S,MATCH(G469,'Data sources'!A:A,0),1)</f>
        <v>0</v>
      </c>
      <c r="L469" t="str">
        <f t="shared" si="7"/>
        <v>Production or processing of gypsum or plasterboard_Manufacture of plaster products for construction purposes</v>
      </c>
      <c r="M469">
        <f>INDEX('Data sources'!U:U,MATCH($G469,'Data sources'!$A:$A,0),1)</f>
        <v>0.66884534593017986</v>
      </c>
      <c r="N469">
        <f>INDEX('Data sources'!V:V,MATCH($G469,'Data sources'!$A:$A,0),1)</f>
        <v>0.58742624959688228</v>
      </c>
    </row>
    <row r="470" spans="1:14" x14ac:dyDescent="0.2">
      <c r="A470" t="s">
        <v>36</v>
      </c>
      <c r="B470" t="s">
        <v>154</v>
      </c>
      <c r="C470" t="s">
        <v>81</v>
      </c>
      <c r="D470" t="s">
        <v>409</v>
      </c>
      <c r="E470" t="s">
        <v>155</v>
      </c>
      <c r="F470">
        <v>4</v>
      </c>
      <c r="G470" s="30" t="s">
        <v>337</v>
      </c>
      <c r="H470" s="2">
        <f>INDEX('Data sources'!G:G,MATCH(G470,'Data sources'!A:A,0),1)</f>
        <v>1.0858855073623837</v>
      </c>
      <c r="I470" s="2">
        <f>INDEX('Data sources'!J:J,MATCH(G470,'Data sources'!A:A,0),1)</f>
        <v>0.76053043758401917</v>
      </c>
      <c r="J470" s="2">
        <f>INDEX('Data sources'!R:R,MATCH(G470,'Data sources'!A:A,0),1)</f>
        <v>3.7079999999999997</v>
      </c>
      <c r="K470" s="2">
        <f>INDEX('Data sources'!S:S,MATCH(G470,'Data sources'!A:A,0),1)</f>
        <v>0</v>
      </c>
      <c r="L470" t="str">
        <f t="shared" si="7"/>
        <v>Production or processing of gypsum or plasterboard_Manufacture of lime and plaster</v>
      </c>
      <c r="M470">
        <f>INDEX('Data sources'!U:U,MATCH($G470,'Data sources'!$A:$A,0),1)</f>
        <v>0.66884534593017986</v>
      </c>
      <c r="N470">
        <f>INDEX('Data sources'!V:V,MATCH($G470,'Data sources'!$A:$A,0),1)</f>
        <v>0.58742624959688228</v>
      </c>
    </row>
    <row r="471" spans="1:14" x14ac:dyDescent="0.2">
      <c r="A471" t="s">
        <v>36</v>
      </c>
      <c r="B471" t="s">
        <v>31</v>
      </c>
      <c r="C471" t="s">
        <v>32</v>
      </c>
      <c r="D471" t="s">
        <v>403</v>
      </c>
      <c r="E471" t="s">
        <v>15</v>
      </c>
      <c r="F471">
        <v>1</v>
      </c>
      <c r="G471" s="30" t="s">
        <v>325</v>
      </c>
      <c r="H471" s="2">
        <f>INDEX('Data sources'!G:G,MATCH(G471,'Data sources'!A:A,0),1)</f>
        <v>5.79E-2</v>
      </c>
      <c r="I471" s="2">
        <f>INDEX('Data sources'!J:J,MATCH(G471,'Data sources'!A:A,0),1)</f>
        <v>4.2599999999999999E-2</v>
      </c>
      <c r="J471" s="2">
        <f>INDEX('Data sources'!R:R,MATCH(G471,'Data sources'!A:A,0),1)</f>
        <v>1</v>
      </c>
      <c r="K471" s="2">
        <f>INDEX('Data sources'!S:S,MATCH(G471,'Data sources'!A:A,0),1)</f>
        <v>0</v>
      </c>
      <c r="L471" t="str">
        <f t="shared" si="7"/>
        <v>Production or processing of gypsum or plasterboard_Data processing, hosting and related activities</v>
      </c>
      <c r="M471">
        <f>INDEX('Data sources'!U:U,MATCH($G471,'Data sources'!$A:$A,0),1)</f>
        <v>0.78416348147957027</v>
      </c>
      <c r="N471">
        <f>INDEX('Data sources'!V:V,MATCH($G471,'Data sources'!$A:$A,0),1)</f>
        <v>0.72535139859924458</v>
      </c>
    </row>
    <row r="472" spans="1:14" x14ac:dyDescent="0.2">
      <c r="A472" s="2" t="s">
        <v>36</v>
      </c>
      <c r="D472" t="s">
        <v>409</v>
      </c>
      <c r="E472" t="s">
        <v>409</v>
      </c>
      <c r="G472" s="31" t="s">
        <v>336</v>
      </c>
      <c r="H472" s="2">
        <f>INDEX('Data sources'!G:G,MATCH(G472,'Data sources'!A:A,0),1)</f>
        <v>3.5629026621767576E-2</v>
      </c>
      <c r="I472" s="2">
        <f>INDEX('Data sources'!J:J,MATCH(G472,'Data sources'!A:A,0),1)</f>
        <v>3.1972106510782264E-2</v>
      </c>
      <c r="J472" s="2">
        <f>INDEX('Data sources'!R:R,MATCH(G472,'Data sources'!A:A,0),1)</f>
        <v>1.0800000000000005</v>
      </c>
      <c r="K472" s="2">
        <f>INDEX('Data sources'!S:S,MATCH(G472,'Data sources'!A:A,0),1)</f>
        <v>0</v>
      </c>
      <c r="L472" t="str">
        <f t="shared" si="7"/>
        <v>Production or processing of gypsum or plasterboard</v>
      </c>
      <c r="M472">
        <f>INDEX('Data sources'!U:U,MATCH($G472,'Data sources'!$A:$A,0),1)</f>
        <v>0.66884534593017986</v>
      </c>
      <c r="N472">
        <f>INDEX('Data sources'!V:V,MATCH($G472,'Data sources'!$A:$A,0),1)</f>
        <v>0.58742624959688228</v>
      </c>
    </row>
    <row r="473" spans="1:14" x14ac:dyDescent="0.2">
      <c r="A473" t="s">
        <v>9</v>
      </c>
      <c r="B473" t="s">
        <v>5</v>
      </c>
      <c r="C473" t="s">
        <v>6</v>
      </c>
      <c r="D473" t="s">
        <v>256</v>
      </c>
      <c r="E473" t="s">
        <v>7</v>
      </c>
      <c r="F473">
        <v>13</v>
      </c>
      <c r="G473" s="30" t="s">
        <v>324</v>
      </c>
      <c r="H473" s="2">
        <f>INDEX('Data sources'!G:G,MATCH(G473,'Data sources'!A:A,0),1)</f>
        <v>1.641</v>
      </c>
      <c r="I473" s="2">
        <f>INDEX('Data sources'!J:J,MATCH(G473,'Data sources'!A:A,0),1)</f>
        <v>1.464</v>
      </c>
      <c r="J473" s="2">
        <f>INDEX('Data sources'!R:R,MATCH(G473,'Data sources'!A:A,0),1)</f>
        <v>12.024000000000001</v>
      </c>
      <c r="K473" s="2">
        <f>INDEX('Data sources'!S:S,MATCH(G473,'Data sources'!A:A,0),1)</f>
        <v>0</v>
      </c>
      <c r="L473" t="str">
        <f t="shared" si="7"/>
        <v>Production or processing of non-ferrous metals_Aluminium production</v>
      </c>
      <c r="M473">
        <f>INDEX('Data sources'!U:U,MATCH($G473,'Data sources'!$A:$A,0),1)</f>
        <v>0.83923856134650876</v>
      </c>
      <c r="N473">
        <f>INDEX('Data sources'!V:V,MATCH($G473,'Data sources'!$A:$A,0),1)</f>
        <v>0.99183492762409997</v>
      </c>
    </row>
    <row r="474" spans="1:14" x14ac:dyDescent="0.2">
      <c r="A474" t="s">
        <v>9</v>
      </c>
      <c r="B474" t="s">
        <v>125</v>
      </c>
      <c r="C474" t="s">
        <v>95</v>
      </c>
      <c r="D474" t="s">
        <v>95</v>
      </c>
      <c r="E474" t="s">
        <v>95</v>
      </c>
      <c r="F474">
        <v>1</v>
      </c>
      <c r="G474" s="30" t="s">
        <v>338</v>
      </c>
      <c r="H474" s="2">
        <f>INDEX('Data sources'!G:G,MATCH(G474,'Data sources'!A:A,0),1)</f>
        <v>1.1838611017829463</v>
      </c>
      <c r="I474" s="2">
        <f>INDEX('Data sources'!J:J,MATCH(G474,'Data sources'!A:A,0),1)</f>
        <v>1.0013516184567537</v>
      </c>
      <c r="J474" s="2">
        <f>INDEX('Data sources'!R:R,MATCH(G474,'Data sources'!A:A,0),1)</f>
        <v>2.6802340811720051</v>
      </c>
      <c r="K474" s="2">
        <f>INDEX('Data sources'!S:S,MATCH(G474,'Data sources'!A:A,0),1)</f>
        <v>27.108503329226927</v>
      </c>
      <c r="L474" t="str">
        <f t="shared" si="7"/>
        <v>Production or processing of non-ferrous metals_Manufacture of dyes and pigments</v>
      </c>
      <c r="M474">
        <f>INDEX('Data sources'!U:U,MATCH($G474,'Data sources'!$A:$A,0),1)</f>
        <v>0.84137119305744423</v>
      </c>
      <c r="N474">
        <f>INDEX('Data sources'!V:V,MATCH($G474,'Data sources'!$A:$A,0),1)</f>
        <v>0.86357922057787206</v>
      </c>
    </row>
    <row r="475" spans="1:14" x14ac:dyDescent="0.2">
      <c r="A475" t="s">
        <v>9</v>
      </c>
      <c r="B475" t="s">
        <v>185</v>
      </c>
      <c r="C475" t="s">
        <v>95</v>
      </c>
      <c r="D475" t="s">
        <v>95</v>
      </c>
      <c r="E475" t="s">
        <v>95</v>
      </c>
      <c r="F475">
        <v>6</v>
      </c>
      <c r="G475" s="30" t="s">
        <v>349</v>
      </c>
      <c r="H475" s="2">
        <f>INDEX('Data sources'!G:G,MATCH(G475,'Data sources'!A:A,0),1)</f>
        <v>1.5967631163208207</v>
      </c>
      <c r="I475" s="2">
        <f>INDEX('Data sources'!J:J,MATCH(G475,'Data sources'!A:A,0),1)</f>
        <v>1.2656396050839946</v>
      </c>
      <c r="J475" s="2">
        <f>INDEX('Data sources'!R:R,MATCH(G475,'Data sources'!A:A,0),1)</f>
        <v>3.2911730425008185</v>
      </c>
      <c r="K475" s="2">
        <f>INDEX('Data sources'!S:S,MATCH(G475,'Data sources'!A:A,0),1)</f>
        <v>10.213571642020407</v>
      </c>
      <c r="L475" t="str">
        <f t="shared" si="7"/>
        <v>Production or processing of non-ferrous metals_Manufacture of other inorganic basic chemicals</v>
      </c>
      <c r="M475">
        <f>INDEX('Data sources'!U:U,MATCH($G475,'Data sources'!$A:$A,0),1)</f>
        <v>0.84137119305744423</v>
      </c>
      <c r="N475">
        <f>INDEX('Data sources'!V:V,MATCH($G475,'Data sources'!$A:$A,0),1)</f>
        <v>0.86357922057787195</v>
      </c>
    </row>
    <row r="476" spans="1:14" x14ac:dyDescent="0.2">
      <c r="A476" t="s">
        <v>9</v>
      </c>
      <c r="B476" t="s">
        <v>29</v>
      </c>
      <c r="C476" t="s">
        <v>6</v>
      </c>
      <c r="D476" t="s">
        <v>256</v>
      </c>
      <c r="E476" t="s">
        <v>30</v>
      </c>
      <c r="F476">
        <v>19</v>
      </c>
      <c r="G476" s="30" t="s">
        <v>417</v>
      </c>
      <c r="H476" s="2">
        <f>INDEX('Data sources'!G:G,MATCH(G476,'Data sources'!A:A,0),1)</f>
        <v>1.4</v>
      </c>
      <c r="I476" s="2">
        <f>INDEX('Data sources'!J:J,MATCH(G476,'Data sources'!A:A,0),1)</f>
        <v>1.4</v>
      </c>
      <c r="J476" s="2">
        <f>INDEX('Data sources'!R:R,MATCH(G476,'Data sources'!A:A,0),1)</f>
        <v>8.0280000000000005</v>
      </c>
      <c r="K476" s="2">
        <f>INDEX('Data sources'!S:S,MATCH(G476,'Data sources'!A:A,0),1)</f>
        <v>0</v>
      </c>
      <c r="L476" t="str">
        <f t="shared" si="7"/>
        <v>Production or processing of non-ferrous metals_Copper production</v>
      </c>
      <c r="M476">
        <f>INDEX('Data sources'!U:U,MATCH($G476,'Data sources'!$A:$A,0),1)</f>
        <v>0.83923856134650876</v>
      </c>
      <c r="N476">
        <f>INDEX('Data sources'!V:V,MATCH($G476,'Data sources'!$A:$A,0),1)</f>
        <v>0.99183492762409997</v>
      </c>
    </row>
    <row r="477" spans="1:14" x14ac:dyDescent="0.2">
      <c r="A477" t="s">
        <v>9</v>
      </c>
      <c r="B477" t="s">
        <v>64</v>
      </c>
      <c r="C477" t="s">
        <v>65</v>
      </c>
      <c r="D477" t="s">
        <v>237</v>
      </c>
      <c r="E477" t="s">
        <v>237</v>
      </c>
      <c r="F477">
        <v>1</v>
      </c>
      <c r="G477" s="31" t="s">
        <v>440</v>
      </c>
      <c r="H477" s="2">
        <f>INDEX('Data sources'!G:G,MATCH(G477,'Data sources'!A:A,0),1)</f>
        <v>0.28693460797283676</v>
      </c>
      <c r="I477" s="2">
        <f>INDEX('Data sources'!J:J,MATCH(G477,'Data sources'!A:A,0),1)</f>
        <v>0.24234523094630439</v>
      </c>
      <c r="J477" s="2">
        <f>INDEX('Data sources'!R:R,MATCH(G477,'Data sources'!A:A,0),1)</f>
        <v>2.4768000000000003</v>
      </c>
      <c r="K477" s="2">
        <f>INDEX('Data sources'!S:S,MATCH(G477,'Data sources'!A:A,0),1)</f>
        <v>0</v>
      </c>
      <c r="L477" t="str">
        <f t="shared" si="7"/>
        <v>Production or processing of non-ferrous metals_Forging, pressing, stamping and roll-forming of metal</v>
      </c>
      <c r="M477">
        <f>INDEX('Data sources'!U:U,MATCH($G477,'Data sources'!$A:$A,0),1)</f>
        <v>0.55465092775711555</v>
      </c>
      <c r="N477">
        <f>INDEX('Data sources'!V:V,MATCH($G477,'Data sources'!$A:$A,0),1)</f>
        <v>0.43306202258392729</v>
      </c>
    </row>
    <row r="478" spans="1:14" x14ac:dyDescent="0.2">
      <c r="A478" t="s">
        <v>9</v>
      </c>
      <c r="B478" t="s">
        <v>313</v>
      </c>
      <c r="C478" t="s">
        <v>65</v>
      </c>
      <c r="D478" t="s">
        <v>237</v>
      </c>
      <c r="E478" t="s">
        <v>237</v>
      </c>
      <c r="F478">
        <v>1</v>
      </c>
      <c r="G478" s="31" t="s">
        <v>440</v>
      </c>
      <c r="H478" s="2">
        <f>INDEX('Data sources'!G:G,MATCH(G478,'Data sources'!A:A,0),1)</f>
        <v>0.28693460797283676</v>
      </c>
      <c r="I478" s="2">
        <f>INDEX('Data sources'!J:J,MATCH(G478,'Data sources'!A:A,0),1)</f>
        <v>0.24234523094630439</v>
      </c>
      <c r="J478" s="2">
        <f>INDEX('Data sources'!R:R,MATCH(G478,'Data sources'!A:A,0),1)</f>
        <v>2.4768000000000003</v>
      </c>
      <c r="K478" s="2">
        <f>INDEX('Data sources'!S:S,MATCH(G478,'Data sources'!A:A,0),1)</f>
        <v>0</v>
      </c>
      <c r="L478" t="str">
        <f t="shared" si="7"/>
        <v>Production or processing of non-ferrous metals_Treatment and coating of metals</v>
      </c>
      <c r="M478">
        <f>INDEX('Data sources'!U:U,MATCH($G478,'Data sources'!$A:$A,0),1)</f>
        <v>0.55465092775711555</v>
      </c>
      <c r="N478">
        <f>INDEX('Data sources'!V:V,MATCH($G478,'Data sources'!$A:$A,0),1)</f>
        <v>0.43306202258392729</v>
      </c>
    </row>
    <row r="479" spans="1:14" x14ac:dyDescent="0.2">
      <c r="A479" t="s">
        <v>9</v>
      </c>
      <c r="B479" t="s">
        <v>90</v>
      </c>
      <c r="C479" t="s">
        <v>6</v>
      </c>
      <c r="D479" t="s">
        <v>237</v>
      </c>
      <c r="E479" t="s">
        <v>237</v>
      </c>
      <c r="F479">
        <v>9</v>
      </c>
      <c r="G479" s="31" t="s">
        <v>377</v>
      </c>
      <c r="H479" s="2">
        <f>INDEX('Data sources'!G:G,MATCH(G479,'Data sources'!A:A,0),1)</f>
        <v>1.4950000000000001</v>
      </c>
      <c r="I479" s="2">
        <f>INDEX('Data sources'!J:J,MATCH(G479,'Data sources'!A:A,0),1)</f>
        <v>1.288</v>
      </c>
      <c r="J479" s="2">
        <f>INDEX('Data sources'!R:R,MATCH(G479,'Data sources'!A:A,0),1)</f>
        <v>14.976000000000001</v>
      </c>
      <c r="K479" s="2">
        <f>INDEX('Data sources'!S:S,MATCH(G479,'Data sources'!A:A,0),1)</f>
        <v>6.8039999999999985</v>
      </c>
      <c r="L479" t="str">
        <f t="shared" si="7"/>
        <v>Production or processing of non-ferrous metals_Manufacture of basic iron and steel and of ferro-alloys</v>
      </c>
      <c r="M479">
        <f>INDEX('Data sources'!U:U,MATCH($G479,'Data sources'!$A:$A,0),1)</f>
        <v>0.55465092775711555</v>
      </c>
      <c r="N479">
        <f>INDEX('Data sources'!V:V,MATCH($G479,'Data sources'!$A:$A,0),1)</f>
        <v>0.43306202258392729</v>
      </c>
    </row>
    <row r="480" spans="1:14" x14ac:dyDescent="0.2">
      <c r="A480" t="s">
        <v>9</v>
      </c>
      <c r="B480" t="s">
        <v>236</v>
      </c>
      <c r="C480" t="s">
        <v>6</v>
      </c>
      <c r="D480" t="s">
        <v>237</v>
      </c>
      <c r="E480" t="s">
        <v>237</v>
      </c>
      <c r="F480">
        <v>1</v>
      </c>
      <c r="G480" s="31" t="s">
        <v>440</v>
      </c>
      <c r="H480" s="2">
        <f>INDEX('Data sources'!G:G,MATCH(G480,'Data sources'!A:A,0),1)</f>
        <v>0.28693460797283676</v>
      </c>
      <c r="I480" s="2">
        <f>INDEX('Data sources'!J:J,MATCH(G480,'Data sources'!A:A,0),1)</f>
        <v>0.24234523094630439</v>
      </c>
      <c r="J480" s="2">
        <f>INDEX('Data sources'!R:R,MATCH(G480,'Data sources'!A:A,0),1)</f>
        <v>2.4768000000000003</v>
      </c>
      <c r="K480" s="2">
        <f>INDEX('Data sources'!S:S,MATCH(G480,'Data sources'!A:A,0),1)</f>
        <v>0</v>
      </c>
      <c r="L480" t="str">
        <f t="shared" si="7"/>
        <v>Production or processing of non-ferrous metals_Manufacture of tubes, pipes, hollow profiles and related fittings, of steel</v>
      </c>
      <c r="M480">
        <f>INDEX('Data sources'!U:U,MATCH($G480,'Data sources'!$A:$A,0),1)</f>
        <v>0.55465092775711555</v>
      </c>
      <c r="N480">
        <f>INDEX('Data sources'!V:V,MATCH($G480,'Data sources'!$A:$A,0),1)</f>
        <v>0.43306202258392729</v>
      </c>
    </row>
    <row r="481" spans="1:14" x14ac:dyDescent="0.2">
      <c r="A481" t="s">
        <v>9</v>
      </c>
      <c r="B481" t="s">
        <v>75</v>
      </c>
      <c r="C481" t="s">
        <v>6</v>
      </c>
      <c r="D481" t="s">
        <v>256</v>
      </c>
      <c r="E481" t="s">
        <v>76</v>
      </c>
      <c r="F481">
        <v>18</v>
      </c>
      <c r="G481" s="30" t="s">
        <v>353</v>
      </c>
      <c r="H481" s="2">
        <f>INDEX('Data sources'!G:G,MATCH(G481,'Data sources'!A:A,0),1)</f>
        <v>1.92</v>
      </c>
      <c r="I481" s="2">
        <f>INDEX('Data sources'!J:J,MATCH(G481,'Data sources'!A:A,0),1)</f>
        <v>1.92</v>
      </c>
      <c r="J481" s="2">
        <f>INDEX('Data sources'!R:R,MATCH(G481,'Data sources'!A:A,0),1)</f>
        <v>2.2680000000000002</v>
      </c>
      <c r="K481" s="2">
        <f>INDEX('Data sources'!S:S,MATCH(G481,'Data sources'!A:A,0),1)</f>
        <v>0</v>
      </c>
      <c r="L481" t="str">
        <f t="shared" si="7"/>
        <v>Production or processing of non-ferrous metals_Lead, zinc and tin production</v>
      </c>
      <c r="M481">
        <f>INDEX('Data sources'!U:U,MATCH($G481,'Data sources'!$A:$A,0),1)</f>
        <v>0.83923856134650876</v>
      </c>
      <c r="N481">
        <f>INDEX('Data sources'!V:V,MATCH($G481,'Data sources'!$A:$A,0),1)</f>
        <v>0.99183492762409997</v>
      </c>
    </row>
    <row r="482" spans="1:14" x14ac:dyDescent="0.2">
      <c r="A482" t="s">
        <v>9</v>
      </c>
      <c r="B482" t="s">
        <v>255</v>
      </c>
      <c r="C482" t="s">
        <v>6</v>
      </c>
      <c r="D482" t="s">
        <v>256</v>
      </c>
      <c r="E482" t="s">
        <v>256</v>
      </c>
      <c r="F482">
        <v>1</v>
      </c>
      <c r="G482" s="30" t="s">
        <v>354</v>
      </c>
      <c r="H482" s="2">
        <f>INDEX('Data sources'!G:G,MATCH(G482,'Data sources'!A:A,0),1)</f>
        <v>1.6536666666666668</v>
      </c>
      <c r="I482" s="2">
        <f>INDEX('Data sources'!J:J,MATCH(G482,'Data sources'!A:A,0),1)</f>
        <v>1.5946666666666667</v>
      </c>
      <c r="J482" s="2">
        <f>INDEX('Data sources'!R:R,MATCH(G482,'Data sources'!A:A,0),1)</f>
        <v>2.2680000000000002</v>
      </c>
      <c r="K482" s="2">
        <f>INDEX('Data sources'!S:S,MATCH(G482,'Data sources'!A:A,0),1)</f>
        <v>0</v>
      </c>
      <c r="L482" t="str">
        <f t="shared" si="7"/>
        <v>Production or processing of non-ferrous metals_Other non-ferrous metal production</v>
      </c>
      <c r="M482">
        <f>INDEX('Data sources'!U:U,MATCH($G482,'Data sources'!$A:$A,0),1)</f>
        <v>0.83923856134650876</v>
      </c>
      <c r="N482">
        <f>INDEX('Data sources'!V:V,MATCH($G482,'Data sources'!$A:$A,0),1)</f>
        <v>0.99183492762409997</v>
      </c>
    </row>
    <row r="483" spans="1:14" x14ac:dyDescent="0.2">
      <c r="A483" t="s">
        <v>9</v>
      </c>
      <c r="B483" t="s">
        <v>129</v>
      </c>
      <c r="C483" t="s">
        <v>127</v>
      </c>
      <c r="D483" t="s">
        <v>403</v>
      </c>
      <c r="E483" t="s">
        <v>15</v>
      </c>
      <c r="F483">
        <v>1</v>
      </c>
      <c r="G483" s="30" t="s">
        <v>325</v>
      </c>
      <c r="H483" s="2">
        <f>INDEX('Data sources'!G:G,MATCH(G483,'Data sources'!A:A,0),1)</f>
        <v>5.79E-2</v>
      </c>
      <c r="I483" s="2">
        <f>INDEX('Data sources'!J:J,MATCH(G483,'Data sources'!A:A,0),1)</f>
        <v>4.2599999999999999E-2</v>
      </c>
      <c r="J483" s="2">
        <f>INDEX('Data sources'!R:R,MATCH(G483,'Data sources'!A:A,0),1)</f>
        <v>1</v>
      </c>
      <c r="K483" s="2">
        <f>INDEX('Data sources'!S:S,MATCH(G483,'Data sources'!A:A,0),1)</f>
        <v>0</v>
      </c>
      <c r="L483" t="str">
        <f t="shared" si="7"/>
        <v>Production or processing of non-ferrous metals_Manufacture of electric motors, generators, transformers and electricity distribution and control apparatus</v>
      </c>
      <c r="M483">
        <f>INDEX('Data sources'!U:U,MATCH($G483,'Data sources'!$A:$A,0),1)</f>
        <v>0.78416348147957027</v>
      </c>
      <c r="N483">
        <f>INDEX('Data sources'!V:V,MATCH($G483,'Data sources'!$A:$A,0),1)</f>
        <v>0.72535139859924458</v>
      </c>
    </row>
    <row r="484" spans="1:14" x14ac:dyDescent="0.2">
      <c r="A484" t="s">
        <v>9</v>
      </c>
      <c r="B484" t="s">
        <v>47</v>
      </c>
      <c r="C484" t="s">
        <v>44</v>
      </c>
      <c r="D484" t="s">
        <v>45</v>
      </c>
      <c r="E484" t="s">
        <v>45</v>
      </c>
      <c r="F484">
        <v>1</v>
      </c>
      <c r="G484" s="30" t="s">
        <v>325</v>
      </c>
      <c r="H484" s="2">
        <f>INDEX('Data sources'!G:G,MATCH(G484,'Data sources'!A:A,0),1)</f>
        <v>5.79E-2</v>
      </c>
      <c r="I484" s="2">
        <f>INDEX('Data sources'!J:J,MATCH(G484,'Data sources'!A:A,0),1)</f>
        <v>4.2599999999999999E-2</v>
      </c>
      <c r="J484" s="2">
        <f>INDEX('Data sources'!R:R,MATCH(G484,'Data sources'!A:A,0),1)</f>
        <v>1</v>
      </c>
      <c r="K484" s="2">
        <f>INDEX('Data sources'!S:S,MATCH(G484,'Data sources'!A:A,0),1)</f>
        <v>0</v>
      </c>
      <c r="L484" t="str">
        <f t="shared" si="7"/>
        <v>Production or processing of non-ferrous metals_Electric power generation, transmission and distribution</v>
      </c>
      <c r="M484">
        <f>INDEX('Data sources'!U:U,MATCH($G484,'Data sources'!$A:$A,0),1)</f>
        <v>0.78416348147957027</v>
      </c>
      <c r="N484">
        <f>INDEX('Data sources'!V:V,MATCH($G484,'Data sources'!$A:$A,0),1)</f>
        <v>0.72535139859924458</v>
      </c>
    </row>
    <row r="485" spans="1:14" x14ac:dyDescent="0.2">
      <c r="A485" s="2" t="s">
        <v>9</v>
      </c>
      <c r="D485" t="s">
        <v>256</v>
      </c>
      <c r="E485" t="s">
        <v>256</v>
      </c>
      <c r="G485" s="31" t="s">
        <v>354</v>
      </c>
      <c r="H485" s="2">
        <f>INDEX('Data sources'!G:G,MATCH(G485,'Data sources'!A:A,0),1)</f>
        <v>1.6536666666666668</v>
      </c>
      <c r="I485" s="2">
        <f>INDEX('Data sources'!J:J,MATCH(G485,'Data sources'!A:A,0),1)</f>
        <v>1.5946666666666667</v>
      </c>
      <c r="J485" s="2">
        <f>INDEX('Data sources'!R:R,MATCH(G485,'Data sources'!A:A,0),1)</f>
        <v>2.2680000000000002</v>
      </c>
      <c r="K485" s="2">
        <f>INDEX('Data sources'!S:S,MATCH(G485,'Data sources'!A:A,0),1)</f>
        <v>0</v>
      </c>
      <c r="L485" t="str">
        <f t="shared" si="7"/>
        <v>Production or processing of non-ferrous metals</v>
      </c>
      <c r="M485">
        <f>INDEX('Data sources'!U:U,MATCH($G485,'Data sources'!$A:$A,0),1)</f>
        <v>0.83923856134650876</v>
      </c>
      <c r="N485">
        <f>INDEX('Data sources'!V:V,MATCH($G485,'Data sources'!$A:$A,0),1)</f>
        <v>0.99183492762409997</v>
      </c>
    </row>
    <row r="486" spans="1:14" x14ac:dyDescent="0.2">
      <c r="A486" t="s">
        <v>52</v>
      </c>
      <c r="B486" t="s">
        <v>152</v>
      </c>
      <c r="C486" t="s">
        <v>95</v>
      </c>
      <c r="D486" t="s">
        <v>95</v>
      </c>
      <c r="E486" t="s">
        <v>95</v>
      </c>
      <c r="F486">
        <v>1</v>
      </c>
      <c r="G486" s="30" t="s">
        <v>339</v>
      </c>
      <c r="H486" s="2">
        <f>INDEX('Data sources'!G:G,MATCH(G486,'Data sources'!A:A,0),1)</f>
        <v>8.4591606470324017</v>
      </c>
      <c r="I486" s="2">
        <f>INDEX('Data sources'!J:J,MATCH(G486,'Data sources'!A:A,0),1)</f>
        <v>6.4483962143983575</v>
      </c>
      <c r="J486" s="2">
        <f>INDEX('Data sources'!R:R,MATCH(G486,'Data sources'!A:A,0),1)</f>
        <v>0</v>
      </c>
      <c r="K486" s="2">
        <f>INDEX('Data sources'!S:S,MATCH(G486,'Data sources'!A:A,0),1)</f>
        <v>120.04801920768308</v>
      </c>
      <c r="L486" t="str">
        <f t="shared" si="7"/>
        <v>Refining of mineral oil_Manufacture of industrial gases</v>
      </c>
      <c r="M486">
        <f>INDEX('Data sources'!U:U,MATCH($G486,'Data sources'!$A:$A,0),1)</f>
        <v>0.84137119305744423</v>
      </c>
      <c r="N486">
        <f>INDEX('Data sources'!V:V,MATCH($G486,'Data sources'!$A:$A,0),1)</f>
        <v>0.86357922057787195</v>
      </c>
    </row>
    <row r="487" spans="1:14" x14ac:dyDescent="0.2">
      <c r="A487" t="s">
        <v>52</v>
      </c>
      <c r="B487" t="s">
        <v>53</v>
      </c>
      <c r="C487" t="s">
        <v>54</v>
      </c>
      <c r="D487" t="s">
        <v>403</v>
      </c>
      <c r="E487" t="s">
        <v>55</v>
      </c>
      <c r="F487">
        <v>1</v>
      </c>
      <c r="G487" s="30" t="s">
        <v>325</v>
      </c>
      <c r="H487" s="2">
        <f>INDEX('Data sources'!G:G,MATCH(G487,'Data sources'!A:A,0),1)</f>
        <v>5.79E-2</v>
      </c>
      <c r="I487" s="2">
        <f>INDEX('Data sources'!J:J,MATCH(G487,'Data sources'!A:A,0),1)</f>
        <v>4.2599999999999999E-2</v>
      </c>
      <c r="J487" s="2">
        <f>INDEX('Data sources'!R:R,MATCH(G487,'Data sources'!A:A,0),1)</f>
        <v>1</v>
      </c>
      <c r="K487" s="2">
        <f>INDEX('Data sources'!S:S,MATCH(G487,'Data sources'!A:A,0),1)</f>
        <v>0</v>
      </c>
      <c r="L487" t="str">
        <f t="shared" si="7"/>
        <v>Refining of mineral oil_Extraction of crude petroleum</v>
      </c>
      <c r="M487">
        <f>INDEX('Data sources'!U:U,MATCH($G487,'Data sources'!$A:$A,0),1)</f>
        <v>0.78416348147957027</v>
      </c>
      <c r="N487">
        <f>INDEX('Data sources'!V:V,MATCH($G487,'Data sources'!$A:$A,0),1)</f>
        <v>0.72535139859924458</v>
      </c>
    </row>
    <row r="488" spans="1:14" x14ac:dyDescent="0.2">
      <c r="A488" t="s">
        <v>52</v>
      </c>
      <c r="B488" t="s">
        <v>47</v>
      </c>
      <c r="C488" t="s">
        <v>44</v>
      </c>
      <c r="D488" t="s">
        <v>45</v>
      </c>
      <c r="E488" t="s">
        <v>45</v>
      </c>
      <c r="F488">
        <v>1</v>
      </c>
      <c r="G488" s="30" t="s">
        <v>325</v>
      </c>
      <c r="H488" s="2">
        <f>INDEX('Data sources'!G:G,MATCH(G488,'Data sources'!A:A,0),1)</f>
        <v>5.79E-2</v>
      </c>
      <c r="I488" s="2">
        <f>INDEX('Data sources'!J:J,MATCH(G488,'Data sources'!A:A,0),1)</f>
        <v>4.2599999999999999E-2</v>
      </c>
      <c r="J488" s="2">
        <f>INDEX('Data sources'!R:R,MATCH(G488,'Data sources'!A:A,0),1)</f>
        <v>1</v>
      </c>
      <c r="K488" s="2">
        <f>INDEX('Data sources'!S:S,MATCH(G488,'Data sources'!A:A,0),1)</f>
        <v>0</v>
      </c>
      <c r="L488" t="str">
        <f t="shared" si="7"/>
        <v>Refining of mineral oil_Electric power generation, transmission and distribution</v>
      </c>
      <c r="M488">
        <f>INDEX('Data sources'!U:U,MATCH($G488,'Data sources'!$A:$A,0),1)</f>
        <v>0.78416348147957027</v>
      </c>
      <c r="N488">
        <f>INDEX('Data sources'!V:V,MATCH($G488,'Data sources'!$A:$A,0),1)</f>
        <v>0.72535139859924458</v>
      </c>
    </row>
    <row r="489" spans="1:14" x14ac:dyDescent="0.2">
      <c r="A489" t="s">
        <v>52</v>
      </c>
      <c r="B489" t="s">
        <v>140</v>
      </c>
      <c r="C489" t="s">
        <v>44</v>
      </c>
      <c r="D489" t="s">
        <v>45</v>
      </c>
      <c r="E489" t="s">
        <v>45</v>
      </c>
      <c r="F489">
        <v>1</v>
      </c>
      <c r="G489" s="30" t="s">
        <v>325</v>
      </c>
      <c r="H489" s="2">
        <f>INDEX('Data sources'!G:G,MATCH(G489,'Data sources'!A:A,0),1)</f>
        <v>5.79E-2</v>
      </c>
      <c r="I489" s="2">
        <f>INDEX('Data sources'!J:J,MATCH(G489,'Data sources'!A:A,0),1)</f>
        <v>4.2599999999999999E-2</v>
      </c>
      <c r="J489" s="2">
        <f>INDEX('Data sources'!R:R,MATCH(G489,'Data sources'!A:A,0),1)</f>
        <v>1</v>
      </c>
      <c r="K489" s="2">
        <f>INDEX('Data sources'!S:S,MATCH(G489,'Data sources'!A:A,0),1)</f>
        <v>0</v>
      </c>
      <c r="L489" t="str">
        <f t="shared" si="7"/>
        <v>Refining of mineral oil_Manufacture of gas</v>
      </c>
      <c r="M489">
        <f>INDEX('Data sources'!U:U,MATCH($G489,'Data sources'!$A:$A,0),1)</f>
        <v>0.78416348147957027</v>
      </c>
      <c r="N489">
        <f>INDEX('Data sources'!V:V,MATCH($G489,'Data sources'!$A:$A,0),1)</f>
        <v>0.72535139859924458</v>
      </c>
    </row>
    <row r="490" spans="1:14" x14ac:dyDescent="0.2">
      <c r="A490" t="s">
        <v>52</v>
      </c>
      <c r="B490" t="s">
        <v>282</v>
      </c>
      <c r="C490" t="s">
        <v>44</v>
      </c>
      <c r="D490" t="s">
        <v>45</v>
      </c>
      <c r="E490" t="s">
        <v>45</v>
      </c>
      <c r="F490">
        <v>1</v>
      </c>
      <c r="G490" s="30" t="s">
        <v>325</v>
      </c>
      <c r="H490" s="2">
        <f>INDEX('Data sources'!G:G,MATCH(G490,'Data sources'!A:A,0),1)</f>
        <v>5.79E-2</v>
      </c>
      <c r="I490" s="2">
        <f>INDEX('Data sources'!J:J,MATCH(G490,'Data sources'!A:A,0),1)</f>
        <v>4.2599999999999999E-2</v>
      </c>
      <c r="J490" s="2">
        <f>INDEX('Data sources'!R:R,MATCH(G490,'Data sources'!A:A,0),1)</f>
        <v>1</v>
      </c>
      <c r="K490" s="2">
        <f>INDEX('Data sources'!S:S,MATCH(G490,'Data sources'!A:A,0),1)</f>
        <v>0</v>
      </c>
      <c r="L490" t="str">
        <f t="shared" si="7"/>
        <v>Refining of mineral oil_Production of electricity</v>
      </c>
      <c r="M490">
        <f>INDEX('Data sources'!U:U,MATCH($G490,'Data sources'!$A:$A,0),1)</f>
        <v>0.78416348147957027</v>
      </c>
      <c r="N490">
        <f>INDEX('Data sources'!V:V,MATCH($G490,'Data sources'!$A:$A,0),1)</f>
        <v>0.72535139859924458</v>
      </c>
    </row>
    <row r="491" spans="1:14" x14ac:dyDescent="0.2">
      <c r="A491" t="s">
        <v>52</v>
      </c>
      <c r="B491" t="s">
        <v>223</v>
      </c>
      <c r="C491" t="s">
        <v>115</v>
      </c>
      <c r="D491" t="s">
        <v>224</v>
      </c>
      <c r="E491" t="s">
        <v>224</v>
      </c>
      <c r="F491">
        <v>100</v>
      </c>
      <c r="G491" s="30" t="s">
        <v>333</v>
      </c>
      <c r="H491" s="2">
        <f>INDEX('Data sources'!G:G,MATCH(G491,'Data sources'!A:A,0),1)</f>
        <v>0.55000000000000004</v>
      </c>
      <c r="I491" s="2">
        <f>INDEX('Data sources'!J:J,MATCH(G491,'Data sources'!A:A,0),1)</f>
        <v>0.40714285714285714</v>
      </c>
      <c r="J491" s="2">
        <f>INDEX('Data sources'!R:R,MATCH(G491,'Data sources'!A:A,0),1)</f>
        <v>0</v>
      </c>
      <c r="K491" s="2">
        <f>INDEX('Data sources'!S:S,MATCH(G491,'Data sources'!A:A,0),1)</f>
        <v>0.432</v>
      </c>
      <c r="L491" t="str">
        <f t="shared" si="7"/>
        <v>Refining of mineral oil_Manufacture of refined petroleum products</v>
      </c>
      <c r="M491">
        <f>INDEX('Data sources'!U:U,MATCH($G491,'Data sources'!$A:$A,0),1)</f>
        <v>0.75247638813310724</v>
      </c>
      <c r="N491">
        <f>INDEX('Data sources'!V:V,MATCH($G491,'Data sources'!$A:$A,0),1)</f>
        <v>0.39034566820695693</v>
      </c>
    </row>
    <row r="492" spans="1:14" x14ac:dyDescent="0.2">
      <c r="A492" s="2" t="s">
        <v>52</v>
      </c>
      <c r="D492" t="s">
        <v>224</v>
      </c>
      <c r="E492" t="s">
        <v>224</v>
      </c>
      <c r="G492" s="31" t="s">
        <v>333</v>
      </c>
      <c r="H492" s="2">
        <f>INDEX('Data sources'!G:G,MATCH(G492,'Data sources'!A:A,0),1)</f>
        <v>0.55000000000000004</v>
      </c>
      <c r="I492" s="2">
        <f>INDEX('Data sources'!J:J,MATCH(G492,'Data sources'!A:A,0),1)</f>
        <v>0.40714285714285714</v>
      </c>
      <c r="J492" s="2">
        <f>INDEX('Data sources'!R:R,MATCH(G492,'Data sources'!A:A,0),1)</f>
        <v>0</v>
      </c>
      <c r="K492" s="2">
        <f>INDEX('Data sources'!S:S,MATCH(G492,'Data sources'!A:A,0),1)</f>
        <v>0.432</v>
      </c>
      <c r="L492" t="str">
        <f t="shared" si="7"/>
        <v>Refining of mineral oil</v>
      </c>
      <c r="M492">
        <f>INDEX('Data sources'!U:U,MATCH($G492,'Data sources'!$A:$A,0),1)</f>
        <v>0.75247638813310724</v>
      </c>
      <c r="N492">
        <f>INDEX('Data sources'!V:V,MATCH($G492,'Data sources'!$A:$A,0),1)</f>
        <v>0.39034566820695693</v>
      </c>
    </row>
  </sheetData>
  <autoFilter ref="A1:L492" xr:uid="{692529B1-990E-4A36-A39E-CB671DA8004D}">
    <sortState xmlns:xlrd2="http://schemas.microsoft.com/office/spreadsheetml/2017/richdata2" ref="A2:L492">
      <sortCondition ref="A1:A492"/>
    </sortState>
  </autoFilter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sources</vt:lpstr>
      <vt:lpstr>Allocation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Rumpelnik</dc:creator>
  <cp:lastModifiedBy>Christian Rumpelnik</cp:lastModifiedBy>
  <dcterms:created xsi:type="dcterms:W3CDTF">2024-10-17T16:06:59Z</dcterms:created>
  <dcterms:modified xsi:type="dcterms:W3CDTF">2025-12-09T14:03:44Z</dcterms:modified>
</cp:coreProperties>
</file>