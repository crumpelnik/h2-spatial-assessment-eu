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_Rumpelnik/Downloads/"/>
    </mc:Choice>
  </mc:AlternateContent>
  <xr:revisionPtr revIDLastSave="0" documentId="8_{1AE1D719-2E7E-8C49-85FC-11EDA56F0F98}" xr6:coauthVersionLast="47" xr6:coauthVersionMax="47" xr10:uidLastSave="{00000000-0000-0000-0000-000000000000}"/>
  <bookViews>
    <workbookView xWindow="0" yWindow="780" windowWidth="34200" windowHeight="19680" xr2:uid="{CE6D7893-EEA0-E94C-A7CD-082CD7F07DD0}"/>
  </bookViews>
  <sheets>
    <sheet name="Data" sheetId="2" r:id="rId1"/>
    <sheet name="Sheet1" sheetId="1" state="hidden" r:id="rId2"/>
    <sheet name="Flat Carbon Price Cal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" l="1"/>
  <c r="Q2" i="2"/>
  <c r="I2" i="2"/>
  <c r="AE7" i="3"/>
  <c r="AE23" i="3" s="1"/>
  <c r="AD14" i="2" s="1"/>
  <c r="AD7" i="3"/>
  <c r="AD23" i="3" s="1"/>
  <c r="AC14" i="2" s="1"/>
  <c r="AC7" i="3"/>
  <c r="AC23" i="3" s="1"/>
  <c r="AB14" i="2" s="1"/>
  <c r="AB7" i="3"/>
  <c r="AB23" i="3" s="1"/>
  <c r="AA14" i="2" s="1"/>
  <c r="AA7" i="3"/>
  <c r="AA23" i="3" s="1"/>
  <c r="Z14" i="2" s="1"/>
  <c r="Z7" i="3"/>
  <c r="Z23" i="3" s="1"/>
  <c r="Y14" i="2" s="1"/>
  <c r="Y7" i="3"/>
  <c r="Y23" i="3" s="1"/>
  <c r="X14" i="2" s="1"/>
  <c r="X7" i="3"/>
  <c r="X23" i="3" s="1"/>
  <c r="W14" i="2" s="1"/>
  <c r="W7" i="3"/>
  <c r="W23" i="3" s="1"/>
  <c r="V14" i="2" s="1"/>
  <c r="V7" i="3"/>
  <c r="V23" i="3" s="1"/>
  <c r="U14" i="2" s="1"/>
  <c r="U7" i="3"/>
  <c r="U23" i="3" s="1"/>
  <c r="T14" i="2" s="1"/>
  <c r="T7" i="3"/>
  <c r="T23" i="3" s="1"/>
  <c r="S14" i="2" s="1"/>
  <c r="S7" i="3"/>
  <c r="S23" i="3" s="1"/>
  <c r="R14" i="2" s="1"/>
  <c r="R7" i="3"/>
  <c r="R23" i="3" s="1"/>
  <c r="Q14" i="2" s="1"/>
  <c r="Q7" i="3"/>
  <c r="Q23" i="3" s="1"/>
  <c r="P14" i="2" s="1"/>
  <c r="P7" i="3"/>
  <c r="P23" i="3" s="1"/>
  <c r="O14" i="2" s="1"/>
  <c r="O7" i="3"/>
  <c r="O23" i="3" s="1"/>
  <c r="N14" i="2" s="1"/>
  <c r="N7" i="3"/>
  <c r="N23" i="3" s="1"/>
  <c r="M14" i="2" s="1"/>
  <c r="M7" i="3"/>
  <c r="M23" i="3" s="1"/>
  <c r="L14" i="2" s="1"/>
  <c r="L7" i="3"/>
  <c r="L23" i="3" s="1"/>
  <c r="K14" i="2" s="1"/>
  <c r="K7" i="3"/>
  <c r="K23" i="3" s="1"/>
  <c r="J14" i="2" s="1"/>
  <c r="J7" i="3"/>
  <c r="J23" i="3" s="1"/>
  <c r="I14" i="2" s="1"/>
  <c r="I7" i="3"/>
  <c r="I23" i="3" s="1"/>
  <c r="H14" i="2" s="1"/>
  <c r="H7" i="3"/>
  <c r="H23" i="3" s="1"/>
  <c r="G14" i="2" s="1"/>
  <c r="G7" i="3"/>
  <c r="G23" i="3" s="1"/>
  <c r="F14" i="2" s="1"/>
  <c r="F7" i="3"/>
  <c r="F23" i="3" s="1"/>
  <c r="E14" i="2" s="1"/>
  <c r="E7" i="3"/>
  <c r="E23" i="3" s="1"/>
  <c r="D14" i="2" s="1"/>
  <c r="AE6" i="3"/>
  <c r="AE22" i="3" s="1"/>
  <c r="AD11" i="2" s="1"/>
  <c r="AD6" i="3"/>
  <c r="AD22" i="3" s="1"/>
  <c r="AC11" i="2" s="1"/>
  <c r="AC6" i="3"/>
  <c r="AC22" i="3" s="1"/>
  <c r="AB11" i="2" s="1"/>
  <c r="AB6" i="3"/>
  <c r="AB22" i="3" s="1"/>
  <c r="AA11" i="2" s="1"/>
  <c r="AA6" i="3"/>
  <c r="AA22" i="3" s="1"/>
  <c r="Z11" i="2" s="1"/>
  <c r="Z6" i="3"/>
  <c r="Z22" i="3" s="1"/>
  <c r="Y11" i="2" s="1"/>
  <c r="Y6" i="3"/>
  <c r="Y22" i="3" s="1"/>
  <c r="X11" i="2" s="1"/>
  <c r="X6" i="3"/>
  <c r="X22" i="3" s="1"/>
  <c r="W11" i="2" s="1"/>
  <c r="W6" i="3"/>
  <c r="W22" i="3" s="1"/>
  <c r="V11" i="2" s="1"/>
  <c r="V6" i="3"/>
  <c r="V22" i="3" s="1"/>
  <c r="U11" i="2" s="1"/>
  <c r="U6" i="3"/>
  <c r="U22" i="3" s="1"/>
  <c r="T11" i="2" s="1"/>
  <c r="T6" i="3"/>
  <c r="T22" i="3" s="1"/>
  <c r="S11" i="2" s="1"/>
  <c r="S6" i="3"/>
  <c r="S22" i="3" s="1"/>
  <c r="R11" i="2" s="1"/>
  <c r="R6" i="3"/>
  <c r="R22" i="3" s="1"/>
  <c r="Q11" i="2" s="1"/>
  <c r="Q6" i="3"/>
  <c r="Q22" i="3" s="1"/>
  <c r="P11" i="2" s="1"/>
  <c r="P6" i="3"/>
  <c r="P22" i="3" s="1"/>
  <c r="O11" i="2" s="1"/>
  <c r="O6" i="3"/>
  <c r="O22" i="3" s="1"/>
  <c r="N11" i="2" s="1"/>
  <c r="N6" i="3"/>
  <c r="N22" i="3" s="1"/>
  <c r="M11" i="2" s="1"/>
  <c r="M6" i="3"/>
  <c r="M22" i="3" s="1"/>
  <c r="L11" i="2" s="1"/>
  <c r="L6" i="3"/>
  <c r="L22" i="3" s="1"/>
  <c r="K11" i="2" s="1"/>
  <c r="K6" i="3"/>
  <c r="K22" i="3" s="1"/>
  <c r="J11" i="2" s="1"/>
  <c r="J6" i="3"/>
  <c r="J22" i="3" s="1"/>
  <c r="I11" i="2" s="1"/>
  <c r="I6" i="3"/>
  <c r="I22" i="3" s="1"/>
  <c r="H11" i="2" s="1"/>
  <c r="H6" i="3"/>
  <c r="H22" i="3" s="1"/>
  <c r="G11" i="2" s="1"/>
  <c r="G6" i="3"/>
  <c r="G22" i="3" s="1"/>
  <c r="F11" i="2" s="1"/>
  <c r="F6" i="3"/>
  <c r="F22" i="3" s="1"/>
  <c r="E11" i="2" s="1"/>
  <c r="E6" i="3"/>
  <c r="E22" i="3" s="1"/>
  <c r="D11" i="2" s="1"/>
  <c r="AE5" i="3"/>
  <c r="AE21" i="3" s="1"/>
  <c r="AD8" i="2" s="1"/>
  <c r="AD5" i="3"/>
  <c r="AD21" i="3" s="1"/>
  <c r="AC8" i="2" s="1"/>
  <c r="AC5" i="3"/>
  <c r="AC21" i="3" s="1"/>
  <c r="AB8" i="2" s="1"/>
  <c r="AB5" i="3"/>
  <c r="AB21" i="3" s="1"/>
  <c r="AA8" i="2" s="1"/>
  <c r="AA5" i="3"/>
  <c r="AA21" i="3" s="1"/>
  <c r="Z8" i="2" s="1"/>
  <c r="Z5" i="3"/>
  <c r="Z21" i="3" s="1"/>
  <c r="Y8" i="2" s="1"/>
  <c r="Y5" i="3"/>
  <c r="Y21" i="3" s="1"/>
  <c r="X8" i="2" s="1"/>
  <c r="X5" i="3"/>
  <c r="X21" i="3" s="1"/>
  <c r="W8" i="2" s="1"/>
  <c r="W5" i="3"/>
  <c r="W21" i="3" s="1"/>
  <c r="V8" i="2" s="1"/>
  <c r="V5" i="3"/>
  <c r="V21" i="3" s="1"/>
  <c r="U8" i="2" s="1"/>
  <c r="U5" i="3"/>
  <c r="U21" i="3" s="1"/>
  <c r="T8" i="2" s="1"/>
  <c r="T5" i="3"/>
  <c r="T21" i="3" s="1"/>
  <c r="S8" i="2" s="1"/>
  <c r="S5" i="3"/>
  <c r="S21" i="3" s="1"/>
  <c r="R8" i="2" s="1"/>
  <c r="R5" i="3"/>
  <c r="R21" i="3" s="1"/>
  <c r="Q8" i="2" s="1"/>
  <c r="Q5" i="3"/>
  <c r="Q21" i="3" s="1"/>
  <c r="P8" i="2" s="1"/>
  <c r="P5" i="3"/>
  <c r="P21" i="3" s="1"/>
  <c r="O8" i="2" s="1"/>
  <c r="O5" i="3"/>
  <c r="O21" i="3" s="1"/>
  <c r="N8" i="2" s="1"/>
  <c r="N5" i="3"/>
  <c r="N21" i="3" s="1"/>
  <c r="M8" i="2" s="1"/>
  <c r="M5" i="3"/>
  <c r="M21" i="3" s="1"/>
  <c r="L8" i="2" s="1"/>
  <c r="L5" i="3"/>
  <c r="L21" i="3" s="1"/>
  <c r="K8" i="2" s="1"/>
  <c r="K5" i="3"/>
  <c r="K21" i="3" s="1"/>
  <c r="J8" i="2" s="1"/>
  <c r="J5" i="3"/>
  <c r="J21" i="3" s="1"/>
  <c r="I8" i="2" s="1"/>
  <c r="I5" i="3"/>
  <c r="I21" i="3" s="1"/>
  <c r="H8" i="2" s="1"/>
  <c r="H5" i="3"/>
  <c r="H21" i="3" s="1"/>
  <c r="G8" i="2" s="1"/>
  <c r="G5" i="3"/>
  <c r="G21" i="3" s="1"/>
  <c r="F8" i="2" s="1"/>
  <c r="F5" i="3"/>
  <c r="F21" i="3" s="1"/>
  <c r="E8" i="2" s="1"/>
  <c r="E5" i="3"/>
  <c r="E21" i="3" s="1"/>
  <c r="D8" i="2" s="1"/>
  <c r="AE4" i="3"/>
  <c r="AE20" i="3" s="1"/>
  <c r="AD5" i="2" s="1"/>
  <c r="AD4" i="3"/>
  <c r="AD20" i="3" s="1"/>
  <c r="AC5" i="2" s="1"/>
  <c r="AC4" i="3"/>
  <c r="AC20" i="3" s="1"/>
  <c r="AB5" i="2" s="1"/>
  <c r="AB4" i="3"/>
  <c r="AB20" i="3" s="1"/>
  <c r="AA5" i="2" s="1"/>
  <c r="AA4" i="3"/>
  <c r="AA20" i="3" s="1"/>
  <c r="Z5" i="2" s="1"/>
  <c r="Z4" i="3"/>
  <c r="Z20" i="3" s="1"/>
  <c r="Y5" i="2" s="1"/>
  <c r="Y4" i="3"/>
  <c r="Y20" i="3" s="1"/>
  <c r="X5" i="2" s="1"/>
  <c r="X4" i="3"/>
  <c r="X20" i="3" s="1"/>
  <c r="W5" i="2" s="1"/>
  <c r="W4" i="3"/>
  <c r="W20" i="3" s="1"/>
  <c r="V5" i="2" s="1"/>
  <c r="V4" i="3"/>
  <c r="V20" i="3" s="1"/>
  <c r="U5" i="2" s="1"/>
  <c r="U4" i="3"/>
  <c r="U20" i="3" s="1"/>
  <c r="T5" i="2" s="1"/>
  <c r="T4" i="3"/>
  <c r="T20" i="3" s="1"/>
  <c r="S5" i="2" s="1"/>
  <c r="S4" i="3"/>
  <c r="S20" i="3" s="1"/>
  <c r="R5" i="2" s="1"/>
  <c r="R4" i="3"/>
  <c r="R20" i="3" s="1"/>
  <c r="Q5" i="2" s="1"/>
  <c r="Q4" i="3"/>
  <c r="Q20" i="3" s="1"/>
  <c r="P5" i="2" s="1"/>
  <c r="P4" i="3"/>
  <c r="P20" i="3" s="1"/>
  <c r="O5" i="2" s="1"/>
  <c r="O4" i="3"/>
  <c r="O20" i="3" s="1"/>
  <c r="N5" i="2" s="1"/>
  <c r="N4" i="3"/>
  <c r="N20" i="3" s="1"/>
  <c r="M5" i="2" s="1"/>
  <c r="M4" i="3"/>
  <c r="M20" i="3" s="1"/>
  <c r="L5" i="2" s="1"/>
  <c r="L4" i="3"/>
  <c r="L20" i="3" s="1"/>
  <c r="K5" i="2" s="1"/>
  <c r="K4" i="3"/>
  <c r="K20" i="3" s="1"/>
  <c r="J5" i="2" s="1"/>
  <c r="J4" i="3"/>
  <c r="J20" i="3" s="1"/>
  <c r="I5" i="2" s="1"/>
  <c r="I4" i="3"/>
  <c r="I20" i="3" s="1"/>
  <c r="H5" i="2" s="1"/>
  <c r="H4" i="3"/>
  <c r="H20" i="3" s="1"/>
  <c r="G5" i="2" s="1"/>
  <c r="G4" i="3"/>
  <c r="G20" i="3" s="1"/>
  <c r="F5" i="2" s="1"/>
  <c r="F4" i="3"/>
  <c r="F20" i="3" s="1"/>
  <c r="E5" i="2" s="1"/>
  <c r="E4" i="3"/>
  <c r="E20" i="3" s="1"/>
  <c r="D5" i="2" s="1"/>
  <c r="AE3" i="3"/>
  <c r="AE19" i="3" s="1"/>
  <c r="AD2" i="2" s="1"/>
  <c r="AD3" i="3"/>
  <c r="AD19" i="3" s="1"/>
  <c r="AC2" i="2" s="1"/>
  <c r="AC3" i="3"/>
  <c r="AC19" i="3" s="1"/>
  <c r="AB2" i="2" s="1"/>
  <c r="AB3" i="3"/>
  <c r="AB19" i="3" s="1"/>
  <c r="AA2" i="2" s="1"/>
  <c r="AA3" i="3"/>
  <c r="AA19" i="3" s="1"/>
  <c r="Z2" i="2" s="1"/>
  <c r="Z3" i="3"/>
  <c r="Z19" i="3" s="1"/>
  <c r="Y3" i="3"/>
  <c r="Y19" i="3" s="1"/>
  <c r="X2" i="2" s="1"/>
  <c r="X3" i="3"/>
  <c r="X19" i="3" s="1"/>
  <c r="W2" i="2" s="1"/>
  <c r="W3" i="3"/>
  <c r="W19" i="3" s="1"/>
  <c r="V2" i="2" s="1"/>
  <c r="V3" i="3"/>
  <c r="V19" i="3" s="1"/>
  <c r="U2" i="2" s="1"/>
  <c r="U3" i="3"/>
  <c r="U19" i="3" s="1"/>
  <c r="T2" i="2" s="1"/>
  <c r="T3" i="3"/>
  <c r="T19" i="3" s="1"/>
  <c r="S2" i="2" s="1"/>
  <c r="S3" i="3"/>
  <c r="S19" i="3" s="1"/>
  <c r="R2" i="2" s="1"/>
  <c r="R3" i="3"/>
  <c r="R19" i="3" s="1"/>
  <c r="Q3" i="3"/>
  <c r="Q19" i="3" s="1"/>
  <c r="P2" i="2" s="1"/>
  <c r="P3" i="3"/>
  <c r="P19" i="3" s="1"/>
  <c r="O2" i="2" s="1"/>
  <c r="O3" i="3"/>
  <c r="O19" i="3" s="1"/>
  <c r="N2" i="2" s="1"/>
  <c r="N3" i="3"/>
  <c r="N19" i="3" s="1"/>
  <c r="M2" i="2" s="1"/>
  <c r="M3" i="3"/>
  <c r="M19" i="3" s="1"/>
  <c r="L2" i="2" s="1"/>
  <c r="L3" i="3"/>
  <c r="L19" i="3" s="1"/>
  <c r="K2" i="2" s="1"/>
  <c r="K3" i="3"/>
  <c r="K19" i="3" s="1"/>
  <c r="J2" i="2" s="1"/>
  <c r="J3" i="3"/>
  <c r="J19" i="3" s="1"/>
  <c r="I3" i="3"/>
  <c r="I19" i="3" s="1"/>
  <c r="H2" i="2" s="1"/>
  <c r="H3" i="3"/>
  <c r="H19" i="3" s="1"/>
  <c r="G2" i="2" s="1"/>
  <c r="G3" i="3"/>
  <c r="G19" i="3" s="1"/>
  <c r="F2" i="2" s="1"/>
  <c r="F3" i="3"/>
  <c r="F19" i="3" s="1"/>
  <c r="E2" i="2" s="1"/>
  <c r="E3" i="3"/>
  <c r="E19" i="3" s="1"/>
  <c r="D2" i="2" s="1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V16" i="3" l="1"/>
  <c r="AD16" i="3"/>
  <c r="F16" i="3"/>
  <c r="N16" i="3"/>
  <c r="X16" i="3"/>
  <c r="P16" i="3"/>
  <c r="Q16" i="3"/>
  <c r="I16" i="3"/>
  <c r="H16" i="3"/>
  <c r="Y16" i="3"/>
  <c r="J16" i="3"/>
  <c r="R16" i="3"/>
  <c r="AA16" i="3"/>
  <c r="L16" i="3"/>
  <c r="AB16" i="3"/>
  <c r="Z16" i="3"/>
  <c r="S16" i="3"/>
  <c r="T16" i="3"/>
  <c r="E16" i="3"/>
  <c r="M16" i="3"/>
  <c r="U16" i="3"/>
  <c r="AC16" i="3"/>
  <c r="K16" i="3"/>
  <c r="G16" i="3"/>
  <c r="O16" i="3"/>
  <c r="W16" i="3"/>
  <c r="AE16" i="3"/>
  <c r="F2" i="3" l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D19" i="1"/>
  <c r="AD18" i="1"/>
  <c r="AD17" i="1"/>
  <c r="AD16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Rumpelnik</author>
  </authors>
  <commentList>
    <comment ref="C16" authorId="0" shapeId="0" xr:uid="{EEDD0D07-F0B6-5B40-9395-EEACCCD96499}">
      <text>
        <r>
          <rPr>
            <b/>
            <sz val="10"/>
            <color rgb="FF000000"/>
            <rFont val="Tahoma"/>
            <family val="2"/>
          </rPr>
          <t>Christian Rumpelnik: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Odenweller &amp; Ueckerdt (2025): t CO2/MWh NG</t>
        </r>
      </text>
    </comment>
    <comment ref="A17" authorId="0" shapeId="0" xr:uid="{8ACDE588-0AF6-034F-A61F-BDD8FC7F47A9}">
      <text>
        <r>
          <rPr>
            <b/>
            <sz val="10"/>
            <color rgb="FF000000"/>
            <rFont val="Tahoma"/>
            <family val="2"/>
          </rPr>
          <t>Christian Rumpelnik: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https://icapcarbonaction.com/en/ets/eu-emissions-trading-system-eu-ets</t>
        </r>
      </text>
    </comment>
  </commentList>
</comments>
</file>

<file path=xl/sharedStrings.xml><?xml version="1.0" encoding="utf-8"?>
<sst xmlns="http://schemas.openxmlformats.org/spreadsheetml/2006/main" count="141" uniqueCount="31">
  <si>
    <t>Natural Gas</t>
  </si>
  <si>
    <t>Grey Hydrogen</t>
  </si>
  <si>
    <t>Diesel</t>
  </si>
  <si>
    <t>Kerosine</t>
  </si>
  <si>
    <t>Green Hydrogen</t>
  </si>
  <si>
    <t>Green Hydrogen Mobility</t>
  </si>
  <si>
    <t>Green Hydrogen Steel</t>
  </si>
  <si>
    <t>E-Methanol</t>
  </si>
  <si>
    <t>E-Kerosine</t>
  </si>
  <si>
    <t>E-Methane</t>
  </si>
  <si>
    <t>Fossil</t>
  </si>
  <si>
    <t>Green</t>
  </si>
  <si>
    <t>green_scenario</t>
  </si>
  <si>
    <t>carbon_price</t>
  </si>
  <si>
    <t>type</t>
  </si>
  <si>
    <t>commodity</t>
  </si>
  <si>
    <t>conservative</t>
  </si>
  <si>
    <t>progressive</t>
  </si>
  <si>
    <t>mean</t>
  </si>
  <si>
    <t>no_carbon_price</t>
  </si>
  <si>
    <t>fossil_scenario</t>
  </si>
  <si>
    <t>Methanol</t>
  </si>
  <si>
    <t>Implied Carbon Cost</t>
  </si>
  <si>
    <t>Implied Carbon Price</t>
  </si>
  <si>
    <t>Scenario Carbon Price</t>
  </si>
  <si>
    <t>USD/t</t>
  </si>
  <si>
    <t>USD/MWh (no carbon price)</t>
  </si>
  <si>
    <t>USD/MWh (carbon price)</t>
  </si>
  <si>
    <t>USD/MWh (flat carbon price)</t>
  </si>
  <si>
    <t>Emissions intensity (t CO2 per MWh)</t>
  </si>
  <si>
    <t>flat_carbon_price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</si>
</sst>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3716-2C04-584B-8BC8-58588B45C98C}">
  <dimension ref="A1:AD17"/>
  <sheetViews>
    <sheetView tabSelected="1" workbookViewId="0"/>
  </sheetViews>
  <sheetFormatPr baseColWidth="10" defaultRowHeight="16" x14ac:dyDescent="0.2"/>
  <cols>
    <col min="1" max="1" width="38" customWidth="1"/>
    <col min="3" max="3" width="28.5" customWidth="1"/>
  </cols>
  <sheetData>
    <row r="1" spans="1:30" x14ac:dyDescent="0.2">
      <c r="A1" s="1" t="s">
        <v>15</v>
      </c>
      <c r="B1" s="1" t="s">
        <v>14</v>
      </c>
      <c r="C1" s="1" t="s">
        <v>20</v>
      </c>
      <c r="D1" s="1">
        <v>2024</v>
      </c>
      <c r="E1" s="1">
        <f>D1+1</f>
        <v>2025</v>
      </c>
      <c r="F1" s="1">
        <f t="shared" ref="F1:AD1" si="0">E1+1</f>
        <v>2026</v>
      </c>
      <c r="G1" s="1">
        <f t="shared" si="0"/>
        <v>2027</v>
      </c>
      <c r="H1" s="1">
        <f t="shared" si="0"/>
        <v>2028</v>
      </c>
      <c r="I1" s="1">
        <f t="shared" si="0"/>
        <v>2029</v>
      </c>
      <c r="J1" s="1">
        <f t="shared" si="0"/>
        <v>2030</v>
      </c>
      <c r="K1" s="1">
        <f t="shared" si="0"/>
        <v>2031</v>
      </c>
      <c r="L1" s="1">
        <f t="shared" si="0"/>
        <v>2032</v>
      </c>
      <c r="M1" s="1">
        <f t="shared" si="0"/>
        <v>2033</v>
      </c>
      <c r="N1" s="1">
        <f t="shared" si="0"/>
        <v>2034</v>
      </c>
      <c r="O1" s="1">
        <f t="shared" si="0"/>
        <v>2035</v>
      </c>
      <c r="P1" s="1">
        <f t="shared" si="0"/>
        <v>2036</v>
      </c>
      <c r="Q1" s="1">
        <f t="shared" si="0"/>
        <v>2037</v>
      </c>
      <c r="R1" s="1">
        <f t="shared" si="0"/>
        <v>2038</v>
      </c>
      <c r="S1" s="1">
        <f t="shared" si="0"/>
        <v>2039</v>
      </c>
      <c r="T1" s="1">
        <f t="shared" si="0"/>
        <v>2040</v>
      </c>
      <c r="U1" s="1">
        <f t="shared" si="0"/>
        <v>2041</v>
      </c>
      <c r="V1" s="1">
        <f t="shared" si="0"/>
        <v>2042</v>
      </c>
      <c r="W1" s="1">
        <f t="shared" si="0"/>
        <v>2043</v>
      </c>
      <c r="X1" s="1">
        <f t="shared" si="0"/>
        <v>2044</v>
      </c>
      <c r="Y1" s="1">
        <f t="shared" si="0"/>
        <v>2045</v>
      </c>
      <c r="Z1" s="1">
        <f t="shared" si="0"/>
        <v>2046</v>
      </c>
      <c r="AA1" s="1">
        <f t="shared" si="0"/>
        <v>2047</v>
      </c>
      <c r="AB1" s="1">
        <f t="shared" si="0"/>
        <v>2048</v>
      </c>
      <c r="AC1" s="1">
        <f t="shared" si="0"/>
        <v>2049</v>
      </c>
      <c r="AD1" s="1">
        <f t="shared" si="0"/>
        <v>2050</v>
      </c>
    </row>
    <row r="2" spans="1:30" x14ac:dyDescent="0.2">
      <c r="A2" t="s">
        <v>0</v>
      </c>
      <c r="B2" t="s">
        <v>10</v>
      </c>
      <c r="C2" t="s">
        <v>30</v>
      </c>
      <c r="D2" s="7">
        <f>'Flat Carbon Price Calc'!E19</f>
        <v>43.144999999999996</v>
      </c>
      <c r="E2" s="7">
        <f>'Flat Carbon Price Calc'!F19</f>
        <v>43.56</v>
      </c>
      <c r="F2" s="7">
        <f>'Flat Carbon Price Calc'!G19</f>
        <v>43.975000000000001</v>
      </c>
      <c r="G2" s="7">
        <f>'Flat Carbon Price Calc'!H19</f>
        <v>44.39</v>
      </c>
      <c r="H2" s="7">
        <f>'Flat Carbon Price Calc'!I19</f>
        <v>44.805</v>
      </c>
      <c r="I2" s="7">
        <f>'Flat Carbon Price Calc'!J19</f>
        <v>45.22</v>
      </c>
      <c r="J2" s="7">
        <f>'Flat Carbon Price Calc'!K19</f>
        <v>45.635000000000005</v>
      </c>
      <c r="K2" s="7">
        <f>'Flat Carbon Price Calc'!L19</f>
        <v>45.194000000000003</v>
      </c>
      <c r="L2" s="7">
        <f>'Flat Carbon Price Calc'!M19</f>
        <v>44.753</v>
      </c>
      <c r="M2" s="7">
        <f>'Flat Carbon Price Calc'!N19</f>
        <v>44.311999999999998</v>
      </c>
      <c r="N2" s="7">
        <f>'Flat Carbon Price Calc'!O19</f>
        <v>43.871000000000002</v>
      </c>
      <c r="O2" s="7">
        <f>'Flat Carbon Price Calc'!P19</f>
        <v>43.43</v>
      </c>
      <c r="P2" s="7">
        <f>'Flat Carbon Price Calc'!Q19</f>
        <v>42.989000000000004</v>
      </c>
      <c r="Q2" s="7">
        <f>'Flat Carbon Price Calc'!R19</f>
        <v>42.548000000000002</v>
      </c>
      <c r="R2" s="7">
        <f>'Flat Carbon Price Calc'!S19</f>
        <v>42.106999999999999</v>
      </c>
      <c r="S2" s="7">
        <f>'Flat Carbon Price Calc'!T19</f>
        <v>41.665999999999997</v>
      </c>
      <c r="T2" s="7">
        <f>'Flat Carbon Price Calc'!U19</f>
        <v>41.225000000000001</v>
      </c>
      <c r="U2" s="7">
        <f>'Flat Carbon Price Calc'!V19</f>
        <v>40.784000000000006</v>
      </c>
      <c r="V2" s="7">
        <f>'Flat Carbon Price Calc'!W19</f>
        <v>40.343000000000004</v>
      </c>
      <c r="W2" s="7">
        <f>'Flat Carbon Price Calc'!X19</f>
        <v>39.902000000000001</v>
      </c>
      <c r="X2" s="7">
        <f>'Flat Carbon Price Calc'!Y19</f>
        <v>39.460999999999999</v>
      </c>
      <c r="Y2" s="7">
        <f>'Flat Carbon Price Calc'!Z19</f>
        <v>39.019999999999996</v>
      </c>
      <c r="Z2" s="7">
        <f>'Flat Carbon Price Calc'!AA19</f>
        <v>38.579000000000001</v>
      </c>
      <c r="AA2" s="7">
        <f>'Flat Carbon Price Calc'!AB19</f>
        <v>38.138000000000005</v>
      </c>
      <c r="AB2" s="7">
        <f>'Flat Carbon Price Calc'!AC19</f>
        <v>37.697000000000003</v>
      </c>
      <c r="AC2" s="7">
        <f>'Flat Carbon Price Calc'!AD19</f>
        <v>37.256</v>
      </c>
      <c r="AD2" s="7">
        <f>'Flat Carbon Price Calc'!AE19</f>
        <v>36.814999999999998</v>
      </c>
    </row>
    <row r="3" spans="1:30" x14ac:dyDescent="0.2">
      <c r="A3" t="s">
        <v>0</v>
      </c>
      <c r="B3" t="s">
        <v>10</v>
      </c>
      <c r="C3" t="s">
        <v>19</v>
      </c>
      <c r="D3" s="2">
        <v>24.33</v>
      </c>
      <c r="E3" s="2">
        <v>24.745000000000001</v>
      </c>
      <c r="F3" s="2">
        <v>25.16</v>
      </c>
      <c r="G3" s="2">
        <v>25.574999999999999</v>
      </c>
      <c r="H3" s="2">
        <v>25.99</v>
      </c>
      <c r="I3" s="2">
        <v>26.405000000000001</v>
      </c>
      <c r="J3" s="2">
        <v>26.82</v>
      </c>
      <c r="K3" s="2">
        <v>26.379000000000001</v>
      </c>
      <c r="L3" s="2">
        <v>25.937999999999999</v>
      </c>
      <c r="M3" s="2">
        <v>25.497</v>
      </c>
      <c r="N3" s="2">
        <v>25.056000000000001</v>
      </c>
      <c r="O3" s="2">
        <v>24.614999999999998</v>
      </c>
      <c r="P3" s="2">
        <v>24.173999999999999</v>
      </c>
      <c r="Q3" s="2">
        <v>23.733000000000001</v>
      </c>
      <c r="R3" s="2">
        <v>23.292000000000002</v>
      </c>
      <c r="S3" s="2">
        <v>22.850999999999999</v>
      </c>
      <c r="T3" s="2">
        <v>22.41</v>
      </c>
      <c r="U3" s="2">
        <v>21.969000000000001</v>
      </c>
      <c r="V3" s="2">
        <v>21.527999999999999</v>
      </c>
      <c r="W3" s="2">
        <v>21.087</v>
      </c>
      <c r="X3" s="2">
        <v>20.646000000000001</v>
      </c>
      <c r="Y3" s="2">
        <v>20.204999999999998</v>
      </c>
      <c r="Z3" s="2">
        <v>19.763999999999999</v>
      </c>
      <c r="AA3" s="2">
        <v>19.323</v>
      </c>
      <c r="AB3" s="2">
        <v>18.882000000000001</v>
      </c>
      <c r="AC3" s="2">
        <v>18.440999999999999</v>
      </c>
      <c r="AD3" s="2">
        <v>18</v>
      </c>
    </row>
    <row r="4" spans="1:30" x14ac:dyDescent="0.2">
      <c r="A4" t="s">
        <v>0</v>
      </c>
      <c r="B4" t="s">
        <v>10</v>
      </c>
      <c r="C4" t="s">
        <v>13</v>
      </c>
      <c r="D4" s="2">
        <v>55.23695</v>
      </c>
      <c r="E4" s="2">
        <v>55.651949999999999</v>
      </c>
      <c r="F4" s="2">
        <v>57.800049999999999</v>
      </c>
      <c r="G4" s="2">
        <v>59.948149999999998</v>
      </c>
      <c r="H4" s="2">
        <v>62.096249999999998</v>
      </c>
      <c r="I4" s="2">
        <v>64.244349999999997</v>
      </c>
      <c r="J4" s="2">
        <v>66.392449999999997</v>
      </c>
      <c r="K4" s="2">
        <v>68.204480000000004</v>
      </c>
      <c r="L4" s="2">
        <v>70.016509999999997</v>
      </c>
      <c r="M4" s="2">
        <v>71.828540000000004</v>
      </c>
      <c r="N4" s="2">
        <v>73.640569999999997</v>
      </c>
      <c r="O4" s="2">
        <v>75.452600000000004</v>
      </c>
      <c r="P4" s="2">
        <v>77.900099999999995</v>
      </c>
      <c r="Q4" s="2">
        <v>80.3476</v>
      </c>
      <c r="R4" s="2">
        <v>82.795100000000005</v>
      </c>
      <c r="S4" s="2">
        <v>85.242599999999996</v>
      </c>
      <c r="T4" s="2">
        <v>87.690100000000001</v>
      </c>
      <c r="U4" s="2">
        <v>90.946380000000005</v>
      </c>
      <c r="V4" s="2">
        <v>94.202659999999995</v>
      </c>
      <c r="W4" s="2">
        <v>97.458939999999998</v>
      </c>
      <c r="X4" s="2">
        <v>100.71522</v>
      </c>
      <c r="Y4" s="2">
        <v>103.97150000000001</v>
      </c>
      <c r="Z4" s="2">
        <v>108.32541000000001</v>
      </c>
      <c r="AA4" s="2">
        <v>112.67932</v>
      </c>
      <c r="AB4" s="2">
        <v>117.03323</v>
      </c>
      <c r="AC4" s="2">
        <v>121.38714</v>
      </c>
      <c r="AD4" s="2">
        <v>125.74105</v>
      </c>
    </row>
    <row r="5" spans="1:30" x14ac:dyDescent="0.2">
      <c r="A5" t="s">
        <v>1</v>
      </c>
      <c r="B5" t="s">
        <v>10</v>
      </c>
      <c r="C5" t="s">
        <v>30</v>
      </c>
      <c r="D5" s="2">
        <f>'Flat Carbon Price Calc'!E20</f>
        <v>57.849999999999994</v>
      </c>
      <c r="E5" s="2">
        <f>'Flat Carbon Price Calc'!F20</f>
        <v>58.402222222222193</v>
      </c>
      <c r="F5" s="2">
        <f>'Flat Carbon Price Calc'!G20</f>
        <v>58.954444444444391</v>
      </c>
      <c r="G5" s="2">
        <f>'Flat Carbon Price Calc'!H20</f>
        <v>59.506666666666703</v>
      </c>
      <c r="H5" s="2">
        <f>'Flat Carbon Price Calc'!I20</f>
        <v>60.058888888888902</v>
      </c>
      <c r="I5" s="2">
        <f>'Flat Carbon Price Calc'!J20</f>
        <v>60.6111111111111</v>
      </c>
      <c r="J5" s="2">
        <f>'Flat Carbon Price Calc'!K20</f>
        <v>61.163333333333298</v>
      </c>
      <c r="K5" s="2">
        <f>'Flat Carbon Price Calc'!L20</f>
        <v>60.575333333333305</v>
      </c>
      <c r="L5" s="2">
        <f>'Flat Carbon Price Calc'!M20</f>
        <v>59.987333333333297</v>
      </c>
      <c r="M5" s="2">
        <f>'Flat Carbon Price Calc'!N20</f>
        <v>59.399333333333303</v>
      </c>
      <c r="N5" s="2">
        <f>'Flat Carbon Price Calc'!O20</f>
        <v>58.811333333333295</v>
      </c>
      <c r="O5" s="2">
        <f>'Flat Carbon Price Calc'!P20</f>
        <v>58.223333333333301</v>
      </c>
      <c r="P5" s="2">
        <f>'Flat Carbon Price Calc'!Q20</f>
        <v>57.635333333333293</v>
      </c>
      <c r="Q5" s="2">
        <f>'Flat Carbon Price Calc'!R20</f>
        <v>57.047333333333299</v>
      </c>
      <c r="R5" s="2">
        <f>'Flat Carbon Price Calc'!S20</f>
        <v>56.459333333333298</v>
      </c>
      <c r="S5" s="2">
        <f>'Flat Carbon Price Calc'!T20</f>
        <v>55.871333333333297</v>
      </c>
      <c r="T5" s="2">
        <f>'Flat Carbon Price Calc'!U20</f>
        <v>55.283333333333303</v>
      </c>
      <c r="U5" s="2">
        <f>'Flat Carbon Price Calc'!V20</f>
        <v>54.695333333333295</v>
      </c>
      <c r="V5" s="2">
        <f>'Flat Carbon Price Calc'!W20</f>
        <v>54.107333333333301</v>
      </c>
      <c r="W5" s="2">
        <f>'Flat Carbon Price Calc'!X20</f>
        <v>53.519333333333293</v>
      </c>
      <c r="X5" s="2">
        <f>'Flat Carbon Price Calc'!Y20</f>
        <v>52.931333333333299</v>
      </c>
      <c r="Y5" s="2">
        <f>'Flat Carbon Price Calc'!Z20</f>
        <v>52.343333333333298</v>
      </c>
      <c r="Z5" s="2">
        <f>'Flat Carbon Price Calc'!AA20</f>
        <v>51.755333333333297</v>
      </c>
      <c r="AA5" s="2">
        <f>'Flat Carbon Price Calc'!AB20</f>
        <v>51.167333333333296</v>
      </c>
      <c r="AB5" s="2">
        <f>'Flat Carbon Price Calc'!AC20</f>
        <v>50.579333333333295</v>
      </c>
      <c r="AC5" s="2">
        <f>'Flat Carbon Price Calc'!AD20</f>
        <v>49.991333333333301</v>
      </c>
      <c r="AD5" s="2">
        <f>'Flat Carbon Price Calc'!AE20</f>
        <v>49.403333333333293</v>
      </c>
    </row>
    <row r="6" spans="1:30" x14ac:dyDescent="0.2">
      <c r="A6" t="s">
        <v>1</v>
      </c>
      <c r="B6" t="s">
        <v>10</v>
      </c>
      <c r="C6" t="s">
        <v>19</v>
      </c>
      <c r="D6" s="2">
        <v>33</v>
      </c>
      <c r="E6" s="2">
        <v>33.552222222222198</v>
      </c>
      <c r="F6" s="2">
        <v>34.104444444444397</v>
      </c>
      <c r="G6" s="2">
        <v>34.656666666666702</v>
      </c>
      <c r="H6" s="2">
        <v>35.2088888888889</v>
      </c>
      <c r="I6" s="2">
        <v>35.761111111111099</v>
      </c>
      <c r="J6" s="2">
        <v>36.313333333333297</v>
      </c>
      <c r="K6" s="2">
        <v>35.725333333333303</v>
      </c>
      <c r="L6" s="2">
        <v>35.137333333333302</v>
      </c>
      <c r="M6" s="2">
        <v>34.549333333333301</v>
      </c>
      <c r="N6" s="2">
        <v>33.9613333333333</v>
      </c>
      <c r="O6" s="2">
        <v>33.373333333333299</v>
      </c>
      <c r="P6" s="2">
        <v>32.785333333333298</v>
      </c>
      <c r="Q6" s="2">
        <v>32.197333333333297</v>
      </c>
      <c r="R6" s="2">
        <v>31.6093333333333</v>
      </c>
      <c r="S6" s="2">
        <v>31.021333333333299</v>
      </c>
      <c r="T6" s="2">
        <v>30.433333333333302</v>
      </c>
      <c r="U6" s="2">
        <v>29.845333333333301</v>
      </c>
      <c r="V6" s="2">
        <v>29.2573333333333</v>
      </c>
      <c r="W6" s="2">
        <v>28.669333333333299</v>
      </c>
      <c r="X6" s="2">
        <v>28.081333333333301</v>
      </c>
      <c r="Y6" s="2">
        <v>27.4933333333333</v>
      </c>
      <c r="Z6" s="2">
        <v>26.905333333333299</v>
      </c>
      <c r="AA6" s="2">
        <v>26.317333333333298</v>
      </c>
      <c r="AB6" s="2">
        <v>25.729333333333301</v>
      </c>
      <c r="AC6" s="2">
        <v>25.1413333333333</v>
      </c>
      <c r="AD6" s="2">
        <v>24.553333333333299</v>
      </c>
    </row>
    <row r="7" spans="1:30" x14ac:dyDescent="0.2">
      <c r="A7" s="3" t="s">
        <v>1</v>
      </c>
      <c r="B7" t="s">
        <v>10</v>
      </c>
      <c r="C7" t="s">
        <v>13</v>
      </c>
      <c r="D7" s="2">
        <v>74.209266666666693</v>
      </c>
      <c r="E7" s="2">
        <v>74.761488888888906</v>
      </c>
      <c r="F7" s="2">
        <v>77.624511111111104</v>
      </c>
      <c r="G7" s="2">
        <v>80.487533333333303</v>
      </c>
      <c r="H7" s="2">
        <v>83.350555555555601</v>
      </c>
      <c r="I7" s="2">
        <v>86.2135777777778</v>
      </c>
      <c r="J7" s="2">
        <v>89.076599999999999</v>
      </c>
      <c r="K7" s="2">
        <v>91.492639999999994</v>
      </c>
      <c r="L7" s="2">
        <v>93.908680000000004</v>
      </c>
      <c r="M7" s="2">
        <v>96.324719999999999</v>
      </c>
      <c r="N7" s="2">
        <v>98.740759999999995</v>
      </c>
      <c r="O7" s="2">
        <v>101.1568</v>
      </c>
      <c r="P7" s="2">
        <v>104.420133333333</v>
      </c>
      <c r="Q7" s="2">
        <v>107.683466666667</v>
      </c>
      <c r="R7" s="2">
        <v>110.9468</v>
      </c>
      <c r="S7" s="2">
        <v>114.210133333333</v>
      </c>
      <c r="T7" s="2">
        <v>117.47346666666699</v>
      </c>
      <c r="U7" s="2">
        <v>121.81517333333299</v>
      </c>
      <c r="V7" s="2">
        <v>126.15688</v>
      </c>
      <c r="W7" s="2">
        <v>130.49858666666699</v>
      </c>
      <c r="X7" s="2">
        <v>134.84029333333299</v>
      </c>
      <c r="Y7" s="2">
        <v>139.18199999999999</v>
      </c>
      <c r="Z7" s="2">
        <v>144.98721333333299</v>
      </c>
      <c r="AA7" s="2">
        <v>150.79242666666701</v>
      </c>
      <c r="AB7" s="2">
        <v>156.59764000000001</v>
      </c>
      <c r="AC7" s="2">
        <v>162.40285333333301</v>
      </c>
      <c r="AD7" s="2">
        <v>168.20806666666701</v>
      </c>
    </row>
    <row r="8" spans="1:30" x14ac:dyDescent="0.2">
      <c r="A8" t="s">
        <v>2</v>
      </c>
      <c r="B8" t="s">
        <v>10</v>
      </c>
      <c r="C8" t="s">
        <v>30</v>
      </c>
      <c r="D8" s="2">
        <f>'Flat Carbon Price Calc'!E21</f>
        <v>82.75</v>
      </c>
      <c r="E8" s="2">
        <f>'Flat Carbon Price Calc'!F21</f>
        <v>81.382592592592601</v>
      </c>
      <c r="F8" s="2">
        <f>'Flat Carbon Price Calc'!G21</f>
        <v>80.015185185185203</v>
      </c>
      <c r="G8" s="2">
        <f>'Flat Carbon Price Calc'!H21</f>
        <v>78.647777777777804</v>
      </c>
      <c r="H8" s="2">
        <f>'Flat Carbon Price Calc'!I21</f>
        <v>77.280370370370406</v>
      </c>
      <c r="I8" s="2">
        <f>'Flat Carbon Price Calc'!J21</f>
        <v>75.912962962963007</v>
      </c>
      <c r="J8" s="2">
        <f>'Flat Carbon Price Calc'!K21</f>
        <v>74.545555555555609</v>
      </c>
      <c r="K8" s="2">
        <f>'Flat Carbon Price Calc'!L21</f>
        <v>73.163888888888891</v>
      </c>
      <c r="L8" s="2">
        <f>'Flat Carbon Price Calc'!M21</f>
        <v>71.782222222222202</v>
      </c>
      <c r="M8" s="2">
        <f>'Flat Carbon Price Calc'!N21</f>
        <v>70.400555555555599</v>
      </c>
      <c r="N8" s="2">
        <f>'Flat Carbon Price Calc'!O21</f>
        <v>69.01888888888891</v>
      </c>
      <c r="O8" s="2">
        <f>'Flat Carbon Price Calc'!P21</f>
        <v>67.637222222222192</v>
      </c>
      <c r="P8" s="2">
        <f>'Flat Carbon Price Calc'!Q21</f>
        <v>66.255555555555603</v>
      </c>
      <c r="Q8" s="2">
        <f>'Flat Carbon Price Calc'!R21</f>
        <v>64.873888888888899</v>
      </c>
      <c r="R8" s="2">
        <f>'Flat Carbon Price Calc'!S21</f>
        <v>63.492222222222203</v>
      </c>
      <c r="S8" s="2">
        <f>'Flat Carbon Price Calc'!T21</f>
        <v>62.110555555555599</v>
      </c>
      <c r="T8" s="2">
        <f>'Flat Carbon Price Calc'!U21</f>
        <v>60.728888888888903</v>
      </c>
      <c r="U8" s="2">
        <f>'Flat Carbon Price Calc'!V21</f>
        <v>59.3472222222222</v>
      </c>
      <c r="V8" s="2">
        <f>'Flat Carbon Price Calc'!W21</f>
        <v>57.965555555555603</v>
      </c>
      <c r="W8" s="2">
        <f>'Flat Carbon Price Calc'!X21</f>
        <v>56.5838888888889</v>
      </c>
      <c r="X8" s="2">
        <f>'Flat Carbon Price Calc'!Y21</f>
        <v>55.202222222222197</v>
      </c>
      <c r="Y8" s="2">
        <f>'Flat Carbon Price Calc'!Z21</f>
        <v>53.8205555555556</v>
      </c>
      <c r="Z8" s="2">
        <f>'Flat Carbon Price Calc'!AA21</f>
        <v>52.438888888888897</v>
      </c>
      <c r="AA8" s="2">
        <f>'Flat Carbon Price Calc'!AB21</f>
        <v>51.057222222222201</v>
      </c>
      <c r="AB8" s="2">
        <f>'Flat Carbon Price Calc'!AC21</f>
        <v>49.675555555555604</v>
      </c>
      <c r="AC8" s="2">
        <f>'Flat Carbon Price Calc'!AD21</f>
        <v>48.293888888888901</v>
      </c>
      <c r="AD8" s="2">
        <f>'Flat Carbon Price Calc'!AE21</f>
        <v>46.912222222222198</v>
      </c>
    </row>
    <row r="9" spans="1:30" x14ac:dyDescent="0.2">
      <c r="A9" t="s">
        <v>2</v>
      </c>
      <c r="B9" t="s">
        <v>10</v>
      </c>
      <c r="C9" t="s">
        <v>19</v>
      </c>
      <c r="D9" s="2">
        <v>65</v>
      </c>
      <c r="E9" s="2">
        <v>63.632592592592601</v>
      </c>
      <c r="F9" s="2">
        <v>62.265185185185203</v>
      </c>
      <c r="G9" s="2">
        <v>60.897777777777797</v>
      </c>
      <c r="H9" s="2">
        <v>59.530370370370399</v>
      </c>
      <c r="I9" s="2">
        <v>58.162962962963</v>
      </c>
      <c r="J9" s="2">
        <v>56.795555555555602</v>
      </c>
      <c r="K9" s="2">
        <v>55.413888888888899</v>
      </c>
      <c r="L9" s="2">
        <v>54.032222222222202</v>
      </c>
      <c r="M9" s="2">
        <v>52.650555555555599</v>
      </c>
      <c r="N9" s="2">
        <v>51.268888888888902</v>
      </c>
      <c r="O9" s="2">
        <v>49.887222222222199</v>
      </c>
      <c r="P9" s="2">
        <v>48.505555555555603</v>
      </c>
      <c r="Q9" s="2">
        <v>47.123888888888899</v>
      </c>
      <c r="R9" s="2">
        <v>45.742222222222203</v>
      </c>
      <c r="S9" s="2">
        <v>44.360555555555599</v>
      </c>
      <c r="T9" s="2">
        <v>42.978888888888903</v>
      </c>
      <c r="U9" s="2">
        <v>41.5972222222222</v>
      </c>
      <c r="V9" s="2">
        <v>40.215555555555603</v>
      </c>
      <c r="W9" s="2">
        <v>38.8338888888889</v>
      </c>
      <c r="X9" s="2">
        <v>37.452222222222197</v>
      </c>
      <c r="Y9" s="2">
        <v>36.0705555555556</v>
      </c>
      <c r="Z9" s="2">
        <v>34.688888888888897</v>
      </c>
      <c r="AA9" s="2">
        <v>33.307222222222201</v>
      </c>
      <c r="AB9" s="2">
        <v>31.925555555555601</v>
      </c>
      <c r="AC9" s="2">
        <v>30.543888888888901</v>
      </c>
      <c r="AD9" s="2">
        <v>29.162222222222201</v>
      </c>
    </row>
    <row r="10" spans="1:30" x14ac:dyDescent="0.2">
      <c r="A10" t="s">
        <v>2</v>
      </c>
      <c r="B10" t="s">
        <v>10</v>
      </c>
      <c r="C10" s="3" t="s">
        <v>13</v>
      </c>
      <c r="D10" s="2">
        <v>94.157499999999999</v>
      </c>
      <c r="E10" s="2">
        <v>92.7900925925926</v>
      </c>
      <c r="F10" s="2">
        <v>93.057685185185207</v>
      </c>
      <c r="G10" s="2">
        <v>93.325277777777799</v>
      </c>
      <c r="H10" s="2">
        <v>93.592870370370406</v>
      </c>
      <c r="I10" s="2">
        <v>93.860462962962998</v>
      </c>
      <c r="J10" s="2">
        <v>94.128055555555605</v>
      </c>
      <c r="K10" s="2">
        <v>94.871888888888904</v>
      </c>
      <c r="L10" s="2">
        <v>95.615722222222203</v>
      </c>
      <c r="M10" s="2">
        <v>96.359555555555602</v>
      </c>
      <c r="N10" s="2">
        <v>97.103388888888901</v>
      </c>
      <c r="O10" s="2">
        <v>97.8472222222222</v>
      </c>
      <c r="P10" s="2">
        <v>99.190555555555605</v>
      </c>
      <c r="Q10" s="2">
        <v>100.533888888889</v>
      </c>
      <c r="R10" s="2">
        <v>101.877222222222</v>
      </c>
      <c r="S10" s="2">
        <v>103.220555555556</v>
      </c>
      <c r="T10" s="2">
        <v>104.563888888889</v>
      </c>
      <c r="U10" s="2">
        <v>106.67022222222199</v>
      </c>
      <c r="V10" s="2">
        <v>108.776555555556</v>
      </c>
      <c r="W10" s="2">
        <v>110.882888888889</v>
      </c>
      <c r="X10" s="2">
        <v>112.989222222222</v>
      </c>
      <c r="Y10" s="2">
        <v>115.095555555556</v>
      </c>
      <c r="Z10" s="2">
        <v>118.237388888889</v>
      </c>
      <c r="AA10" s="2">
        <v>121.379222222222</v>
      </c>
      <c r="AB10" s="2">
        <v>124.521055555556</v>
      </c>
      <c r="AC10" s="2">
        <v>127.662888888889</v>
      </c>
      <c r="AD10" s="2">
        <v>130.80472222222201</v>
      </c>
    </row>
    <row r="11" spans="1:30" x14ac:dyDescent="0.2">
      <c r="A11" t="s">
        <v>21</v>
      </c>
      <c r="B11" t="s">
        <v>10</v>
      </c>
      <c r="C11" t="s">
        <v>30</v>
      </c>
      <c r="D11" s="2">
        <f>'Flat Carbon Price Calc'!E22</f>
        <v>83.27</v>
      </c>
      <c r="E11" s="2">
        <f>'Flat Carbon Price Calc'!F22</f>
        <v>83.900238095238095</v>
      </c>
      <c r="F11" s="2">
        <f>'Flat Carbon Price Calc'!G22</f>
        <v>84.530476190476193</v>
      </c>
      <c r="G11" s="2">
        <f>'Flat Carbon Price Calc'!H22</f>
        <v>85.160714285714306</v>
      </c>
      <c r="H11" s="2">
        <f>'Flat Carbon Price Calc'!I22</f>
        <v>85.790952380952405</v>
      </c>
      <c r="I11" s="2">
        <f>'Flat Carbon Price Calc'!J22</f>
        <v>86.421190476190503</v>
      </c>
      <c r="J11" s="2">
        <f>'Flat Carbon Price Calc'!K22</f>
        <v>87.051428571428602</v>
      </c>
      <c r="K11" s="2">
        <f>'Flat Carbon Price Calc'!L22</f>
        <v>86.421428571428606</v>
      </c>
      <c r="L11" s="2">
        <f>'Flat Carbon Price Calc'!M22</f>
        <v>85.791428571428597</v>
      </c>
      <c r="M11" s="2">
        <f>'Flat Carbon Price Calc'!N22</f>
        <v>85.161428571428601</v>
      </c>
      <c r="N11" s="2">
        <f>'Flat Carbon Price Calc'!O22</f>
        <v>84.531428571428606</v>
      </c>
      <c r="O11" s="2">
        <f>'Flat Carbon Price Calc'!P22</f>
        <v>83.901428571428596</v>
      </c>
      <c r="P11" s="2">
        <f>'Flat Carbon Price Calc'!Q22</f>
        <v>83.271428571428601</v>
      </c>
      <c r="Q11" s="2">
        <f>'Flat Carbon Price Calc'!R22</f>
        <v>82.641428571428605</v>
      </c>
      <c r="R11" s="2">
        <f>'Flat Carbon Price Calc'!S22</f>
        <v>82.011428571428596</v>
      </c>
      <c r="S11" s="2">
        <f>'Flat Carbon Price Calc'!T22</f>
        <v>81.3814285714286</v>
      </c>
      <c r="T11" s="2">
        <f>'Flat Carbon Price Calc'!U22</f>
        <v>80.751428571428605</v>
      </c>
      <c r="U11" s="2">
        <f>'Flat Carbon Price Calc'!V22</f>
        <v>80.121428571428595</v>
      </c>
      <c r="V11" s="2">
        <f>'Flat Carbon Price Calc'!W22</f>
        <v>79.4914285714286</v>
      </c>
      <c r="W11" s="2">
        <f>'Flat Carbon Price Calc'!X22</f>
        <v>78.861428571428604</v>
      </c>
      <c r="X11" s="2">
        <f>'Flat Carbon Price Calc'!Y22</f>
        <v>78.231428571428594</v>
      </c>
      <c r="Y11" s="2">
        <f>'Flat Carbon Price Calc'!Z22</f>
        <v>77.601428571428599</v>
      </c>
      <c r="Z11" s="2">
        <f>'Flat Carbon Price Calc'!AA22</f>
        <v>76.971428571428604</v>
      </c>
      <c r="AA11" s="2">
        <f>'Flat Carbon Price Calc'!AB22</f>
        <v>76.341428571428594</v>
      </c>
      <c r="AB11" s="2">
        <f>'Flat Carbon Price Calc'!AC22</f>
        <v>75.711428571428598</v>
      </c>
      <c r="AC11" s="2">
        <f>'Flat Carbon Price Calc'!AD22</f>
        <v>75.081428571428603</v>
      </c>
      <c r="AD11" s="2">
        <f>'Flat Carbon Price Calc'!AE22</f>
        <v>74.451428571428593</v>
      </c>
    </row>
    <row r="12" spans="1:30" x14ac:dyDescent="0.2">
      <c r="A12" t="s">
        <v>21</v>
      </c>
      <c r="B12" t="s">
        <v>10</v>
      </c>
      <c r="C12" t="s">
        <v>19</v>
      </c>
      <c r="D12" s="2">
        <v>57</v>
      </c>
      <c r="E12" s="2">
        <v>57.630238095238099</v>
      </c>
      <c r="F12" s="2">
        <v>58.260476190476197</v>
      </c>
      <c r="G12" s="2">
        <v>58.890714285714303</v>
      </c>
      <c r="H12" s="2">
        <v>59.520952380952401</v>
      </c>
      <c r="I12" s="2">
        <v>60.1511904761905</v>
      </c>
      <c r="J12" s="2">
        <v>60.781428571428599</v>
      </c>
      <c r="K12" s="2">
        <v>60.151428571428603</v>
      </c>
      <c r="L12" s="2">
        <v>59.521428571428601</v>
      </c>
      <c r="M12" s="2">
        <v>58.891428571428598</v>
      </c>
      <c r="N12" s="2">
        <v>58.261428571428603</v>
      </c>
      <c r="O12" s="2">
        <v>57.6314285714286</v>
      </c>
      <c r="P12" s="2">
        <v>57.001428571428598</v>
      </c>
      <c r="Q12" s="2">
        <v>56.371428571428602</v>
      </c>
      <c r="R12" s="2">
        <v>55.7414285714286</v>
      </c>
      <c r="S12" s="2">
        <v>55.111428571428597</v>
      </c>
      <c r="T12" s="2">
        <v>54.481428571428602</v>
      </c>
      <c r="U12" s="2">
        <v>53.851428571428599</v>
      </c>
      <c r="V12" s="2">
        <v>53.221428571428604</v>
      </c>
      <c r="W12" s="2">
        <v>52.591428571428601</v>
      </c>
      <c r="X12" s="2">
        <v>51.961428571428598</v>
      </c>
      <c r="Y12" s="2">
        <v>51.331428571428603</v>
      </c>
      <c r="Z12" s="2">
        <v>50.7014285714286</v>
      </c>
      <c r="AA12" s="2">
        <v>50.071428571428598</v>
      </c>
      <c r="AB12" s="2">
        <v>49.441428571428602</v>
      </c>
      <c r="AC12" s="2">
        <v>48.8114285714286</v>
      </c>
      <c r="AD12" s="2">
        <v>48.181428571428597</v>
      </c>
    </row>
    <row r="13" spans="1:30" x14ac:dyDescent="0.2">
      <c r="A13" t="s">
        <v>21</v>
      </c>
      <c r="B13" t="s">
        <v>10</v>
      </c>
      <c r="C13" s="3" t="s">
        <v>13</v>
      </c>
      <c r="D13" s="2">
        <v>101.152785714286</v>
      </c>
      <c r="E13" s="2">
        <v>101.783023809524</v>
      </c>
      <c r="F13" s="2">
        <v>104.889119047619</v>
      </c>
      <c r="G13" s="2">
        <v>107.995214285714</v>
      </c>
      <c r="H13" s="2">
        <v>111.10130952381</v>
      </c>
      <c r="I13" s="2">
        <v>114.207404761905</v>
      </c>
      <c r="J13" s="2">
        <v>117.3135</v>
      </c>
      <c r="K13" s="2">
        <v>119.90211428571401</v>
      </c>
      <c r="L13" s="2">
        <v>122.490728571429</v>
      </c>
      <c r="M13" s="2">
        <v>125.079342857143</v>
      </c>
      <c r="N13" s="2">
        <v>127.66795714285701</v>
      </c>
      <c r="O13" s="2">
        <v>130.25657142857099</v>
      </c>
      <c r="P13" s="2">
        <v>133.75299999999999</v>
      </c>
      <c r="Q13" s="2">
        <v>137.24942857142901</v>
      </c>
      <c r="R13" s="2">
        <v>140.74585714285701</v>
      </c>
      <c r="S13" s="2">
        <v>144.242285714286</v>
      </c>
      <c r="T13" s="2">
        <v>147.738714285714</v>
      </c>
      <c r="U13" s="2">
        <v>152.390542857143</v>
      </c>
      <c r="V13" s="2">
        <v>157.04237142857099</v>
      </c>
      <c r="W13" s="2">
        <v>161.6942</v>
      </c>
      <c r="X13" s="2">
        <v>166.346028571429</v>
      </c>
      <c r="Y13" s="2">
        <v>170.99785714285699</v>
      </c>
      <c r="Z13" s="2">
        <v>177.21772857142901</v>
      </c>
      <c r="AA13" s="2">
        <v>183.4376</v>
      </c>
      <c r="AB13" s="2">
        <v>189.657471428571</v>
      </c>
      <c r="AC13" s="2">
        <v>195.87734285714299</v>
      </c>
      <c r="AD13" s="2">
        <v>202.09721428571399</v>
      </c>
    </row>
    <row r="14" spans="1:30" x14ac:dyDescent="0.2">
      <c r="A14" t="s">
        <v>3</v>
      </c>
      <c r="B14" t="s">
        <v>10</v>
      </c>
      <c r="C14" t="s">
        <v>30</v>
      </c>
      <c r="D14" s="2">
        <f>'Flat Carbon Price Calc'!E23</f>
        <v>85.72</v>
      </c>
      <c r="E14" s="2">
        <f>'Flat Carbon Price Calc'!F23</f>
        <v>84.3525925925926</v>
      </c>
      <c r="F14" s="2">
        <f>'Flat Carbon Price Calc'!G23</f>
        <v>82.985185185185202</v>
      </c>
      <c r="G14" s="2">
        <f>'Flat Carbon Price Calc'!H23</f>
        <v>81.617777777777803</v>
      </c>
      <c r="H14" s="2">
        <f>'Flat Carbon Price Calc'!I23</f>
        <v>80.250370370370405</v>
      </c>
      <c r="I14" s="2">
        <f>'Flat Carbon Price Calc'!J23</f>
        <v>78.882962962963006</v>
      </c>
      <c r="J14" s="2">
        <f>'Flat Carbon Price Calc'!K23</f>
        <v>77.515555555555608</v>
      </c>
      <c r="K14" s="2">
        <f>'Flat Carbon Price Calc'!L23</f>
        <v>76.13388888888889</v>
      </c>
      <c r="L14" s="2">
        <f>'Flat Carbon Price Calc'!M23</f>
        <v>74.752222222222201</v>
      </c>
      <c r="M14" s="2">
        <f>'Flat Carbon Price Calc'!N23</f>
        <v>73.370555555555597</v>
      </c>
      <c r="N14" s="2">
        <f>'Flat Carbon Price Calc'!O23</f>
        <v>71.988888888888908</v>
      </c>
      <c r="O14" s="2">
        <f>'Flat Carbon Price Calc'!P23</f>
        <v>70.607222222222191</v>
      </c>
      <c r="P14" s="2">
        <f>'Flat Carbon Price Calc'!Q23</f>
        <v>69.225555555555601</v>
      </c>
      <c r="Q14" s="2">
        <f>'Flat Carbon Price Calc'!R23</f>
        <v>67.843888888888898</v>
      </c>
      <c r="R14" s="2">
        <f>'Flat Carbon Price Calc'!S23</f>
        <v>66.462222222222209</v>
      </c>
      <c r="S14" s="2">
        <f>'Flat Carbon Price Calc'!T23</f>
        <v>65.080555555555605</v>
      </c>
      <c r="T14" s="2">
        <f>'Flat Carbon Price Calc'!U23</f>
        <v>63.698888888888902</v>
      </c>
      <c r="U14" s="2">
        <f>'Flat Carbon Price Calc'!V23</f>
        <v>62.317222222222199</v>
      </c>
      <c r="V14" s="2">
        <f>'Flat Carbon Price Calc'!W23</f>
        <v>60.935555555555602</v>
      </c>
      <c r="W14" s="2">
        <f>'Flat Carbon Price Calc'!X23</f>
        <v>59.553888888888899</v>
      </c>
      <c r="X14" s="2">
        <f>'Flat Carbon Price Calc'!Y23</f>
        <v>58.172222222222196</v>
      </c>
      <c r="Y14" s="2">
        <f>'Flat Carbon Price Calc'!Z23</f>
        <v>56.790555555555599</v>
      </c>
      <c r="Z14" s="2">
        <f>'Flat Carbon Price Calc'!AA23</f>
        <v>55.408888888888896</v>
      </c>
      <c r="AA14" s="2">
        <f>'Flat Carbon Price Calc'!AB23</f>
        <v>54.0272222222222</v>
      </c>
      <c r="AB14" s="2">
        <f>'Flat Carbon Price Calc'!AC23</f>
        <v>52.645555555555603</v>
      </c>
      <c r="AC14" s="2">
        <f>'Flat Carbon Price Calc'!AD23</f>
        <v>51.2638888888889</v>
      </c>
      <c r="AD14" s="2">
        <f>'Flat Carbon Price Calc'!AE23</f>
        <v>49.882222222222197</v>
      </c>
    </row>
    <row r="15" spans="1:30" x14ac:dyDescent="0.2">
      <c r="A15" t="s">
        <v>3</v>
      </c>
      <c r="B15" t="s">
        <v>10</v>
      </c>
      <c r="C15" t="s">
        <v>19</v>
      </c>
      <c r="D15" s="2">
        <v>63</v>
      </c>
      <c r="E15" s="2">
        <v>61.632592592592601</v>
      </c>
      <c r="F15" s="2">
        <v>60.265185185185203</v>
      </c>
      <c r="G15" s="2">
        <v>58.897777777777797</v>
      </c>
      <c r="H15" s="2">
        <v>57.530370370370399</v>
      </c>
      <c r="I15" s="2">
        <v>56.162962962963</v>
      </c>
      <c r="J15" s="2">
        <v>54.795555555555602</v>
      </c>
      <c r="K15" s="2">
        <v>53.413888888888899</v>
      </c>
      <c r="L15" s="2">
        <v>52.032222222222202</v>
      </c>
      <c r="M15" s="2">
        <v>50.650555555555599</v>
      </c>
      <c r="N15" s="2">
        <v>49.268888888888902</v>
      </c>
      <c r="O15" s="2">
        <v>47.887222222222199</v>
      </c>
      <c r="P15" s="2">
        <v>46.505555555555603</v>
      </c>
      <c r="Q15" s="2">
        <v>45.123888888888899</v>
      </c>
      <c r="R15" s="2">
        <v>43.742222222222203</v>
      </c>
      <c r="S15" s="2">
        <v>42.360555555555599</v>
      </c>
      <c r="T15" s="2">
        <v>40.978888888888903</v>
      </c>
      <c r="U15" s="2">
        <v>39.5972222222222</v>
      </c>
      <c r="V15" s="2">
        <v>38.215555555555603</v>
      </c>
      <c r="W15" s="2">
        <v>36.8338888888889</v>
      </c>
      <c r="X15" s="2">
        <v>35.452222222222197</v>
      </c>
      <c r="Y15" s="2">
        <v>34.0705555555556</v>
      </c>
      <c r="Z15" s="2">
        <v>32.688888888888897</v>
      </c>
      <c r="AA15" s="2">
        <v>31.307222222222201</v>
      </c>
      <c r="AB15" s="2">
        <v>29.925555555555601</v>
      </c>
      <c r="AC15" s="2">
        <v>28.543888888888901</v>
      </c>
      <c r="AD15" s="2">
        <v>27.162222222222201</v>
      </c>
    </row>
    <row r="16" spans="1:30" x14ac:dyDescent="0.2">
      <c r="A16" t="s">
        <v>3</v>
      </c>
      <c r="B16" t="s">
        <v>10</v>
      </c>
      <c r="C16" s="3" t="s">
        <v>13</v>
      </c>
      <c r="D16" s="2">
        <v>100.3216</v>
      </c>
      <c r="E16" s="2">
        <v>98.954192592592605</v>
      </c>
      <c r="F16" s="2">
        <v>99.679585185185203</v>
      </c>
      <c r="G16" s="2">
        <v>100.404977777778</v>
      </c>
      <c r="H16" s="2">
        <v>101.13037037037</v>
      </c>
      <c r="I16" s="2">
        <v>101.855762962963</v>
      </c>
      <c r="J16" s="2">
        <v>102.58115555555599</v>
      </c>
      <c r="K16" s="2">
        <v>103.920128888889</v>
      </c>
      <c r="L16" s="2">
        <v>105.259102222222</v>
      </c>
      <c r="M16" s="2">
        <v>106.59807555555599</v>
      </c>
      <c r="N16" s="2">
        <v>107.937048888889</v>
      </c>
      <c r="O16" s="2">
        <v>109.276022222222</v>
      </c>
      <c r="P16" s="2">
        <v>111.382355555556</v>
      </c>
      <c r="Q16" s="2">
        <v>113.488688888889</v>
      </c>
      <c r="R16" s="2">
        <v>115.595022222222</v>
      </c>
      <c r="S16" s="2">
        <v>117.70135555555601</v>
      </c>
      <c r="T16" s="2">
        <v>119.807688888889</v>
      </c>
      <c r="U16" s="2">
        <v>122.89066222222201</v>
      </c>
      <c r="V16" s="2">
        <v>125.973635555556</v>
      </c>
      <c r="W16" s="2">
        <v>129.056608888889</v>
      </c>
      <c r="X16" s="2">
        <v>132.139582222222</v>
      </c>
      <c r="Y16" s="2">
        <v>135.222555555556</v>
      </c>
      <c r="Z16" s="2">
        <v>139.63096888888899</v>
      </c>
      <c r="AA16" s="2">
        <v>144.039382222222</v>
      </c>
      <c r="AB16" s="2">
        <v>148.44779555555601</v>
      </c>
      <c r="AC16" s="2">
        <v>152.856208888889</v>
      </c>
      <c r="AD16" s="2">
        <v>157.26462222222199</v>
      </c>
    </row>
    <row r="17" spans="4:30" x14ac:dyDescent="0.2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29BA-5AFE-7E4B-860D-CEB5CA484751}">
  <dimension ref="A1:AD19"/>
  <sheetViews>
    <sheetView workbookViewId="0">
      <selection activeCell="G4" sqref="G4"/>
    </sheetView>
  </sheetViews>
  <sheetFormatPr baseColWidth="10" defaultRowHeight="16" x14ac:dyDescent="0.2"/>
  <cols>
    <col min="1" max="3" width="30.83203125" customWidth="1"/>
  </cols>
  <sheetData>
    <row r="1" spans="1:30" x14ac:dyDescent="0.2">
      <c r="A1" s="1" t="s">
        <v>15</v>
      </c>
      <c r="B1" s="1" t="s">
        <v>14</v>
      </c>
      <c r="C1" s="1" t="s">
        <v>12</v>
      </c>
      <c r="D1" s="1">
        <v>2024</v>
      </c>
      <c r="E1" s="1">
        <f>D1+1</f>
        <v>2025</v>
      </c>
      <c r="F1" s="1">
        <f t="shared" ref="F1:AD1" si="0">E1+1</f>
        <v>2026</v>
      </c>
      <c r="G1" s="1">
        <f t="shared" si="0"/>
        <v>2027</v>
      </c>
      <c r="H1" s="1">
        <f t="shared" si="0"/>
        <v>2028</v>
      </c>
      <c r="I1" s="1">
        <f t="shared" si="0"/>
        <v>2029</v>
      </c>
      <c r="J1" s="1">
        <f t="shared" si="0"/>
        <v>2030</v>
      </c>
      <c r="K1" s="1">
        <f t="shared" si="0"/>
        <v>2031</v>
      </c>
      <c r="L1" s="1">
        <f t="shared" si="0"/>
        <v>2032</v>
      </c>
      <c r="M1" s="1">
        <f t="shared" si="0"/>
        <v>2033</v>
      </c>
      <c r="N1" s="1">
        <f t="shared" si="0"/>
        <v>2034</v>
      </c>
      <c r="O1" s="1">
        <f t="shared" si="0"/>
        <v>2035</v>
      </c>
      <c r="P1" s="1">
        <f t="shared" si="0"/>
        <v>2036</v>
      </c>
      <c r="Q1" s="1">
        <f t="shared" si="0"/>
        <v>2037</v>
      </c>
      <c r="R1" s="1">
        <f t="shared" si="0"/>
        <v>2038</v>
      </c>
      <c r="S1" s="1">
        <f t="shared" si="0"/>
        <v>2039</v>
      </c>
      <c r="T1" s="1">
        <f t="shared" si="0"/>
        <v>2040</v>
      </c>
      <c r="U1" s="1">
        <f t="shared" si="0"/>
        <v>2041</v>
      </c>
      <c r="V1" s="1">
        <f t="shared" si="0"/>
        <v>2042</v>
      </c>
      <c r="W1" s="1">
        <f t="shared" si="0"/>
        <v>2043</v>
      </c>
      <c r="X1" s="1">
        <f t="shared" si="0"/>
        <v>2044</v>
      </c>
      <c r="Y1" s="1">
        <f t="shared" si="0"/>
        <v>2045</v>
      </c>
      <c r="Z1" s="1">
        <f t="shared" si="0"/>
        <v>2046</v>
      </c>
      <c r="AA1" s="1">
        <f t="shared" si="0"/>
        <v>2047</v>
      </c>
      <c r="AB1" s="1">
        <f t="shared" si="0"/>
        <v>2048</v>
      </c>
      <c r="AC1" s="1">
        <f t="shared" si="0"/>
        <v>2049</v>
      </c>
      <c r="AD1" s="1">
        <f t="shared" si="0"/>
        <v>2050</v>
      </c>
    </row>
    <row r="2" spans="1:30" x14ac:dyDescent="0.2">
      <c r="A2" t="s">
        <v>4</v>
      </c>
      <c r="B2" t="s">
        <v>11</v>
      </c>
      <c r="C2" t="s">
        <v>16</v>
      </c>
      <c r="D2" s="2">
        <v>297.945272799652</v>
      </c>
      <c r="E2" s="2">
        <v>276.65514055778198</v>
      </c>
      <c r="F2" s="2">
        <v>265.64920099136299</v>
      </c>
      <c r="G2" s="2">
        <v>255.51943337324701</v>
      </c>
      <c r="H2" s="2">
        <v>248.12292514960001</v>
      </c>
      <c r="I2" s="2">
        <v>242.184325503022</v>
      </c>
      <c r="J2" s="2">
        <v>232.12562859933001</v>
      </c>
      <c r="K2" s="2">
        <v>226.69780372387601</v>
      </c>
      <c r="L2" s="2">
        <v>221.92619231913301</v>
      </c>
      <c r="M2" s="2">
        <v>217.55904683175299</v>
      </c>
      <c r="N2" s="2">
        <v>213.46953307542</v>
      </c>
      <c r="O2" s="2">
        <v>209.58484943385699</v>
      </c>
      <c r="P2" s="2">
        <v>205.85935130777</v>
      </c>
      <c r="Q2" s="2">
        <v>202.26252354246</v>
      </c>
      <c r="R2" s="2">
        <v>198.772940922706</v>
      </c>
      <c r="S2" s="2">
        <v>195.37496552986801</v>
      </c>
      <c r="T2" s="2">
        <v>192.05681754272999</v>
      </c>
      <c r="U2" s="2">
        <v>188.698412863215</v>
      </c>
      <c r="V2" s="2">
        <v>185.42250091863201</v>
      </c>
      <c r="W2" s="2">
        <v>182.21910627771101</v>
      </c>
      <c r="X2" s="2">
        <v>179.08042455150601</v>
      </c>
      <c r="Y2" s="2">
        <v>176.00022304615999</v>
      </c>
      <c r="Z2" s="2">
        <v>172.97343487616999</v>
      </c>
      <c r="AA2" s="2">
        <v>169.99587622406801</v>
      </c>
      <c r="AB2" s="2">
        <v>167.064044521108</v>
      </c>
      <c r="AC2" s="2">
        <v>164.17497128818999</v>
      </c>
      <c r="AD2" s="2">
        <v>161.32611280029599</v>
      </c>
    </row>
    <row r="3" spans="1:30" x14ac:dyDescent="0.2">
      <c r="A3" t="s">
        <v>4</v>
      </c>
      <c r="B3" t="s">
        <v>11</v>
      </c>
      <c r="C3" t="s">
        <v>17</v>
      </c>
      <c r="D3" s="2">
        <v>128.763591776986</v>
      </c>
      <c r="E3" s="2">
        <v>114.941216428149</v>
      </c>
      <c r="F3" s="2">
        <v>108.068811293511</v>
      </c>
      <c r="G3" s="2">
        <v>101.85659722836</v>
      </c>
      <c r="H3" s="2">
        <v>97.157378823994904</v>
      </c>
      <c r="I3" s="2">
        <v>93.218457352351095</v>
      </c>
      <c r="J3" s="2">
        <v>87.295634542426498</v>
      </c>
      <c r="K3" s="2">
        <v>84.983496911106101</v>
      </c>
      <c r="L3" s="2">
        <v>82.997430762992593</v>
      </c>
      <c r="M3" s="2">
        <v>81.205973789552502</v>
      </c>
      <c r="N3" s="2">
        <v>79.544626788323299</v>
      </c>
      <c r="O3" s="2">
        <v>77.977154242147193</v>
      </c>
      <c r="P3" s="2">
        <v>76.481246906434706</v>
      </c>
      <c r="Q3" s="2">
        <v>75.042224975841094</v>
      </c>
      <c r="R3" s="2">
        <v>73.649926186689498</v>
      </c>
      <c r="S3" s="2">
        <v>72.297027550040795</v>
      </c>
      <c r="T3" s="2">
        <v>70.9780770066305</v>
      </c>
      <c r="U3" s="2">
        <v>69.645482039643099</v>
      </c>
      <c r="V3" s="2">
        <v>68.347523194733398</v>
      </c>
      <c r="W3" s="2">
        <v>67.079717587311293</v>
      </c>
      <c r="X3" s="2">
        <v>65.838593806543003</v>
      </c>
      <c r="Y3" s="2">
        <v>64.621405876800694</v>
      </c>
      <c r="Z3" s="2">
        <v>63.425941266631298</v>
      </c>
      <c r="AA3" s="2">
        <v>62.250388249813398</v>
      </c>
      <c r="AB3" s="2">
        <v>61.093241956529397</v>
      </c>
      <c r="AC3" s="2">
        <v>59.9532363641339</v>
      </c>
      <c r="AD3" s="2">
        <v>58.829294111949402</v>
      </c>
    </row>
    <row r="4" spans="1:30" x14ac:dyDescent="0.2">
      <c r="A4" t="s">
        <v>7</v>
      </c>
      <c r="B4" t="s">
        <v>11</v>
      </c>
      <c r="C4" t="s">
        <v>16</v>
      </c>
      <c r="D4" s="2">
        <v>434.07164940819899</v>
      </c>
      <c r="E4" s="2">
        <v>408.38687869874002</v>
      </c>
      <c r="F4" s="2">
        <v>394.94519450767598</v>
      </c>
      <c r="G4" s="2">
        <v>382.546572159829</v>
      </c>
      <c r="H4" s="2">
        <v>373.40183004349302</v>
      </c>
      <c r="I4" s="2">
        <v>365.99269337604898</v>
      </c>
      <c r="J4" s="2">
        <v>353.67867902156399</v>
      </c>
      <c r="K4" s="2">
        <v>346.63825874426698</v>
      </c>
      <c r="L4" s="2">
        <v>340.37904497972102</v>
      </c>
      <c r="M4" s="2">
        <v>334.60133825965403</v>
      </c>
      <c r="N4" s="2">
        <v>329.15414550512003</v>
      </c>
      <c r="O4" s="2">
        <v>323.95079812531299</v>
      </c>
      <c r="P4" s="2">
        <v>318.93695731154702</v>
      </c>
      <c r="Q4" s="2">
        <v>314.076295498707</v>
      </c>
      <c r="R4" s="2">
        <v>309.34330647819598</v>
      </c>
      <c r="S4" s="2">
        <v>304.71937368020201</v>
      </c>
      <c r="T4" s="2">
        <v>300.19047350804402</v>
      </c>
      <c r="U4" s="2">
        <v>295.61364870210298</v>
      </c>
      <c r="V4" s="2">
        <v>291.13502953298502</v>
      </c>
      <c r="W4" s="2">
        <v>286.742740487275</v>
      </c>
      <c r="X4" s="2">
        <v>282.42749062574899</v>
      </c>
      <c r="Y4" s="2">
        <v>278.18186007477101</v>
      </c>
      <c r="Z4" s="2">
        <v>273.999816827789</v>
      </c>
      <c r="AA4" s="2">
        <v>269.87638014971998</v>
      </c>
      <c r="AB4" s="2">
        <v>265.80738031586799</v>
      </c>
      <c r="AC4" s="2">
        <v>261.78928342254198</v>
      </c>
      <c r="AD4" s="2">
        <v>257.81906122567301</v>
      </c>
    </row>
    <row r="5" spans="1:30" x14ac:dyDescent="0.2">
      <c r="A5" t="s">
        <v>7</v>
      </c>
      <c r="B5" t="s">
        <v>11</v>
      </c>
      <c r="C5" t="s">
        <v>17</v>
      </c>
      <c r="D5" s="2">
        <v>156.07627398789299</v>
      </c>
      <c r="E5" s="2">
        <v>139.33811810228201</v>
      </c>
      <c r="F5" s="2">
        <v>130.87373628119499</v>
      </c>
      <c r="G5" s="2">
        <v>123.19529620949599</v>
      </c>
      <c r="H5" s="2">
        <v>117.31804144825701</v>
      </c>
      <c r="I5" s="2">
        <v>112.345902083114</v>
      </c>
      <c r="J5" s="2">
        <v>105.011975410495</v>
      </c>
      <c r="K5" s="2">
        <v>101.776931282955</v>
      </c>
      <c r="L5" s="2">
        <v>98.930067492565797</v>
      </c>
      <c r="M5" s="2">
        <v>96.314881291073704</v>
      </c>
      <c r="N5" s="2">
        <v>93.854587913642206</v>
      </c>
      <c r="O5" s="2">
        <v>91.506049839845204</v>
      </c>
      <c r="P5" s="2">
        <v>89.242708445171601</v>
      </c>
      <c r="Q5" s="2">
        <v>87.047087770877695</v>
      </c>
      <c r="R5" s="2">
        <v>84.907089884014695</v>
      </c>
      <c r="S5" s="2">
        <v>82.813996940607595</v>
      </c>
      <c r="T5" s="2">
        <v>80.761318393912802</v>
      </c>
      <c r="U5" s="2">
        <v>78.692396485816701</v>
      </c>
      <c r="V5" s="2">
        <v>76.664708056384598</v>
      </c>
      <c r="W5" s="2">
        <v>74.672916338247205</v>
      </c>
      <c r="X5" s="2">
        <v>72.712888699459498</v>
      </c>
      <c r="Y5" s="2">
        <v>70.781356121417105</v>
      </c>
      <c r="Z5" s="2">
        <v>68.875684638104403</v>
      </c>
      <c r="AA5" s="2">
        <v>66.993717432591097</v>
      </c>
      <c r="AB5" s="2">
        <v>65.133662993189503</v>
      </c>
      <c r="AC5" s="2">
        <v>63.294014150083797</v>
      </c>
      <c r="AD5" s="2">
        <v>61.473488331038801</v>
      </c>
    </row>
    <row r="6" spans="1:30" x14ac:dyDescent="0.2">
      <c r="A6" t="s">
        <v>8</v>
      </c>
      <c r="B6" t="s">
        <v>11</v>
      </c>
      <c r="C6" t="s">
        <v>16</v>
      </c>
      <c r="D6" s="2">
        <v>539.69613210177295</v>
      </c>
      <c r="E6" s="2">
        <v>506.83105301791801</v>
      </c>
      <c r="F6" s="2">
        <v>489.548084048384</v>
      </c>
      <c r="G6" s="2">
        <v>473.59264833385203</v>
      </c>
      <c r="H6" s="2">
        <v>461.77851473215298</v>
      </c>
      <c r="I6" s="2">
        <v>452.17333351995399</v>
      </c>
      <c r="J6" s="2">
        <v>436.32558070606598</v>
      </c>
      <c r="K6" s="2">
        <v>427.30317884841202</v>
      </c>
      <c r="L6" s="2">
        <v>419.27503982516998</v>
      </c>
      <c r="M6" s="2">
        <v>411.85972794944598</v>
      </c>
      <c r="N6" s="2">
        <v>404.86507021167398</v>
      </c>
      <c r="O6" s="2">
        <v>398.18076113264402</v>
      </c>
      <c r="P6" s="2">
        <v>391.73764222857699</v>
      </c>
      <c r="Q6" s="2">
        <v>385.48947841659799</v>
      </c>
      <c r="R6" s="2">
        <v>379.40380724939899</v>
      </c>
      <c r="S6" s="2">
        <v>373.45693491086001</v>
      </c>
      <c r="T6" s="2">
        <v>367.63101318702002</v>
      </c>
      <c r="U6" s="2">
        <v>361.74409647472902</v>
      </c>
      <c r="V6" s="2">
        <v>355.98216875475902</v>
      </c>
      <c r="W6" s="2">
        <v>350.33011573730801</v>
      </c>
      <c r="X6" s="2">
        <v>344.77611259063701</v>
      </c>
      <c r="Y6" s="2">
        <v>339.310715839208</v>
      </c>
      <c r="Z6" s="2">
        <v>333.92624838377401</v>
      </c>
      <c r="AA6" s="2">
        <v>328.61637110695699</v>
      </c>
      <c r="AB6" s="2">
        <v>323.37577708641697</v>
      </c>
      <c r="AC6" s="2">
        <v>318.199968626545</v>
      </c>
      <c r="AD6" s="2">
        <v>313.08509159852798</v>
      </c>
    </row>
    <row r="7" spans="1:30" x14ac:dyDescent="0.2">
      <c r="A7" t="s">
        <v>8</v>
      </c>
      <c r="B7" t="s">
        <v>11</v>
      </c>
      <c r="C7" t="s">
        <v>17</v>
      </c>
      <c r="D7" s="2">
        <v>207.867956680633</v>
      </c>
      <c r="E7" s="2">
        <v>186.418637272175</v>
      </c>
      <c r="F7" s="2">
        <v>175.499575764018</v>
      </c>
      <c r="G7" s="2">
        <v>165.58080375508399</v>
      </c>
      <c r="H7" s="2">
        <v>157.954449414007</v>
      </c>
      <c r="I7" s="2">
        <v>151.48006012250801</v>
      </c>
      <c r="J7" s="2">
        <v>141.99975971240201</v>
      </c>
      <c r="K7" s="2">
        <v>137.83085050740101</v>
      </c>
      <c r="L7" s="2">
        <v>134.15598900422901</v>
      </c>
      <c r="M7" s="2">
        <v>130.775989886925</v>
      </c>
      <c r="N7" s="2">
        <v>127.59312709115299</v>
      </c>
      <c r="O7" s="2">
        <v>124.552498318189</v>
      </c>
      <c r="P7" s="2">
        <v>121.620301682291</v>
      </c>
      <c r="Q7" s="2">
        <v>118.77429505414899</v>
      </c>
      <c r="R7" s="2">
        <v>115.99908106455599</v>
      </c>
      <c r="S7" s="2">
        <v>113.283564275724</v>
      </c>
      <c r="T7" s="2">
        <v>110.619483991799</v>
      </c>
      <c r="U7" s="2">
        <v>107.934730338818</v>
      </c>
      <c r="V7" s="2">
        <v>105.30245565868201</v>
      </c>
      <c r="W7" s="2">
        <v>102.71586770201201</v>
      </c>
      <c r="X7" s="2">
        <v>100.16970675542299</v>
      </c>
      <c r="Y7" s="2">
        <v>97.659812249783002</v>
      </c>
      <c r="Z7" s="2">
        <v>95.182831864707893</v>
      </c>
      <c r="AA7" s="2">
        <v>92.736020560468404</v>
      </c>
      <c r="AB7" s="2">
        <v>90.317098231280298</v>
      </c>
      <c r="AC7" s="2">
        <v>87.924146661014106</v>
      </c>
      <c r="AD7" s="2">
        <v>85.555533485007103</v>
      </c>
    </row>
    <row r="8" spans="1:30" x14ac:dyDescent="0.2">
      <c r="A8" t="s">
        <v>9</v>
      </c>
      <c r="B8" t="s">
        <v>11</v>
      </c>
      <c r="C8" t="s">
        <v>16</v>
      </c>
      <c r="D8" s="2">
        <v>420.23475146449999</v>
      </c>
      <c r="E8" s="2">
        <v>394.36964750619899</v>
      </c>
      <c r="F8" s="2">
        <v>380.89513713277802</v>
      </c>
      <c r="G8" s="2">
        <v>368.47625561273298</v>
      </c>
      <c r="H8" s="2">
        <v>359.35045770048202</v>
      </c>
      <c r="I8" s="2">
        <v>351.98117614614802</v>
      </c>
      <c r="J8" s="2">
        <v>339.64792199288001</v>
      </c>
      <c r="K8" s="2">
        <v>332.81901195166603</v>
      </c>
      <c r="L8" s="2">
        <v>326.78072054986399</v>
      </c>
      <c r="M8" s="2">
        <v>321.22973748223302</v>
      </c>
      <c r="N8" s="2">
        <v>316.01325047610601</v>
      </c>
      <c r="O8" s="2">
        <v>311.04354674078598</v>
      </c>
      <c r="P8" s="2">
        <v>306.265632783147</v>
      </c>
      <c r="Q8" s="2">
        <v>301.64274335656597</v>
      </c>
      <c r="R8" s="2">
        <v>297.14906494872599</v>
      </c>
      <c r="S8" s="2">
        <v>292.76575669379702</v>
      </c>
      <c r="T8" s="2">
        <v>288.47862603609701</v>
      </c>
      <c r="U8" s="2">
        <v>284.14299333938999</v>
      </c>
      <c r="V8" s="2">
        <v>279.90674947994899</v>
      </c>
      <c r="W8" s="2">
        <v>275.75787586588399</v>
      </c>
      <c r="X8" s="2">
        <v>271.68696961894602</v>
      </c>
      <c r="Y8" s="2">
        <v>267.68652146942901</v>
      </c>
      <c r="Z8" s="2">
        <v>263.75042673600399</v>
      </c>
      <c r="AA8" s="2">
        <v>259.87364467473299</v>
      </c>
      <c r="AB8" s="2">
        <v>256.05195532327201</v>
      </c>
      <c r="AC8" s="2">
        <v>252.281782200777</v>
      </c>
      <c r="AD8" s="2">
        <v>248.56006057831101</v>
      </c>
    </row>
    <row r="9" spans="1:30" x14ac:dyDescent="0.2">
      <c r="A9" t="s">
        <v>9</v>
      </c>
      <c r="B9" t="s">
        <v>11</v>
      </c>
      <c r="C9" t="s">
        <v>17</v>
      </c>
      <c r="D9" s="2">
        <v>154.61360350172299</v>
      </c>
      <c r="E9" s="2">
        <v>137.78143577107099</v>
      </c>
      <c r="F9" s="2">
        <v>129.322726129816</v>
      </c>
      <c r="G9" s="2">
        <v>121.65942741565399</v>
      </c>
      <c r="H9" s="2">
        <v>115.819015039788</v>
      </c>
      <c r="I9" s="2">
        <v>110.89462306479101</v>
      </c>
      <c r="J9" s="2">
        <v>103.579988513552</v>
      </c>
      <c r="K9" s="2">
        <v>100.553030859835</v>
      </c>
      <c r="L9" s="2">
        <v>97.918930414800698</v>
      </c>
      <c r="M9" s="2">
        <v>95.519298854915206</v>
      </c>
      <c r="N9" s="2">
        <v>93.276426297693405</v>
      </c>
      <c r="O9" s="2">
        <v>91.146655493547598</v>
      </c>
      <c r="P9" s="2">
        <v>89.103107834538704</v>
      </c>
      <c r="Q9" s="2">
        <v>87.128096808203097</v>
      </c>
      <c r="R9" s="2">
        <v>85.209378723363898</v>
      </c>
      <c r="S9" s="2">
        <v>83.338130701781296</v>
      </c>
      <c r="T9" s="2">
        <v>81.5077839973533</v>
      </c>
      <c r="U9" s="2">
        <v>79.660998228374595</v>
      </c>
      <c r="V9" s="2">
        <v>77.855942726959498</v>
      </c>
      <c r="W9" s="2">
        <v>76.0872164273366</v>
      </c>
      <c r="X9" s="2">
        <v>74.3506369068146</v>
      </c>
      <c r="Y9" s="2">
        <v>72.6428957610228</v>
      </c>
      <c r="Z9" s="2">
        <v>70.961327289415195</v>
      </c>
      <c r="AA9" s="2">
        <v>69.303748689315398</v>
      </c>
      <c r="AB9" s="2">
        <v>67.668346864557705</v>
      </c>
      <c r="AC9" s="2">
        <v>66.053596486653603</v>
      </c>
      <c r="AD9" s="2">
        <v>64.458199530690493</v>
      </c>
    </row>
    <row r="10" spans="1:30" x14ac:dyDescent="0.2">
      <c r="A10" t="s">
        <v>4</v>
      </c>
      <c r="B10" t="s">
        <v>11</v>
      </c>
      <c r="C10" t="s">
        <v>18</v>
      </c>
      <c r="D10" s="2">
        <v>173.738027570501</v>
      </c>
      <c r="E10" s="2">
        <v>154.98151378983599</v>
      </c>
      <c r="F10" s="2">
        <v>146.87037048786999</v>
      </c>
      <c r="G10" s="2">
        <v>139.815548392322</v>
      </c>
      <c r="H10" s="2">
        <v>135.15271440507999</v>
      </c>
      <c r="I10" s="2">
        <v>131.693157835497</v>
      </c>
      <c r="J10" s="2">
        <v>125.102750444196</v>
      </c>
      <c r="K10" s="2">
        <v>121.843385323989</v>
      </c>
      <c r="L10" s="2">
        <v>119.089997173497</v>
      </c>
      <c r="M10" s="2">
        <v>116.63989380628099</v>
      </c>
      <c r="N10" s="2">
        <v>114.39281298677599</v>
      </c>
      <c r="O10" s="2">
        <v>112.292066624226</v>
      </c>
      <c r="P10" s="2">
        <v>110.30257281445201</v>
      </c>
      <c r="Q10" s="2">
        <v>108.401149458356</v>
      </c>
      <c r="R10" s="2">
        <v>106.57169289337401</v>
      </c>
      <c r="S10" s="2">
        <v>104.802566183469</v>
      </c>
      <c r="T10" s="2">
        <v>103.085086279987</v>
      </c>
      <c r="U10" s="2">
        <v>101.339384729971</v>
      </c>
      <c r="V10" s="2">
        <v>99.646796833812203</v>
      </c>
      <c r="W10" s="2">
        <v>98.000122986506298</v>
      </c>
      <c r="X10" s="2">
        <v>96.393780517517797</v>
      </c>
      <c r="Y10" s="2">
        <v>94.823349626783397</v>
      </c>
      <c r="Z10" s="2">
        <v>93.285267760766601</v>
      </c>
      <c r="AA10" s="2">
        <v>91.7766179224555</v>
      </c>
      <c r="AB10" s="2">
        <v>90.294978369428193</v>
      </c>
      <c r="AC10" s="2">
        <v>88.838313566381302</v>
      </c>
      <c r="AD10" s="2">
        <v>87.404893547787196</v>
      </c>
    </row>
    <row r="11" spans="1:30" x14ac:dyDescent="0.2">
      <c r="A11" t="s">
        <v>5</v>
      </c>
      <c r="B11" t="s">
        <v>11</v>
      </c>
      <c r="C11" t="s">
        <v>18</v>
      </c>
      <c r="D11" s="2">
        <f>D10/1.1</f>
        <v>157.94366142772816</v>
      </c>
      <c r="E11" s="2">
        <f t="shared" ref="E11:AD11" si="1">E10/1.1</f>
        <v>140.89228526348725</v>
      </c>
      <c r="F11" s="2">
        <f t="shared" si="1"/>
        <v>133.51851862533636</v>
      </c>
      <c r="G11" s="2">
        <f t="shared" si="1"/>
        <v>127.10504399301999</v>
      </c>
      <c r="H11" s="2">
        <f t="shared" si="1"/>
        <v>122.86610400461817</v>
      </c>
      <c r="I11" s="2">
        <f t="shared" si="1"/>
        <v>119.72105257772454</v>
      </c>
      <c r="J11" s="2">
        <f t="shared" si="1"/>
        <v>113.72977313108727</v>
      </c>
      <c r="K11" s="2">
        <f t="shared" si="1"/>
        <v>110.76671393089907</v>
      </c>
      <c r="L11" s="2">
        <f t="shared" si="1"/>
        <v>108.26363379408816</v>
      </c>
      <c r="M11" s="2">
        <f t="shared" si="1"/>
        <v>106.03626709661907</v>
      </c>
      <c r="N11" s="2">
        <f t="shared" si="1"/>
        <v>103.99346635161453</v>
      </c>
      <c r="O11" s="2">
        <f t="shared" si="1"/>
        <v>102.08369693111453</v>
      </c>
      <c r="P11" s="2">
        <f t="shared" si="1"/>
        <v>100.27506619495637</v>
      </c>
      <c r="Q11" s="2">
        <f t="shared" si="1"/>
        <v>98.546499507596351</v>
      </c>
      <c r="R11" s="2">
        <f t="shared" si="1"/>
        <v>96.883357175794544</v>
      </c>
      <c r="S11" s="2">
        <f t="shared" si="1"/>
        <v>95.275060166789984</v>
      </c>
      <c r="T11" s="2">
        <f t="shared" si="1"/>
        <v>93.713714799988168</v>
      </c>
      <c r="U11" s="2">
        <f t="shared" si="1"/>
        <v>92.126713390882728</v>
      </c>
      <c r="V11" s="2">
        <f t="shared" si="1"/>
        <v>90.587997121647447</v>
      </c>
      <c r="W11" s="2">
        <f t="shared" si="1"/>
        <v>89.091020896823906</v>
      </c>
      <c r="X11" s="2">
        <f t="shared" si="1"/>
        <v>87.630709561379803</v>
      </c>
      <c r="Y11" s="2">
        <f t="shared" si="1"/>
        <v>86.203045115257623</v>
      </c>
      <c r="Z11" s="2">
        <f t="shared" si="1"/>
        <v>84.804788873424172</v>
      </c>
      <c r="AA11" s="2">
        <f t="shared" si="1"/>
        <v>83.43328902041408</v>
      </c>
      <c r="AB11" s="2">
        <f t="shared" si="1"/>
        <v>82.086343972207445</v>
      </c>
      <c r="AC11" s="2">
        <f t="shared" si="1"/>
        <v>80.762103242164812</v>
      </c>
      <c r="AD11" s="2">
        <f t="shared" si="1"/>
        <v>79.458994134351997</v>
      </c>
    </row>
    <row r="12" spans="1:30" x14ac:dyDescent="0.2">
      <c r="A12" t="s">
        <v>6</v>
      </c>
      <c r="B12" t="s">
        <v>11</v>
      </c>
      <c r="C12" t="s">
        <v>18</v>
      </c>
      <c r="D12" s="2">
        <f>D10/1.2</f>
        <v>144.78168964208419</v>
      </c>
      <c r="E12" s="2">
        <f t="shared" ref="E12:AD12" si="2">E10/1.2</f>
        <v>129.15126149152999</v>
      </c>
      <c r="F12" s="2">
        <f t="shared" si="2"/>
        <v>122.39197540655833</v>
      </c>
      <c r="G12" s="2">
        <f t="shared" si="2"/>
        <v>116.51295699360168</v>
      </c>
      <c r="H12" s="2">
        <f t="shared" si="2"/>
        <v>112.62726200423333</v>
      </c>
      <c r="I12" s="2">
        <f t="shared" si="2"/>
        <v>109.74429819624751</v>
      </c>
      <c r="J12" s="2">
        <f t="shared" si="2"/>
        <v>104.25229203683001</v>
      </c>
      <c r="K12" s="2">
        <f t="shared" si="2"/>
        <v>101.5361544366575</v>
      </c>
      <c r="L12" s="2">
        <f t="shared" si="2"/>
        <v>99.241664311247504</v>
      </c>
      <c r="M12" s="2">
        <f t="shared" si="2"/>
        <v>97.199911505234169</v>
      </c>
      <c r="N12" s="2">
        <f t="shared" si="2"/>
        <v>95.327344155646671</v>
      </c>
      <c r="O12" s="2">
        <f t="shared" si="2"/>
        <v>93.576722186854994</v>
      </c>
      <c r="P12" s="2">
        <f t="shared" si="2"/>
        <v>91.918810678710003</v>
      </c>
      <c r="Q12" s="2">
        <f t="shared" si="2"/>
        <v>90.334291215296673</v>
      </c>
      <c r="R12" s="2">
        <f t="shared" si="2"/>
        <v>88.809744077811672</v>
      </c>
      <c r="S12" s="2">
        <f t="shared" si="2"/>
        <v>87.335471819557497</v>
      </c>
      <c r="T12" s="2">
        <f t="shared" si="2"/>
        <v>85.904238566655835</v>
      </c>
      <c r="U12" s="2">
        <f t="shared" si="2"/>
        <v>84.449487274975837</v>
      </c>
      <c r="V12" s="2">
        <f t="shared" si="2"/>
        <v>83.03899736151017</v>
      </c>
      <c r="W12" s="2">
        <f t="shared" si="2"/>
        <v>81.666769155421918</v>
      </c>
      <c r="X12" s="2">
        <f t="shared" si="2"/>
        <v>80.328150431264831</v>
      </c>
      <c r="Y12" s="2">
        <f t="shared" si="2"/>
        <v>79.019458022319498</v>
      </c>
      <c r="Z12" s="2">
        <f t="shared" si="2"/>
        <v>77.737723133972167</v>
      </c>
      <c r="AA12" s="2">
        <f t="shared" si="2"/>
        <v>76.480514935379588</v>
      </c>
      <c r="AB12" s="2">
        <f t="shared" si="2"/>
        <v>75.24581530785683</v>
      </c>
      <c r="AC12" s="2">
        <f t="shared" si="2"/>
        <v>74.031927971984416</v>
      </c>
      <c r="AD12" s="2">
        <f t="shared" si="2"/>
        <v>72.837411289822668</v>
      </c>
    </row>
    <row r="13" spans="1:30" x14ac:dyDescent="0.2">
      <c r="A13" t="s">
        <v>7</v>
      </c>
      <c r="B13" t="s">
        <v>11</v>
      </c>
      <c r="C13" t="s">
        <v>18</v>
      </c>
      <c r="D13" s="2">
        <v>257.31128376955098</v>
      </c>
      <c r="E13" s="2">
        <v>234.671708889645</v>
      </c>
      <c r="F13" s="2">
        <v>224.705194103428</v>
      </c>
      <c r="G13" s="2">
        <v>215.99620456294701</v>
      </c>
      <c r="H13" s="2">
        <v>210.13481991330599</v>
      </c>
      <c r="I13" s="2">
        <v>205.705908379926</v>
      </c>
      <c r="J13" s="2">
        <v>197.54979348735799</v>
      </c>
      <c r="K13" s="2">
        <v>193.14029720152399</v>
      </c>
      <c r="L13" s="2">
        <v>189.33315445106601</v>
      </c>
      <c r="M13" s="2">
        <v>185.88706501402999</v>
      </c>
      <c r="N13" s="2">
        <v>182.682669086175</v>
      </c>
      <c r="O13" s="2">
        <v>179.65248084517</v>
      </c>
      <c r="P13" s="2">
        <v>176.75473611937599</v>
      </c>
      <c r="Q13" s="2">
        <v>173.96183717176899</v>
      </c>
      <c r="R13" s="2">
        <v>171.25461297548901</v>
      </c>
      <c r="S13" s="2">
        <v>168.619210035252</v>
      </c>
      <c r="T13" s="2">
        <v>166.045291388376</v>
      </c>
      <c r="U13" s="2">
        <v>163.437775543246</v>
      </c>
      <c r="V13" s="2">
        <v>160.89349023842101</v>
      </c>
      <c r="W13" s="2">
        <v>158.403864515565</v>
      </c>
      <c r="X13" s="2">
        <v>155.96225233832399</v>
      </c>
      <c r="Y13" s="2">
        <v>153.56339203995799</v>
      </c>
      <c r="Z13" s="2">
        <v>151.20304248530201</v>
      </c>
      <c r="AA13" s="2">
        <v>148.87773105886799</v>
      </c>
      <c r="AB13" s="2">
        <v>146.584574733962</v>
      </c>
      <c r="AC13" s="2">
        <v>144.321150254271</v>
      </c>
      <c r="AD13" s="2">
        <v>142.08539813702399</v>
      </c>
    </row>
    <row r="14" spans="1:30" x14ac:dyDescent="0.2">
      <c r="A14" t="s">
        <v>8</v>
      </c>
      <c r="B14" t="s">
        <v>11</v>
      </c>
      <c r="C14" t="s">
        <v>18</v>
      </c>
      <c r="D14" s="2">
        <v>322.5297362471</v>
      </c>
      <c r="E14" s="2">
        <v>293.55533800171702</v>
      </c>
      <c r="F14" s="2">
        <v>280.71028896648301</v>
      </c>
      <c r="G14" s="2">
        <v>269.46572660764002</v>
      </c>
      <c r="H14" s="2">
        <v>261.84538865532301</v>
      </c>
      <c r="I14" s="2">
        <v>256.04819830551799</v>
      </c>
      <c r="J14" s="2">
        <v>245.50729458947399</v>
      </c>
      <c r="K14" s="2">
        <v>239.838625020552</v>
      </c>
      <c r="L14" s="2">
        <v>234.93658722392701</v>
      </c>
      <c r="M14" s="2">
        <v>230.494071826203</v>
      </c>
      <c r="N14" s="2">
        <v>226.359166349254</v>
      </c>
      <c r="O14" s="2">
        <v>222.445979746478</v>
      </c>
      <c r="P14" s="2">
        <v>218.70135761760699</v>
      </c>
      <c r="Q14" s="2">
        <v>215.09017557006501</v>
      </c>
      <c r="R14" s="2">
        <v>211.58803411512</v>
      </c>
      <c r="S14" s="2">
        <v>208.17730153150401</v>
      </c>
      <c r="T14" s="2">
        <v>204.84482168489299</v>
      </c>
      <c r="U14" s="2">
        <v>201.46958176777599</v>
      </c>
      <c r="V14" s="2">
        <v>198.174817083775</v>
      </c>
      <c r="W14" s="2">
        <v>194.94961914046101</v>
      </c>
      <c r="X14" s="2">
        <v>191.78552934611201</v>
      </c>
      <c r="Y14" s="2">
        <v>188.67585103396701</v>
      </c>
      <c r="Z14" s="2">
        <v>185.61518639563599</v>
      </c>
      <c r="AA14" s="2">
        <v>182.599115738677</v>
      </c>
      <c r="AB14" s="2">
        <v>179.62396975639101</v>
      </c>
      <c r="AC14" s="2">
        <v>176.68666430437901</v>
      </c>
      <c r="AD14" s="2">
        <v>173.78457822274899</v>
      </c>
    </row>
    <row r="15" spans="1:30" x14ac:dyDescent="0.2">
      <c r="A15" t="s">
        <v>9</v>
      </c>
      <c r="B15" t="s">
        <v>11</v>
      </c>
      <c r="C15" t="s">
        <v>18</v>
      </c>
      <c r="D15" s="2">
        <v>247.36101362995899</v>
      </c>
      <c r="E15" s="2">
        <v>224.56676732449401</v>
      </c>
      <c r="F15" s="2">
        <v>214.598268583726</v>
      </c>
      <c r="G15" s="2">
        <v>205.90244599526901</v>
      </c>
      <c r="H15" s="2">
        <v>200.08853679031401</v>
      </c>
      <c r="I15" s="2">
        <v>195.724359413863</v>
      </c>
      <c r="J15" s="2">
        <v>187.58807261365601</v>
      </c>
      <c r="K15" s="2">
        <v>183.39647682861599</v>
      </c>
      <c r="L15" s="2">
        <v>179.81449185046199</v>
      </c>
      <c r="M15" s="2">
        <v>176.59791022565199</v>
      </c>
      <c r="N15" s="2">
        <v>173.625934080013</v>
      </c>
      <c r="O15" s="2">
        <v>170.83026450901701</v>
      </c>
      <c r="P15" s="2">
        <v>168.16863415823499</v>
      </c>
      <c r="Q15" s="2">
        <v>165.61311278778601</v>
      </c>
      <c r="R15" s="2">
        <v>163.14429839458401</v>
      </c>
      <c r="S15" s="2">
        <v>160.74817057376299</v>
      </c>
      <c r="T15" s="2">
        <v>158.41426782092199</v>
      </c>
      <c r="U15" s="2">
        <v>156.04636308430599</v>
      </c>
      <c r="V15" s="2">
        <v>153.74245070173299</v>
      </c>
      <c r="W15" s="2">
        <v>151.49385645030901</v>
      </c>
      <c r="X15" s="2">
        <v>149.29385422095399</v>
      </c>
      <c r="Y15" s="2">
        <v>147.13711895335101</v>
      </c>
      <c r="Z15" s="2">
        <v>145.01935841432399</v>
      </c>
      <c r="AA15" s="2">
        <v>142.93705814964</v>
      </c>
      <c r="AB15" s="2">
        <v>140.88730039734699</v>
      </c>
      <c r="AC15" s="2">
        <v>138.867632705272</v>
      </c>
      <c r="AD15" s="2">
        <v>136.87597077759699</v>
      </c>
    </row>
    <row r="16" spans="1:30" x14ac:dyDescent="0.2">
      <c r="A16" t="s">
        <v>5</v>
      </c>
      <c r="B16" t="s">
        <v>11</v>
      </c>
      <c r="C16" t="s">
        <v>16</v>
      </c>
      <c r="D16" s="2">
        <f t="shared" ref="D16:AC16" si="3">D2/1.1</f>
        <v>270.85933890877453</v>
      </c>
      <c r="E16" s="2">
        <f t="shared" si="3"/>
        <v>251.50467323434722</v>
      </c>
      <c r="F16" s="2">
        <f t="shared" si="3"/>
        <v>241.49927362851179</v>
      </c>
      <c r="G16" s="2">
        <f t="shared" si="3"/>
        <v>232.29039397567908</v>
      </c>
      <c r="H16" s="2">
        <f t="shared" si="3"/>
        <v>225.56629559054545</v>
      </c>
      <c r="I16" s="2">
        <f t="shared" si="3"/>
        <v>220.1675686391109</v>
      </c>
      <c r="J16" s="2">
        <f t="shared" si="3"/>
        <v>211.02329872666363</v>
      </c>
      <c r="K16" s="2">
        <f t="shared" si="3"/>
        <v>206.0889124762509</v>
      </c>
      <c r="L16" s="2">
        <f t="shared" si="3"/>
        <v>201.75108392648454</v>
      </c>
      <c r="M16" s="2">
        <f t="shared" si="3"/>
        <v>197.78095166522999</v>
      </c>
      <c r="N16" s="2">
        <f t="shared" si="3"/>
        <v>194.06321188674545</v>
      </c>
      <c r="O16" s="2">
        <f t="shared" si="3"/>
        <v>190.53168130350633</v>
      </c>
      <c r="P16" s="2">
        <f t="shared" si="3"/>
        <v>187.14486482524543</v>
      </c>
      <c r="Q16" s="2">
        <f t="shared" si="3"/>
        <v>183.87502140223634</v>
      </c>
      <c r="R16" s="2">
        <f t="shared" si="3"/>
        <v>180.70267356609634</v>
      </c>
      <c r="S16" s="2">
        <f t="shared" si="3"/>
        <v>177.61360502715272</v>
      </c>
      <c r="T16" s="2">
        <f t="shared" si="3"/>
        <v>174.59710685702726</v>
      </c>
      <c r="U16" s="2">
        <f t="shared" si="3"/>
        <v>171.54401169383181</v>
      </c>
      <c r="V16" s="2">
        <f t="shared" si="3"/>
        <v>168.56590992602909</v>
      </c>
      <c r="W16" s="2">
        <f t="shared" si="3"/>
        <v>165.65373297973727</v>
      </c>
      <c r="X16" s="2">
        <f t="shared" si="3"/>
        <v>162.80038595591455</v>
      </c>
      <c r="Y16" s="2">
        <f t="shared" si="3"/>
        <v>160.00020276923635</v>
      </c>
      <c r="Z16" s="2">
        <f t="shared" si="3"/>
        <v>157.24857716015453</v>
      </c>
      <c r="AA16" s="2">
        <f t="shared" si="3"/>
        <v>154.54170565824364</v>
      </c>
      <c r="AB16" s="2">
        <f t="shared" si="3"/>
        <v>151.87640411009818</v>
      </c>
      <c r="AC16" s="2">
        <f t="shared" si="3"/>
        <v>149.24997389835454</v>
      </c>
      <c r="AD16" s="2">
        <f>AD2/1.1</f>
        <v>146.66010254572362</v>
      </c>
    </row>
    <row r="17" spans="1:30" x14ac:dyDescent="0.2">
      <c r="A17" t="s">
        <v>6</v>
      </c>
      <c r="B17" t="s">
        <v>11</v>
      </c>
      <c r="C17" s="3" t="s">
        <v>16</v>
      </c>
      <c r="D17" s="2">
        <f t="shared" ref="D17:AC17" si="4">D2/1.2</f>
        <v>248.28772733304334</v>
      </c>
      <c r="E17" s="2">
        <f t="shared" si="4"/>
        <v>230.54595046481833</v>
      </c>
      <c r="F17" s="2">
        <f t="shared" si="4"/>
        <v>221.37433415946916</v>
      </c>
      <c r="G17" s="2">
        <f t="shared" si="4"/>
        <v>212.93286114437251</v>
      </c>
      <c r="H17" s="2">
        <f t="shared" si="4"/>
        <v>206.76910429133335</v>
      </c>
      <c r="I17" s="2">
        <f t="shared" si="4"/>
        <v>201.82027125251832</v>
      </c>
      <c r="J17" s="2">
        <f t="shared" si="4"/>
        <v>193.43802383277503</v>
      </c>
      <c r="K17" s="2">
        <f t="shared" si="4"/>
        <v>188.91483643656335</v>
      </c>
      <c r="L17" s="2">
        <f t="shared" si="4"/>
        <v>184.93849359927751</v>
      </c>
      <c r="M17" s="2">
        <f t="shared" si="4"/>
        <v>181.2992056931275</v>
      </c>
      <c r="N17" s="2">
        <f t="shared" si="4"/>
        <v>177.89127756285001</v>
      </c>
      <c r="O17" s="2">
        <f t="shared" si="4"/>
        <v>174.65404119488082</v>
      </c>
      <c r="P17" s="2">
        <f t="shared" si="4"/>
        <v>171.54945942314168</v>
      </c>
      <c r="Q17" s="2">
        <f t="shared" si="4"/>
        <v>168.55210295205001</v>
      </c>
      <c r="R17" s="2">
        <f t="shared" si="4"/>
        <v>165.64411743558833</v>
      </c>
      <c r="S17" s="2">
        <f t="shared" si="4"/>
        <v>162.81247127489002</v>
      </c>
      <c r="T17" s="2">
        <f t="shared" si="4"/>
        <v>160.047347952275</v>
      </c>
      <c r="U17" s="2">
        <f t="shared" si="4"/>
        <v>157.2486773860125</v>
      </c>
      <c r="V17" s="2">
        <f t="shared" si="4"/>
        <v>154.51875076552668</v>
      </c>
      <c r="W17" s="2">
        <f t="shared" si="4"/>
        <v>151.84925523142584</v>
      </c>
      <c r="X17" s="2">
        <f t="shared" si="4"/>
        <v>149.23368712625501</v>
      </c>
      <c r="Y17" s="2">
        <f t="shared" si="4"/>
        <v>146.66685253846666</v>
      </c>
      <c r="Z17" s="2">
        <f t="shared" si="4"/>
        <v>144.14452906347501</v>
      </c>
      <c r="AA17" s="2">
        <f t="shared" si="4"/>
        <v>141.66323018672335</v>
      </c>
      <c r="AB17" s="2">
        <f t="shared" si="4"/>
        <v>139.22003710092335</v>
      </c>
      <c r="AC17" s="2">
        <f t="shared" si="4"/>
        <v>136.81247607349167</v>
      </c>
      <c r="AD17" s="2">
        <f>AD2/1.2</f>
        <v>134.43842733357999</v>
      </c>
    </row>
    <row r="18" spans="1:30" x14ac:dyDescent="0.2">
      <c r="A18" t="s">
        <v>5</v>
      </c>
      <c r="B18" t="s">
        <v>11</v>
      </c>
      <c r="C18" t="s">
        <v>17</v>
      </c>
      <c r="D18" s="2">
        <f t="shared" ref="D18:AC18" si="5">D3/1.1</f>
        <v>117.05781070635091</v>
      </c>
      <c r="E18" s="2">
        <f t="shared" si="5"/>
        <v>104.49201493468091</v>
      </c>
      <c r="F18" s="2">
        <f t="shared" si="5"/>
        <v>98.244373903191814</v>
      </c>
      <c r="G18" s="2">
        <f t="shared" si="5"/>
        <v>92.59690657123636</v>
      </c>
      <c r="H18" s="2">
        <f t="shared" si="5"/>
        <v>88.324889839995365</v>
      </c>
      <c r="I18" s="2">
        <f t="shared" si="5"/>
        <v>84.74405213850099</v>
      </c>
      <c r="J18" s="2">
        <f t="shared" si="5"/>
        <v>79.359667765842261</v>
      </c>
      <c r="K18" s="2">
        <f t="shared" si="5"/>
        <v>77.25772446464191</v>
      </c>
      <c r="L18" s="2">
        <f t="shared" si="5"/>
        <v>75.452209784538709</v>
      </c>
      <c r="M18" s="2">
        <f t="shared" si="5"/>
        <v>73.823612535956812</v>
      </c>
      <c r="N18" s="2">
        <f t="shared" si="5"/>
        <v>72.313297080293907</v>
      </c>
      <c r="O18" s="2">
        <f t="shared" si="5"/>
        <v>70.888322038315621</v>
      </c>
      <c r="P18" s="2">
        <f t="shared" si="5"/>
        <v>69.528406278576995</v>
      </c>
      <c r="Q18" s="2">
        <f t="shared" si="5"/>
        <v>68.220204523491901</v>
      </c>
      <c r="R18" s="2">
        <f t="shared" si="5"/>
        <v>66.954478351535897</v>
      </c>
      <c r="S18" s="2">
        <f t="shared" si="5"/>
        <v>65.724570500037075</v>
      </c>
      <c r="T18" s="2">
        <f t="shared" si="5"/>
        <v>64.525524551482263</v>
      </c>
      <c r="U18" s="2">
        <f t="shared" si="5"/>
        <v>63.31407458149372</v>
      </c>
      <c r="V18" s="2">
        <f t="shared" si="5"/>
        <v>62.134111995212173</v>
      </c>
      <c r="W18" s="2">
        <f t="shared" si="5"/>
        <v>60.981561443010264</v>
      </c>
      <c r="X18" s="2">
        <f t="shared" si="5"/>
        <v>59.853267096857273</v>
      </c>
      <c r="Y18" s="2">
        <f t="shared" si="5"/>
        <v>58.746732615273352</v>
      </c>
      <c r="Z18" s="2">
        <f t="shared" si="5"/>
        <v>57.659946606028448</v>
      </c>
      <c r="AA18" s="2">
        <f t="shared" si="5"/>
        <v>56.5912620452849</v>
      </c>
      <c r="AB18" s="2">
        <f t="shared" si="5"/>
        <v>55.539310869572176</v>
      </c>
      <c r="AC18" s="2">
        <f t="shared" si="5"/>
        <v>54.502942149212629</v>
      </c>
      <c r="AD18" s="2">
        <f>AD3/1.1</f>
        <v>53.481176465408545</v>
      </c>
    </row>
    <row r="19" spans="1:30" x14ac:dyDescent="0.2">
      <c r="A19" t="s">
        <v>6</v>
      </c>
      <c r="B19" t="s">
        <v>11</v>
      </c>
      <c r="C19" t="s">
        <v>17</v>
      </c>
      <c r="D19" s="2">
        <f t="shared" ref="D19:AC19" si="6">D3/1.2</f>
        <v>107.30299314748834</v>
      </c>
      <c r="E19" s="2">
        <f t="shared" si="6"/>
        <v>95.784347023457514</v>
      </c>
      <c r="F19" s="2">
        <f t="shared" si="6"/>
        <v>90.057342744592503</v>
      </c>
      <c r="G19" s="2">
        <f t="shared" si="6"/>
        <v>84.880497690300004</v>
      </c>
      <c r="H19" s="2">
        <f t="shared" si="6"/>
        <v>80.964482353329089</v>
      </c>
      <c r="I19" s="2">
        <f t="shared" si="6"/>
        <v>77.682047793625912</v>
      </c>
      <c r="J19" s="2">
        <f t="shared" si="6"/>
        <v>72.746362118688751</v>
      </c>
      <c r="K19" s="2">
        <f t="shared" si="6"/>
        <v>70.819580759255089</v>
      </c>
      <c r="L19" s="2">
        <f t="shared" si="6"/>
        <v>69.164525635827161</v>
      </c>
      <c r="M19" s="2">
        <f t="shared" si="6"/>
        <v>67.671644824627094</v>
      </c>
      <c r="N19" s="2">
        <f t="shared" si="6"/>
        <v>66.287188990269414</v>
      </c>
      <c r="O19" s="2">
        <f t="shared" si="6"/>
        <v>64.980961868455992</v>
      </c>
      <c r="P19" s="2">
        <f t="shared" si="6"/>
        <v>63.734372422028926</v>
      </c>
      <c r="Q19" s="2">
        <f t="shared" si="6"/>
        <v>62.535187479867581</v>
      </c>
      <c r="R19" s="2">
        <f t="shared" si="6"/>
        <v>61.374938488907915</v>
      </c>
      <c r="S19" s="2">
        <f t="shared" si="6"/>
        <v>60.247522958367334</v>
      </c>
      <c r="T19" s="2">
        <f t="shared" si="6"/>
        <v>59.148397505525416</v>
      </c>
      <c r="U19" s="2">
        <f t="shared" si="6"/>
        <v>58.037901699702587</v>
      </c>
      <c r="V19" s="2">
        <f t="shared" si="6"/>
        <v>56.956269328944501</v>
      </c>
      <c r="W19" s="2">
        <f t="shared" si="6"/>
        <v>55.899764656092749</v>
      </c>
      <c r="X19" s="2">
        <f t="shared" si="6"/>
        <v>54.865494838785835</v>
      </c>
      <c r="Y19" s="2">
        <f t="shared" si="6"/>
        <v>53.85117156400058</v>
      </c>
      <c r="Z19" s="2">
        <f t="shared" si="6"/>
        <v>52.854951055526087</v>
      </c>
      <c r="AA19" s="2">
        <f t="shared" si="6"/>
        <v>51.875323541511165</v>
      </c>
      <c r="AB19" s="2">
        <f t="shared" si="6"/>
        <v>50.911034963774497</v>
      </c>
      <c r="AC19" s="2">
        <f t="shared" si="6"/>
        <v>49.961030303444922</v>
      </c>
      <c r="AD19" s="2">
        <f>AD3/1.2</f>
        <v>49.024411759957836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8FE9-557E-7340-9E2D-9A5D081A283C}">
  <dimension ref="A1:AE23"/>
  <sheetViews>
    <sheetView workbookViewId="0">
      <selection activeCell="F23" sqref="F23"/>
    </sheetView>
  </sheetViews>
  <sheetFormatPr baseColWidth="10" defaultRowHeight="16" x14ac:dyDescent="0.2"/>
  <cols>
    <col min="1" max="2" width="29.1640625" customWidth="1"/>
  </cols>
  <sheetData>
    <row r="1" spans="1:31" x14ac:dyDescent="0.2">
      <c r="C1" t="s">
        <v>29</v>
      </c>
      <c r="E1" t="s">
        <v>22</v>
      </c>
    </row>
    <row r="2" spans="1:31" x14ac:dyDescent="0.2">
      <c r="E2">
        <v>2024</v>
      </c>
      <c r="F2">
        <f>E2+1</f>
        <v>2025</v>
      </c>
      <c r="G2">
        <f t="shared" ref="G2:AE2" si="0">F2+1</f>
        <v>2026</v>
      </c>
      <c r="H2">
        <f t="shared" si="0"/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  <c r="Q2">
        <f t="shared" si="0"/>
        <v>2036</v>
      </c>
      <c r="R2">
        <f t="shared" si="0"/>
        <v>2037</v>
      </c>
      <c r="S2">
        <f t="shared" si="0"/>
        <v>2038</v>
      </c>
      <c r="T2">
        <f t="shared" si="0"/>
        <v>2039</v>
      </c>
      <c r="U2">
        <f t="shared" si="0"/>
        <v>2040</v>
      </c>
      <c r="V2">
        <f t="shared" si="0"/>
        <v>2041</v>
      </c>
      <c r="W2">
        <f t="shared" si="0"/>
        <v>2042</v>
      </c>
      <c r="X2">
        <f t="shared" si="0"/>
        <v>2043</v>
      </c>
      <c r="Y2">
        <f>X2+1</f>
        <v>2044</v>
      </c>
      <c r="Z2">
        <f t="shared" si="0"/>
        <v>2045</v>
      </c>
      <c r="AA2">
        <f t="shared" si="0"/>
        <v>2046</v>
      </c>
      <c r="AB2">
        <f t="shared" si="0"/>
        <v>2047</v>
      </c>
      <c r="AC2">
        <f>AB2+1</f>
        <v>2048</v>
      </c>
      <c r="AD2">
        <f t="shared" si="0"/>
        <v>2049</v>
      </c>
      <c r="AE2">
        <f t="shared" si="0"/>
        <v>2050</v>
      </c>
    </row>
    <row r="3" spans="1:31" x14ac:dyDescent="0.2">
      <c r="A3" t="s">
        <v>0</v>
      </c>
      <c r="B3" t="s">
        <v>26</v>
      </c>
      <c r="E3" s="5">
        <f>SUMIFS(Data!D:D,Data!$A:$A,$A3,Data!$C:$C,"no_carbon_price")</f>
        <v>24.33</v>
      </c>
      <c r="F3" s="5">
        <f>SUMIFS(Data!E:E,Data!$A:$A,$A3,Data!$C:$C,"no_carbon_price")</f>
        <v>24.745000000000001</v>
      </c>
      <c r="G3" s="5">
        <f>SUMIFS(Data!F:F,Data!$A:$A,$A3,Data!$C:$C,"no_carbon_price")</f>
        <v>25.16</v>
      </c>
      <c r="H3" s="5">
        <f>SUMIFS(Data!G:G,Data!$A:$A,$A3,Data!$C:$C,"no_carbon_price")</f>
        <v>25.574999999999999</v>
      </c>
      <c r="I3" s="5">
        <f>SUMIFS(Data!H:H,Data!$A:$A,$A3,Data!$C:$C,"no_carbon_price")</f>
        <v>25.99</v>
      </c>
      <c r="J3" s="5">
        <f>SUMIFS(Data!I:I,Data!$A:$A,$A3,Data!$C:$C,"no_carbon_price")</f>
        <v>26.405000000000001</v>
      </c>
      <c r="K3" s="5">
        <f>SUMIFS(Data!J:J,Data!$A:$A,$A3,Data!$C:$C,"no_carbon_price")</f>
        <v>26.82</v>
      </c>
      <c r="L3" s="5">
        <f>SUMIFS(Data!K:K,Data!$A:$A,$A3,Data!$C:$C,"no_carbon_price")</f>
        <v>26.379000000000001</v>
      </c>
      <c r="M3" s="5">
        <f>SUMIFS(Data!L:L,Data!$A:$A,$A3,Data!$C:$C,"no_carbon_price")</f>
        <v>25.937999999999999</v>
      </c>
      <c r="N3" s="5">
        <f>SUMIFS(Data!M:M,Data!$A:$A,$A3,Data!$C:$C,"no_carbon_price")</f>
        <v>25.497</v>
      </c>
      <c r="O3" s="5">
        <f>SUMIFS(Data!N:N,Data!$A:$A,$A3,Data!$C:$C,"no_carbon_price")</f>
        <v>25.056000000000001</v>
      </c>
      <c r="P3" s="5">
        <f>SUMIFS(Data!O:O,Data!$A:$A,$A3,Data!$C:$C,"no_carbon_price")</f>
        <v>24.614999999999998</v>
      </c>
      <c r="Q3" s="5">
        <f>SUMIFS(Data!P:P,Data!$A:$A,$A3,Data!$C:$C,"no_carbon_price")</f>
        <v>24.173999999999999</v>
      </c>
      <c r="R3" s="5">
        <f>SUMIFS(Data!Q:Q,Data!$A:$A,$A3,Data!$C:$C,"no_carbon_price")</f>
        <v>23.733000000000001</v>
      </c>
      <c r="S3" s="5">
        <f>SUMIFS(Data!R:R,Data!$A:$A,$A3,Data!$C:$C,"no_carbon_price")</f>
        <v>23.292000000000002</v>
      </c>
      <c r="T3" s="5">
        <f>SUMIFS(Data!S:S,Data!$A:$A,$A3,Data!$C:$C,"no_carbon_price")</f>
        <v>22.850999999999999</v>
      </c>
      <c r="U3" s="5">
        <f>SUMIFS(Data!T:T,Data!$A:$A,$A3,Data!$C:$C,"no_carbon_price")</f>
        <v>22.41</v>
      </c>
      <c r="V3" s="5">
        <f>SUMIFS(Data!U:U,Data!$A:$A,$A3,Data!$C:$C,"no_carbon_price")</f>
        <v>21.969000000000001</v>
      </c>
      <c r="W3" s="5">
        <f>SUMIFS(Data!V:V,Data!$A:$A,$A3,Data!$C:$C,"no_carbon_price")</f>
        <v>21.527999999999999</v>
      </c>
      <c r="X3" s="5">
        <f>SUMIFS(Data!W:W,Data!$A:$A,$A3,Data!$C:$C,"no_carbon_price")</f>
        <v>21.087</v>
      </c>
      <c r="Y3" s="5">
        <f>SUMIFS(Data!X:X,Data!$A:$A,$A3,Data!$C:$C,"no_carbon_price")</f>
        <v>20.646000000000001</v>
      </c>
      <c r="Z3" s="5">
        <f>SUMIFS(Data!Y:Y,Data!$A:$A,$A3,Data!$C:$C,"no_carbon_price")</f>
        <v>20.204999999999998</v>
      </c>
      <c r="AA3" s="5">
        <f>SUMIFS(Data!Z:Z,Data!$A:$A,$A3,Data!$C:$C,"no_carbon_price")</f>
        <v>19.763999999999999</v>
      </c>
      <c r="AB3" s="5">
        <f>SUMIFS(Data!AA:AA,Data!$A:$A,$A3,Data!$C:$C,"no_carbon_price")</f>
        <v>19.323</v>
      </c>
      <c r="AC3" s="5">
        <f>SUMIFS(Data!AB:AB,Data!$A:$A,$A3,Data!$C:$C,"no_carbon_price")</f>
        <v>18.882000000000001</v>
      </c>
      <c r="AD3" s="5">
        <f>SUMIFS(Data!AC:AC,Data!$A:$A,$A3,Data!$C:$C,"no_carbon_price")</f>
        <v>18.440999999999999</v>
      </c>
      <c r="AE3" s="5">
        <f>SUMIFS(Data!AD:AD,Data!$A:$A,$A3,Data!$C:$C,"no_carbon_price")</f>
        <v>18</v>
      </c>
    </row>
    <row r="4" spans="1:31" x14ac:dyDescent="0.2">
      <c r="A4" t="s">
        <v>1</v>
      </c>
      <c r="B4" t="s">
        <v>26</v>
      </c>
      <c r="E4" s="5">
        <f>SUMIFS(Data!D:D,Data!$A:$A,$A4,Data!$C:$C,"no_carbon_price")</f>
        <v>33</v>
      </c>
      <c r="F4" s="5">
        <f>SUMIFS(Data!E:E,Data!$A:$A,$A4,Data!$C:$C,"no_carbon_price")</f>
        <v>33.552222222222198</v>
      </c>
      <c r="G4" s="5">
        <f>SUMIFS(Data!F:F,Data!$A:$A,$A4,Data!$C:$C,"no_carbon_price")</f>
        <v>34.104444444444397</v>
      </c>
      <c r="H4" s="5">
        <f>SUMIFS(Data!G:G,Data!$A:$A,$A4,Data!$C:$C,"no_carbon_price")</f>
        <v>34.656666666666702</v>
      </c>
      <c r="I4" s="5">
        <f>SUMIFS(Data!H:H,Data!$A:$A,$A4,Data!$C:$C,"no_carbon_price")</f>
        <v>35.2088888888889</v>
      </c>
      <c r="J4" s="5">
        <f>SUMIFS(Data!I:I,Data!$A:$A,$A4,Data!$C:$C,"no_carbon_price")</f>
        <v>35.761111111111099</v>
      </c>
      <c r="K4" s="5">
        <f>SUMIFS(Data!J:J,Data!$A:$A,$A4,Data!$C:$C,"no_carbon_price")</f>
        <v>36.313333333333297</v>
      </c>
      <c r="L4" s="5">
        <f>SUMIFS(Data!K:K,Data!$A:$A,$A4,Data!$C:$C,"no_carbon_price")</f>
        <v>35.725333333333303</v>
      </c>
      <c r="M4" s="5">
        <f>SUMIFS(Data!L:L,Data!$A:$A,$A4,Data!$C:$C,"no_carbon_price")</f>
        <v>35.137333333333302</v>
      </c>
      <c r="N4" s="5">
        <f>SUMIFS(Data!M:M,Data!$A:$A,$A4,Data!$C:$C,"no_carbon_price")</f>
        <v>34.549333333333301</v>
      </c>
      <c r="O4" s="5">
        <f>SUMIFS(Data!N:N,Data!$A:$A,$A4,Data!$C:$C,"no_carbon_price")</f>
        <v>33.9613333333333</v>
      </c>
      <c r="P4" s="5">
        <f>SUMIFS(Data!O:O,Data!$A:$A,$A4,Data!$C:$C,"no_carbon_price")</f>
        <v>33.373333333333299</v>
      </c>
      <c r="Q4" s="5">
        <f>SUMIFS(Data!P:P,Data!$A:$A,$A4,Data!$C:$C,"no_carbon_price")</f>
        <v>32.785333333333298</v>
      </c>
      <c r="R4" s="5">
        <f>SUMIFS(Data!Q:Q,Data!$A:$A,$A4,Data!$C:$C,"no_carbon_price")</f>
        <v>32.197333333333297</v>
      </c>
      <c r="S4" s="5">
        <f>SUMIFS(Data!R:R,Data!$A:$A,$A4,Data!$C:$C,"no_carbon_price")</f>
        <v>31.6093333333333</v>
      </c>
      <c r="T4" s="5">
        <f>SUMIFS(Data!S:S,Data!$A:$A,$A4,Data!$C:$C,"no_carbon_price")</f>
        <v>31.021333333333299</v>
      </c>
      <c r="U4" s="5">
        <f>SUMIFS(Data!T:T,Data!$A:$A,$A4,Data!$C:$C,"no_carbon_price")</f>
        <v>30.433333333333302</v>
      </c>
      <c r="V4" s="5">
        <f>SUMIFS(Data!U:U,Data!$A:$A,$A4,Data!$C:$C,"no_carbon_price")</f>
        <v>29.845333333333301</v>
      </c>
      <c r="W4" s="5">
        <f>SUMIFS(Data!V:V,Data!$A:$A,$A4,Data!$C:$C,"no_carbon_price")</f>
        <v>29.2573333333333</v>
      </c>
      <c r="X4" s="5">
        <f>SUMIFS(Data!W:W,Data!$A:$A,$A4,Data!$C:$C,"no_carbon_price")</f>
        <v>28.669333333333299</v>
      </c>
      <c r="Y4" s="5">
        <f>SUMIFS(Data!X:X,Data!$A:$A,$A4,Data!$C:$C,"no_carbon_price")</f>
        <v>28.081333333333301</v>
      </c>
      <c r="Z4" s="5">
        <f>SUMIFS(Data!Y:Y,Data!$A:$A,$A4,Data!$C:$C,"no_carbon_price")</f>
        <v>27.4933333333333</v>
      </c>
      <c r="AA4" s="5">
        <f>SUMIFS(Data!Z:Z,Data!$A:$A,$A4,Data!$C:$C,"no_carbon_price")</f>
        <v>26.905333333333299</v>
      </c>
      <c r="AB4" s="5">
        <f>SUMIFS(Data!AA:AA,Data!$A:$A,$A4,Data!$C:$C,"no_carbon_price")</f>
        <v>26.317333333333298</v>
      </c>
      <c r="AC4" s="5">
        <f>SUMIFS(Data!AB:AB,Data!$A:$A,$A4,Data!$C:$C,"no_carbon_price")</f>
        <v>25.729333333333301</v>
      </c>
      <c r="AD4" s="5">
        <f>SUMIFS(Data!AC:AC,Data!$A:$A,$A4,Data!$C:$C,"no_carbon_price")</f>
        <v>25.1413333333333</v>
      </c>
      <c r="AE4" s="5">
        <f>SUMIFS(Data!AD:AD,Data!$A:$A,$A4,Data!$C:$C,"no_carbon_price")</f>
        <v>24.553333333333299</v>
      </c>
    </row>
    <row r="5" spans="1:31" x14ac:dyDescent="0.2">
      <c r="A5" t="s">
        <v>2</v>
      </c>
      <c r="B5" t="s">
        <v>26</v>
      </c>
      <c r="E5" s="5">
        <f>SUMIFS(Data!D:D,Data!$A:$A,$A5,Data!$C:$C,"no_carbon_price")</f>
        <v>65</v>
      </c>
      <c r="F5" s="5">
        <f>SUMIFS(Data!E:E,Data!$A:$A,$A5,Data!$C:$C,"no_carbon_price")</f>
        <v>63.632592592592601</v>
      </c>
      <c r="G5" s="5">
        <f>SUMIFS(Data!F:F,Data!$A:$A,$A5,Data!$C:$C,"no_carbon_price")</f>
        <v>62.265185185185203</v>
      </c>
      <c r="H5" s="5">
        <f>SUMIFS(Data!G:G,Data!$A:$A,$A5,Data!$C:$C,"no_carbon_price")</f>
        <v>60.897777777777797</v>
      </c>
      <c r="I5" s="5">
        <f>SUMIFS(Data!H:H,Data!$A:$A,$A5,Data!$C:$C,"no_carbon_price")</f>
        <v>59.530370370370399</v>
      </c>
      <c r="J5" s="5">
        <f>SUMIFS(Data!I:I,Data!$A:$A,$A5,Data!$C:$C,"no_carbon_price")</f>
        <v>58.162962962963</v>
      </c>
      <c r="K5" s="5">
        <f>SUMIFS(Data!J:J,Data!$A:$A,$A5,Data!$C:$C,"no_carbon_price")</f>
        <v>56.795555555555602</v>
      </c>
      <c r="L5" s="5">
        <f>SUMIFS(Data!K:K,Data!$A:$A,$A5,Data!$C:$C,"no_carbon_price")</f>
        <v>55.413888888888899</v>
      </c>
      <c r="M5" s="5">
        <f>SUMIFS(Data!L:L,Data!$A:$A,$A5,Data!$C:$C,"no_carbon_price")</f>
        <v>54.032222222222202</v>
      </c>
      <c r="N5" s="5">
        <f>SUMIFS(Data!M:M,Data!$A:$A,$A5,Data!$C:$C,"no_carbon_price")</f>
        <v>52.650555555555599</v>
      </c>
      <c r="O5" s="5">
        <f>SUMIFS(Data!N:N,Data!$A:$A,$A5,Data!$C:$C,"no_carbon_price")</f>
        <v>51.268888888888902</v>
      </c>
      <c r="P5" s="5">
        <f>SUMIFS(Data!O:O,Data!$A:$A,$A5,Data!$C:$C,"no_carbon_price")</f>
        <v>49.887222222222199</v>
      </c>
      <c r="Q5" s="5">
        <f>SUMIFS(Data!P:P,Data!$A:$A,$A5,Data!$C:$C,"no_carbon_price")</f>
        <v>48.505555555555603</v>
      </c>
      <c r="R5" s="5">
        <f>SUMIFS(Data!Q:Q,Data!$A:$A,$A5,Data!$C:$C,"no_carbon_price")</f>
        <v>47.123888888888899</v>
      </c>
      <c r="S5" s="5">
        <f>SUMIFS(Data!R:R,Data!$A:$A,$A5,Data!$C:$C,"no_carbon_price")</f>
        <v>45.742222222222203</v>
      </c>
      <c r="T5" s="5">
        <f>SUMIFS(Data!S:S,Data!$A:$A,$A5,Data!$C:$C,"no_carbon_price")</f>
        <v>44.360555555555599</v>
      </c>
      <c r="U5" s="5">
        <f>SUMIFS(Data!T:T,Data!$A:$A,$A5,Data!$C:$C,"no_carbon_price")</f>
        <v>42.978888888888903</v>
      </c>
      <c r="V5" s="5">
        <f>SUMIFS(Data!U:U,Data!$A:$A,$A5,Data!$C:$C,"no_carbon_price")</f>
        <v>41.5972222222222</v>
      </c>
      <c r="W5" s="5">
        <f>SUMIFS(Data!V:V,Data!$A:$A,$A5,Data!$C:$C,"no_carbon_price")</f>
        <v>40.215555555555603</v>
      </c>
      <c r="X5" s="5">
        <f>SUMIFS(Data!W:W,Data!$A:$A,$A5,Data!$C:$C,"no_carbon_price")</f>
        <v>38.8338888888889</v>
      </c>
      <c r="Y5" s="5">
        <f>SUMIFS(Data!X:X,Data!$A:$A,$A5,Data!$C:$C,"no_carbon_price")</f>
        <v>37.452222222222197</v>
      </c>
      <c r="Z5" s="5">
        <f>SUMIFS(Data!Y:Y,Data!$A:$A,$A5,Data!$C:$C,"no_carbon_price")</f>
        <v>36.0705555555556</v>
      </c>
      <c r="AA5" s="5">
        <f>SUMIFS(Data!Z:Z,Data!$A:$A,$A5,Data!$C:$C,"no_carbon_price")</f>
        <v>34.688888888888897</v>
      </c>
      <c r="AB5" s="5">
        <f>SUMIFS(Data!AA:AA,Data!$A:$A,$A5,Data!$C:$C,"no_carbon_price")</f>
        <v>33.307222222222201</v>
      </c>
      <c r="AC5" s="5">
        <f>SUMIFS(Data!AB:AB,Data!$A:$A,$A5,Data!$C:$C,"no_carbon_price")</f>
        <v>31.925555555555601</v>
      </c>
      <c r="AD5" s="5">
        <f>SUMIFS(Data!AC:AC,Data!$A:$A,$A5,Data!$C:$C,"no_carbon_price")</f>
        <v>30.543888888888901</v>
      </c>
      <c r="AE5" s="5">
        <f>SUMIFS(Data!AD:AD,Data!$A:$A,$A5,Data!$C:$C,"no_carbon_price")</f>
        <v>29.162222222222201</v>
      </c>
    </row>
    <row r="6" spans="1:31" x14ac:dyDescent="0.2">
      <c r="A6" t="s">
        <v>21</v>
      </c>
      <c r="B6" t="s">
        <v>26</v>
      </c>
      <c r="E6" s="5">
        <f>SUMIFS(Data!D:D,Data!$A:$A,$A6,Data!$C:$C,"no_carbon_price")</f>
        <v>57</v>
      </c>
      <c r="F6" s="5">
        <f>SUMIFS(Data!E:E,Data!$A:$A,$A6,Data!$C:$C,"no_carbon_price")</f>
        <v>57.630238095238099</v>
      </c>
      <c r="G6" s="5">
        <f>SUMIFS(Data!F:F,Data!$A:$A,$A6,Data!$C:$C,"no_carbon_price")</f>
        <v>58.260476190476197</v>
      </c>
      <c r="H6" s="5">
        <f>SUMIFS(Data!G:G,Data!$A:$A,$A6,Data!$C:$C,"no_carbon_price")</f>
        <v>58.890714285714303</v>
      </c>
      <c r="I6" s="5">
        <f>SUMIFS(Data!H:H,Data!$A:$A,$A6,Data!$C:$C,"no_carbon_price")</f>
        <v>59.520952380952401</v>
      </c>
      <c r="J6" s="5">
        <f>SUMIFS(Data!I:I,Data!$A:$A,$A6,Data!$C:$C,"no_carbon_price")</f>
        <v>60.1511904761905</v>
      </c>
      <c r="K6" s="5">
        <f>SUMIFS(Data!J:J,Data!$A:$A,$A6,Data!$C:$C,"no_carbon_price")</f>
        <v>60.781428571428599</v>
      </c>
      <c r="L6" s="5">
        <f>SUMIFS(Data!K:K,Data!$A:$A,$A6,Data!$C:$C,"no_carbon_price")</f>
        <v>60.151428571428603</v>
      </c>
      <c r="M6" s="5">
        <f>SUMIFS(Data!L:L,Data!$A:$A,$A6,Data!$C:$C,"no_carbon_price")</f>
        <v>59.521428571428601</v>
      </c>
      <c r="N6" s="5">
        <f>SUMIFS(Data!M:M,Data!$A:$A,$A6,Data!$C:$C,"no_carbon_price")</f>
        <v>58.891428571428598</v>
      </c>
      <c r="O6" s="5">
        <f>SUMIFS(Data!N:N,Data!$A:$A,$A6,Data!$C:$C,"no_carbon_price")</f>
        <v>58.261428571428603</v>
      </c>
      <c r="P6" s="5">
        <f>SUMIFS(Data!O:O,Data!$A:$A,$A6,Data!$C:$C,"no_carbon_price")</f>
        <v>57.6314285714286</v>
      </c>
      <c r="Q6" s="5">
        <f>SUMIFS(Data!P:P,Data!$A:$A,$A6,Data!$C:$C,"no_carbon_price")</f>
        <v>57.001428571428598</v>
      </c>
      <c r="R6" s="5">
        <f>SUMIFS(Data!Q:Q,Data!$A:$A,$A6,Data!$C:$C,"no_carbon_price")</f>
        <v>56.371428571428602</v>
      </c>
      <c r="S6" s="5">
        <f>SUMIFS(Data!R:R,Data!$A:$A,$A6,Data!$C:$C,"no_carbon_price")</f>
        <v>55.7414285714286</v>
      </c>
      <c r="T6" s="5">
        <f>SUMIFS(Data!S:S,Data!$A:$A,$A6,Data!$C:$C,"no_carbon_price")</f>
        <v>55.111428571428597</v>
      </c>
      <c r="U6" s="5">
        <f>SUMIFS(Data!T:T,Data!$A:$A,$A6,Data!$C:$C,"no_carbon_price")</f>
        <v>54.481428571428602</v>
      </c>
      <c r="V6" s="5">
        <f>SUMIFS(Data!U:U,Data!$A:$A,$A6,Data!$C:$C,"no_carbon_price")</f>
        <v>53.851428571428599</v>
      </c>
      <c r="W6" s="5">
        <f>SUMIFS(Data!V:V,Data!$A:$A,$A6,Data!$C:$C,"no_carbon_price")</f>
        <v>53.221428571428604</v>
      </c>
      <c r="X6" s="5">
        <f>SUMIFS(Data!W:W,Data!$A:$A,$A6,Data!$C:$C,"no_carbon_price")</f>
        <v>52.591428571428601</v>
      </c>
      <c r="Y6" s="5">
        <f>SUMIFS(Data!X:X,Data!$A:$A,$A6,Data!$C:$C,"no_carbon_price")</f>
        <v>51.961428571428598</v>
      </c>
      <c r="Z6" s="5">
        <f>SUMIFS(Data!Y:Y,Data!$A:$A,$A6,Data!$C:$C,"no_carbon_price")</f>
        <v>51.331428571428603</v>
      </c>
      <c r="AA6" s="5">
        <f>SUMIFS(Data!Z:Z,Data!$A:$A,$A6,Data!$C:$C,"no_carbon_price")</f>
        <v>50.7014285714286</v>
      </c>
      <c r="AB6" s="5">
        <f>SUMIFS(Data!AA:AA,Data!$A:$A,$A6,Data!$C:$C,"no_carbon_price")</f>
        <v>50.071428571428598</v>
      </c>
      <c r="AC6" s="5">
        <f>SUMIFS(Data!AB:AB,Data!$A:$A,$A6,Data!$C:$C,"no_carbon_price")</f>
        <v>49.441428571428602</v>
      </c>
      <c r="AD6" s="5">
        <f>SUMIFS(Data!AC:AC,Data!$A:$A,$A6,Data!$C:$C,"no_carbon_price")</f>
        <v>48.8114285714286</v>
      </c>
      <c r="AE6" s="5">
        <f>SUMIFS(Data!AD:AD,Data!$A:$A,$A6,Data!$C:$C,"no_carbon_price")</f>
        <v>48.181428571428597</v>
      </c>
    </row>
    <row r="7" spans="1:31" x14ac:dyDescent="0.2">
      <c r="A7" t="s">
        <v>3</v>
      </c>
      <c r="B7" t="s">
        <v>26</v>
      </c>
      <c r="E7" s="5">
        <f>SUMIFS(Data!D:D,Data!$A:$A,$A7,Data!$C:$C,"no_carbon_price")</f>
        <v>63</v>
      </c>
      <c r="F7" s="5">
        <f>SUMIFS(Data!E:E,Data!$A:$A,$A7,Data!$C:$C,"no_carbon_price")</f>
        <v>61.632592592592601</v>
      </c>
      <c r="G7" s="5">
        <f>SUMIFS(Data!F:F,Data!$A:$A,$A7,Data!$C:$C,"no_carbon_price")</f>
        <v>60.265185185185203</v>
      </c>
      <c r="H7" s="5">
        <f>SUMIFS(Data!G:G,Data!$A:$A,$A7,Data!$C:$C,"no_carbon_price")</f>
        <v>58.897777777777797</v>
      </c>
      <c r="I7" s="5">
        <f>SUMIFS(Data!H:H,Data!$A:$A,$A7,Data!$C:$C,"no_carbon_price")</f>
        <v>57.530370370370399</v>
      </c>
      <c r="J7" s="5">
        <f>SUMIFS(Data!I:I,Data!$A:$A,$A7,Data!$C:$C,"no_carbon_price")</f>
        <v>56.162962962963</v>
      </c>
      <c r="K7" s="5">
        <f>SUMIFS(Data!J:J,Data!$A:$A,$A7,Data!$C:$C,"no_carbon_price")</f>
        <v>54.795555555555602</v>
      </c>
      <c r="L7" s="5">
        <f>SUMIFS(Data!K:K,Data!$A:$A,$A7,Data!$C:$C,"no_carbon_price")</f>
        <v>53.413888888888899</v>
      </c>
      <c r="M7" s="5">
        <f>SUMIFS(Data!L:L,Data!$A:$A,$A7,Data!$C:$C,"no_carbon_price")</f>
        <v>52.032222222222202</v>
      </c>
      <c r="N7" s="5">
        <f>SUMIFS(Data!M:M,Data!$A:$A,$A7,Data!$C:$C,"no_carbon_price")</f>
        <v>50.650555555555599</v>
      </c>
      <c r="O7" s="5">
        <f>SUMIFS(Data!N:N,Data!$A:$A,$A7,Data!$C:$C,"no_carbon_price")</f>
        <v>49.268888888888902</v>
      </c>
      <c r="P7" s="5">
        <f>SUMIFS(Data!O:O,Data!$A:$A,$A7,Data!$C:$C,"no_carbon_price")</f>
        <v>47.887222222222199</v>
      </c>
      <c r="Q7" s="5">
        <f>SUMIFS(Data!P:P,Data!$A:$A,$A7,Data!$C:$C,"no_carbon_price")</f>
        <v>46.505555555555603</v>
      </c>
      <c r="R7" s="5">
        <f>SUMIFS(Data!Q:Q,Data!$A:$A,$A7,Data!$C:$C,"no_carbon_price")</f>
        <v>45.123888888888899</v>
      </c>
      <c r="S7" s="5">
        <f>SUMIFS(Data!R:R,Data!$A:$A,$A7,Data!$C:$C,"no_carbon_price")</f>
        <v>43.742222222222203</v>
      </c>
      <c r="T7" s="5">
        <f>SUMIFS(Data!S:S,Data!$A:$A,$A7,Data!$C:$C,"no_carbon_price")</f>
        <v>42.360555555555599</v>
      </c>
      <c r="U7" s="5">
        <f>SUMIFS(Data!T:T,Data!$A:$A,$A7,Data!$C:$C,"no_carbon_price")</f>
        <v>40.978888888888903</v>
      </c>
      <c r="V7" s="5">
        <f>SUMIFS(Data!U:U,Data!$A:$A,$A7,Data!$C:$C,"no_carbon_price")</f>
        <v>39.5972222222222</v>
      </c>
      <c r="W7" s="5">
        <f>SUMIFS(Data!V:V,Data!$A:$A,$A7,Data!$C:$C,"no_carbon_price")</f>
        <v>38.215555555555603</v>
      </c>
      <c r="X7" s="5">
        <f>SUMIFS(Data!W:W,Data!$A:$A,$A7,Data!$C:$C,"no_carbon_price")</f>
        <v>36.8338888888889</v>
      </c>
      <c r="Y7" s="5">
        <f>SUMIFS(Data!X:X,Data!$A:$A,$A7,Data!$C:$C,"no_carbon_price")</f>
        <v>35.452222222222197</v>
      </c>
      <c r="Z7" s="5">
        <f>SUMIFS(Data!Y:Y,Data!$A:$A,$A7,Data!$C:$C,"no_carbon_price")</f>
        <v>34.0705555555556</v>
      </c>
      <c r="AA7" s="5">
        <f>SUMIFS(Data!Z:Z,Data!$A:$A,$A7,Data!$C:$C,"no_carbon_price")</f>
        <v>32.688888888888897</v>
      </c>
      <c r="AB7" s="5">
        <f>SUMIFS(Data!AA:AA,Data!$A:$A,$A7,Data!$C:$C,"no_carbon_price")</f>
        <v>31.307222222222201</v>
      </c>
      <c r="AC7" s="5">
        <f>SUMIFS(Data!AB:AB,Data!$A:$A,$A7,Data!$C:$C,"no_carbon_price")</f>
        <v>29.925555555555601</v>
      </c>
      <c r="AD7" s="5">
        <f>SUMIFS(Data!AC:AC,Data!$A:$A,$A7,Data!$C:$C,"no_carbon_price")</f>
        <v>28.543888888888901</v>
      </c>
      <c r="AE7" s="5">
        <f>SUMIFS(Data!AD:AD,Data!$A:$A,$A7,Data!$C:$C,"no_carbon_price")</f>
        <v>27.162222222222201</v>
      </c>
    </row>
    <row r="10" spans="1:31" x14ac:dyDescent="0.2">
      <c r="A10" t="s">
        <v>0</v>
      </c>
      <c r="B10" t="s">
        <v>27</v>
      </c>
      <c r="E10" s="5">
        <f>SUMIFS(Data!D:D,Data!$A:$A,$A10,Data!$C:$C,"carbon_price")</f>
        <v>55.23695</v>
      </c>
      <c r="F10" s="5">
        <f>SUMIFS(Data!E:E,Data!$A:$A,$A10,Data!$C:$C,"carbon_price")</f>
        <v>55.651949999999999</v>
      </c>
      <c r="G10" s="5">
        <f>SUMIFS(Data!F:F,Data!$A:$A,$A10,Data!$C:$C,"carbon_price")</f>
        <v>57.800049999999999</v>
      </c>
      <c r="H10" s="5">
        <f>SUMIFS(Data!G:G,Data!$A:$A,$A10,Data!$C:$C,"carbon_price")</f>
        <v>59.948149999999998</v>
      </c>
      <c r="I10" s="5">
        <f>SUMIFS(Data!H:H,Data!$A:$A,$A10,Data!$C:$C,"carbon_price")</f>
        <v>62.096249999999998</v>
      </c>
      <c r="J10" s="5">
        <f>SUMIFS(Data!I:I,Data!$A:$A,$A10,Data!$C:$C,"carbon_price")</f>
        <v>64.244349999999997</v>
      </c>
      <c r="K10" s="5">
        <f>SUMIFS(Data!J:J,Data!$A:$A,$A10,Data!$C:$C,"carbon_price")</f>
        <v>66.392449999999997</v>
      </c>
      <c r="L10" s="5">
        <f>SUMIFS(Data!K:K,Data!$A:$A,$A10,Data!$C:$C,"carbon_price")</f>
        <v>68.204480000000004</v>
      </c>
      <c r="M10" s="5">
        <f>SUMIFS(Data!L:L,Data!$A:$A,$A10,Data!$C:$C,"carbon_price")</f>
        <v>70.016509999999997</v>
      </c>
      <c r="N10" s="5">
        <f>SUMIFS(Data!M:M,Data!$A:$A,$A10,Data!$C:$C,"carbon_price")</f>
        <v>71.828540000000004</v>
      </c>
      <c r="O10" s="5">
        <f>SUMIFS(Data!N:N,Data!$A:$A,$A10,Data!$C:$C,"carbon_price")</f>
        <v>73.640569999999997</v>
      </c>
      <c r="P10" s="5">
        <f>SUMIFS(Data!O:O,Data!$A:$A,$A10,Data!$C:$C,"carbon_price")</f>
        <v>75.452600000000004</v>
      </c>
      <c r="Q10" s="5">
        <f>SUMIFS(Data!P:P,Data!$A:$A,$A10,Data!$C:$C,"carbon_price")</f>
        <v>77.900099999999995</v>
      </c>
      <c r="R10" s="5">
        <f>SUMIFS(Data!Q:Q,Data!$A:$A,$A10,Data!$C:$C,"carbon_price")</f>
        <v>80.3476</v>
      </c>
      <c r="S10" s="5">
        <f>SUMIFS(Data!R:R,Data!$A:$A,$A10,Data!$C:$C,"carbon_price")</f>
        <v>82.795100000000005</v>
      </c>
      <c r="T10" s="5">
        <f>SUMIFS(Data!S:S,Data!$A:$A,$A10,Data!$C:$C,"carbon_price")</f>
        <v>85.242599999999996</v>
      </c>
      <c r="U10" s="5">
        <f>SUMIFS(Data!T:T,Data!$A:$A,$A10,Data!$C:$C,"carbon_price")</f>
        <v>87.690100000000001</v>
      </c>
      <c r="V10" s="5">
        <f>SUMIFS(Data!U:U,Data!$A:$A,$A10,Data!$C:$C,"carbon_price")</f>
        <v>90.946380000000005</v>
      </c>
      <c r="W10" s="5">
        <f>SUMIFS(Data!V:V,Data!$A:$A,$A10,Data!$C:$C,"carbon_price")</f>
        <v>94.202659999999995</v>
      </c>
      <c r="X10" s="5">
        <f>SUMIFS(Data!W:W,Data!$A:$A,$A10,Data!$C:$C,"carbon_price")</f>
        <v>97.458939999999998</v>
      </c>
      <c r="Y10" s="5">
        <f>SUMIFS(Data!X:X,Data!$A:$A,$A10,Data!$C:$C,"carbon_price")</f>
        <v>100.71522</v>
      </c>
      <c r="Z10" s="5">
        <f>SUMIFS(Data!Y:Y,Data!$A:$A,$A10,Data!$C:$C,"carbon_price")</f>
        <v>103.97150000000001</v>
      </c>
      <c r="AA10" s="5">
        <f>SUMIFS(Data!Z:Z,Data!$A:$A,$A10,Data!$C:$C,"carbon_price")</f>
        <v>108.32541000000001</v>
      </c>
      <c r="AB10" s="5">
        <f>SUMIFS(Data!AA:AA,Data!$A:$A,$A10,Data!$C:$C,"carbon_price")</f>
        <v>112.67932</v>
      </c>
      <c r="AC10" s="5">
        <f>SUMIFS(Data!AB:AB,Data!$A:$A,$A10,Data!$C:$C,"carbon_price")</f>
        <v>117.03323</v>
      </c>
      <c r="AD10" s="5">
        <f>SUMIFS(Data!AC:AC,Data!$A:$A,$A10,Data!$C:$C,"carbon_price")</f>
        <v>121.38714</v>
      </c>
      <c r="AE10" s="5">
        <f>SUMIFS(Data!AD:AD,Data!$A:$A,$A10,Data!$C:$C,"carbon_price")</f>
        <v>125.74105</v>
      </c>
    </row>
    <row r="11" spans="1:31" x14ac:dyDescent="0.2">
      <c r="A11" t="s">
        <v>1</v>
      </c>
      <c r="B11" t="s">
        <v>27</v>
      </c>
      <c r="E11" s="5">
        <f>SUMIFS(Data!D:D,Data!$A:$A,$A11,Data!$C:$C,"carbon_price")</f>
        <v>74.209266666666693</v>
      </c>
      <c r="F11" s="5">
        <f>SUMIFS(Data!E:E,Data!$A:$A,$A11,Data!$C:$C,"carbon_price")</f>
        <v>74.761488888888906</v>
      </c>
      <c r="G11" s="5">
        <f>SUMIFS(Data!F:F,Data!$A:$A,$A11,Data!$C:$C,"carbon_price")</f>
        <v>77.624511111111104</v>
      </c>
      <c r="H11" s="5">
        <f>SUMIFS(Data!G:G,Data!$A:$A,$A11,Data!$C:$C,"carbon_price")</f>
        <v>80.487533333333303</v>
      </c>
      <c r="I11" s="5">
        <f>SUMIFS(Data!H:H,Data!$A:$A,$A11,Data!$C:$C,"carbon_price")</f>
        <v>83.350555555555601</v>
      </c>
      <c r="J11" s="5">
        <f>SUMIFS(Data!I:I,Data!$A:$A,$A11,Data!$C:$C,"carbon_price")</f>
        <v>86.2135777777778</v>
      </c>
      <c r="K11" s="5">
        <f>SUMIFS(Data!J:J,Data!$A:$A,$A11,Data!$C:$C,"carbon_price")</f>
        <v>89.076599999999999</v>
      </c>
      <c r="L11" s="5">
        <f>SUMIFS(Data!K:K,Data!$A:$A,$A11,Data!$C:$C,"carbon_price")</f>
        <v>91.492639999999994</v>
      </c>
      <c r="M11" s="5">
        <f>SUMIFS(Data!L:L,Data!$A:$A,$A11,Data!$C:$C,"carbon_price")</f>
        <v>93.908680000000004</v>
      </c>
      <c r="N11" s="5">
        <f>SUMIFS(Data!M:M,Data!$A:$A,$A11,Data!$C:$C,"carbon_price")</f>
        <v>96.324719999999999</v>
      </c>
      <c r="O11" s="5">
        <f>SUMIFS(Data!N:N,Data!$A:$A,$A11,Data!$C:$C,"carbon_price")</f>
        <v>98.740759999999995</v>
      </c>
      <c r="P11" s="5">
        <f>SUMIFS(Data!O:O,Data!$A:$A,$A11,Data!$C:$C,"carbon_price")</f>
        <v>101.1568</v>
      </c>
      <c r="Q11" s="5">
        <f>SUMIFS(Data!P:P,Data!$A:$A,$A11,Data!$C:$C,"carbon_price")</f>
        <v>104.420133333333</v>
      </c>
      <c r="R11" s="5">
        <f>SUMIFS(Data!Q:Q,Data!$A:$A,$A11,Data!$C:$C,"carbon_price")</f>
        <v>107.683466666667</v>
      </c>
      <c r="S11" s="5">
        <f>SUMIFS(Data!R:R,Data!$A:$A,$A11,Data!$C:$C,"carbon_price")</f>
        <v>110.9468</v>
      </c>
      <c r="T11" s="5">
        <f>SUMIFS(Data!S:S,Data!$A:$A,$A11,Data!$C:$C,"carbon_price")</f>
        <v>114.210133333333</v>
      </c>
      <c r="U11" s="5">
        <f>SUMIFS(Data!T:T,Data!$A:$A,$A11,Data!$C:$C,"carbon_price")</f>
        <v>117.47346666666699</v>
      </c>
      <c r="V11" s="5">
        <f>SUMIFS(Data!U:U,Data!$A:$A,$A11,Data!$C:$C,"carbon_price")</f>
        <v>121.81517333333299</v>
      </c>
      <c r="W11" s="5">
        <f>SUMIFS(Data!V:V,Data!$A:$A,$A11,Data!$C:$C,"carbon_price")</f>
        <v>126.15688</v>
      </c>
      <c r="X11" s="5">
        <f>SUMIFS(Data!W:W,Data!$A:$A,$A11,Data!$C:$C,"carbon_price")</f>
        <v>130.49858666666699</v>
      </c>
      <c r="Y11" s="5">
        <f>SUMIFS(Data!X:X,Data!$A:$A,$A11,Data!$C:$C,"carbon_price")</f>
        <v>134.84029333333299</v>
      </c>
      <c r="Z11" s="5">
        <f>SUMIFS(Data!Y:Y,Data!$A:$A,$A11,Data!$C:$C,"carbon_price")</f>
        <v>139.18199999999999</v>
      </c>
      <c r="AA11" s="5">
        <f>SUMIFS(Data!Z:Z,Data!$A:$A,$A11,Data!$C:$C,"carbon_price")</f>
        <v>144.98721333333299</v>
      </c>
      <c r="AB11" s="5">
        <f>SUMIFS(Data!AA:AA,Data!$A:$A,$A11,Data!$C:$C,"carbon_price")</f>
        <v>150.79242666666701</v>
      </c>
      <c r="AC11" s="5">
        <f>SUMIFS(Data!AB:AB,Data!$A:$A,$A11,Data!$C:$C,"carbon_price")</f>
        <v>156.59764000000001</v>
      </c>
      <c r="AD11" s="5">
        <f>SUMIFS(Data!AC:AC,Data!$A:$A,$A11,Data!$C:$C,"carbon_price")</f>
        <v>162.40285333333301</v>
      </c>
      <c r="AE11" s="5">
        <f>SUMIFS(Data!AD:AD,Data!$A:$A,$A11,Data!$C:$C,"carbon_price")</f>
        <v>168.20806666666701</v>
      </c>
    </row>
    <row r="12" spans="1:31" x14ac:dyDescent="0.2">
      <c r="A12" t="s">
        <v>2</v>
      </c>
      <c r="B12" t="s">
        <v>27</v>
      </c>
      <c r="E12" s="5">
        <f>SUMIFS(Data!D:D,Data!$A:$A,$A12,Data!$C:$C,"carbon_price")</f>
        <v>94.157499999999999</v>
      </c>
      <c r="F12" s="5">
        <f>SUMIFS(Data!E:E,Data!$A:$A,$A12,Data!$C:$C,"carbon_price")</f>
        <v>92.7900925925926</v>
      </c>
      <c r="G12" s="5">
        <f>SUMIFS(Data!F:F,Data!$A:$A,$A12,Data!$C:$C,"carbon_price")</f>
        <v>93.057685185185207</v>
      </c>
      <c r="H12" s="5">
        <f>SUMIFS(Data!G:G,Data!$A:$A,$A12,Data!$C:$C,"carbon_price")</f>
        <v>93.325277777777799</v>
      </c>
      <c r="I12" s="5">
        <f>SUMIFS(Data!H:H,Data!$A:$A,$A12,Data!$C:$C,"carbon_price")</f>
        <v>93.592870370370406</v>
      </c>
      <c r="J12" s="5">
        <f>SUMIFS(Data!I:I,Data!$A:$A,$A12,Data!$C:$C,"carbon_price")</f>
        <v>93.860462962962998</v>
      </c>
      <c r="K12" s="5">
        <f>SUMIFS(Data!J:J,Data!$A:$A,$A12,Data!$C:$C,"carbon_price")</f>
        <v>94.128055555555605</v>
      </c>
      <c r="L12" s="5">
        <f>SUMIFS(Data!K:K,Data!$A:$A,$A12,Data!$C:$C,"carbon_price")</f>
        <v>94.871888888888904</v>
      </c>
      <c r="M12" s="5">
        <f>SUMIFS(Data!L:L,Data!$A:$A,$A12,Data!$C:$C,"carbon_price")</f>
        <v>95.615722222222203</v>
      </c>
      <c r="N12" s="5">
        <f>SUMIFS(Data!M:M,Data!$A:$A,$A12,Data!$C:$C,"carbon_price")</f>
        <v>96.359555555555602</v>
      </c>
      <c r="O12" s="5">
        <f>SUMIFS(Data!N:N,Data!$A:$A,$A12,Data!$C:$C,"carbon_price")</f>
        <v>97.103388888888901</v>
      </c>
      <c r="P12" s="5">
        <f>SUMIFS(Data!O:O,Data!$A:$A,$A12,Data!$C:$C,"carbon_price")</f>
        <v>97.8472222222222</v>
      </c>
      <c r="Q12" s="5">
        <f>SUMIFS(Data!P:P,Data!$A:$A,$A12,Data!$C:$C,"carbon_price")</f>
        <v>99.190555555555605</v>
      </c>
      <c r="R12" s="5">
        <f>SUMIFS(Data!Q:Q,Data!$A:$A,$A12,Data!$C:$C,"carbon_price")</f>
        <v>100.533888888889</v>
      </c>
      <c r="S12" s="5">
        <f>SUMIFS(Data!R:R,Data!$A:$A,$A12,Data!$C:$C,"carbon_price")</f>
        <v>101.877222222222</v>
      </c>
      <c r="T12" s="5">
        <f>SUMIFS(Data!S:S,Data!$A:$A,$A12,Data!$C:$C,"carbon_price")</f>
        <v>103.220555555556</v>
      </c>
      <c r="U12" s="5">
        <f>SUMIFS(Data!T:T,Data!$A:$A,$A12,Data!$C:$C,"carbon_price")</f>
        <v>104.563888888889</v>
      </c>
      <c r="V12" s="5">
        <f>SUMIFS(Data!U:U,Data!$A:$A,$A12,Data!$C:$C,"carbon_price")</f>
        <v>106.67022222222199</v>
      </c>
      <c r="W12" s="5">
        <f>SUMIFS(Data!V:V,Data!$A:$A,$A12,Data!$C:$C,"carbon_price")</f>
        <v>108.776555555556</v>
      </c>
      <c r="X12" s="5">
        <f>SUMIFS(Data!W:W,Data!$A:$A,$A12,Data!$C:$C,"carbon_price")</f>
        <v>110.882888888889</v>
      </c>
      <c r="Y12" s="5">
        <f>SUMIFS(Data!X:X,Data!$A:$A,$A12,Data!$C:$C,"carbon_price")</f>
        <v>112.989222222222</v>
      </c>
      <c r="Z12" s="5">
        <f>SUMIFS(Data!Y:Y,Data!$A:$A,$A12,Data!$C:$C,"carbon_price")</f>
        <v>115.095555555556</v>
      </c>
      <c r="AA12" s="5">
        <f>SUMIFS(Data!Z:Z,Data!$A:$A,$A12,Data!$C:$C,"carbon_price")</f>
        <v>118.237388888889</v>
      </c>
      <c r="AB12" s="5">
        <f>SUMIFS(Data!AA:AA,Data!$A:$A,$A12,Data!$C:$C,"carbon_price")</f>
        <v>121.379222222222</v>
      </c>
      <c r="AC12" s="5">
        <f>SUMIFS(Data!AB:AB,Data!$A:$A,$A12,Data!$C:$C,"carbon_price")</f>
        <v>124.521055555556</v>
      </c>
      <c r="AD12" s="5">
        <f>SUMIFS(Data!AC:AC,Data!$A:$A,$A12,Data!$C:$C,"carbon_price")</f>
        <v>127.662888888889</v>
      </c>
      <c r="AE12" s="5">
        <f>SUMIFS(Data!AD:AD,Data!$A:$A,$A12,Data!$C:$C,"carbon_price")</f>
        <v>130.80472222222201</v>
      </c>
    </row>
    <row r="13" spans="1:31" x14ac:dyDescent="0.2">
      <c r="A13" t="s">
        <v>21</v>
      </c>
      <c r="B13" t="s">
        <v>27</v>
      </c>
      <c r="E13" s="5">
        <f>SUMIFS(Data!D:D,Data!$A:$A,$A13,Data!$C:$C,"carbon_price")</f>
        <v>101.152785714286</v>
      </c>
      <c r="F13" s="5">
        <f>SUMIFS(Data!E:E,Data!$A:$A,$A13,Data!$C:$C,"carbon_price")</f>
        <v>101.783023809524</v>
      </c>
      <c r="G13" s="5">
        <f>SUMIFS(Data!F:F,Data!$A:$A,$A13,Data!$C:$C,"carbon_price")</f>
        <v>104.889119047619</v>
      </c>
      <c r="H13" s="5">
        <f>SUMIFS(Data!G:G,Data!$A:$A,$A13,Data!$C:$C,"carbon_price")</f>
        <v>107.995214285714</v>
      </c>
      <c r="I13" s="5">
        <f>SUMIFS(Data!H:H,Data!$A:$A,$A13,Data!$C:$C,"carbon_price")</f>
        <v>111.10130952381</v>
      </c>
      <c r="J13" s="5">
        <f>SUMIFS(Data!I:I,Data!$A:$A,$A13,Data!$C:$C,"carbon_price")</f>
        <v>114.207404761905</v>
      </c>
      <c r="K13" s="5">
        <f>SUMIFS(Data!J:J,Data!$A:$A,$A13,Data!$C:$C,"carbon_price")</f>
        <v>117.3135</v>
      </c>
      <c r="L13" s="5">
        <f>SUMIFS(Data!K:K,Data!$A:$A,$A13,Data!$C:$C,"carbon_price")</f>
        <v>119.90211428571401</v>
      </c>
      <c r="M13" s="5">
        <f>SUMIFS(Data!L:L,Data!$A:$A,$A13,Data!$C:$C,"carbon_price")</f>
        <v>122.490728571429</v>
      </c>
      <c r="N13" s="5">
        <f>SUMIFS(Data!M:M,Data!$A:$A,$A13,Data!$C:$C,"carbon_price")</f>
        <v>125.079342857143</v>
      </c>
      <c r="O13" s="5">
        <f>SUMIFS(Data!N:N,Data!$A:$A,$A13,Data!$C:$C,"carbon_price")</f>
        <v>127.66795714285701</v>
      </c>
      <c r="P13" s="5">
        <f>SUMIFS(Data!O:O,Data!$A:$A,$A13,Data!$C:$C,"carbon_price")</f>
        <v>130.25657142857099</v>
      </c>
      <c r="Q13" s="5">
        <f>SUMIFS(Data!P:P,Data!$A:$A,$A13,Data!$C:$C,"carbon_price")</f>
        <v>133.75299999999999</v>
      </c>
      <c r="R13" s="5">
        <f>SUMIFS(Data!Q:Q,Data!$A:$A,$A13,Data!$C:$C,"carbon_price")</f>
        <v>137.24942857142901</v>
      </c>
      <c r="S13" s="5">
        <f>SUMIFS(Data!R:R,Data!$A:$A,$A13,Data!$C:$C,"carbon_price")</f>
        <v>140.74585714285701</v>
      </c>
      <c r="T13" s="5">
        <f>SUMIFS(Data!S:S,Data!$A:$A,$A13,Data!$C:$C,"carbon_price")</f>
        <v>144.242285714286</v>
      </c>
      <c r="U13" s="5">
        <f>SUMIFS(Data!T:T,Data!$A:$A,$A13,Data!$C:$C,"carbon_price")</f>
        <v>147.738714285714</v>
      </c>
      <c r="V13" s="5">
        <f>SUMIFS(Data!U:U,Data!$A:$A,$A13,Data!$C:$C,"carbon_price")</f>
        <v>152.390542857143</v>
      </c>
      <c r="W13" s="5">
        <f>SUMIFS(Data!V:V,Data!$A:$A,$A13,Data!$C:$C,"carbon_price")</f>
        <v>157.04237142857099</v>
      </c>
      <c r="X13" s="5">
        <f>SUMIFS(Data!W:W,Data!$A:$A,$A13,Data!$C:$C,"carbon_price")</f>
        <v>161.6942</v>
      </c>
      <c r="Y13" s="5">
        <f>SUMIFS(Data!X:X,Data!$A:$A,$A13,Data!$C:$C,"carbon_price")</f>
        <v>166.346028571429</v>
      </c>
      <c r="Z13" s="5">
        <f>SUMIFS(Data!Y:Y,Data!$A:$A,$A13,Data!$C:$C,"carbon_price")</f>
        <v>170.99785714285699</v>
      </c>
      <c r="AA13" s="5">
        <f>SUMIFS(Data!Z:Z,Data!$A:$A,$A13,Data!$C:$C,"carbon_price")</f>
        <v>177.21772857142901</v>
      </c>
      <c r="AB13" s="5">
        <f>SUMIFS(Data!AA:AA,Data!$A:$A,$A13,Data!$C:$C,"carbon_price")</f>
        <v>183.4376</v>
      </c>
      <c r="AC13" s="5">
        <f>SUMIFS(Data!AB:AB,Data!$A:$A,$A13,Data!$C:$C,"carbon_price")</f>
        <v>189.657471428571</v>
      </c>
      <c r="AD13" s="5">
        <f>SUMIFS(Data!AC:AC,Data!$A:$A,$A13,Data!$C:$C,"carbon_price")</f>
        <v>195.87734285714299</v>
      </c>
      <c r="AE13" s="5">
        <f>SUMIFS(Data!AD:AD,Data!$A:$A,$A13,Data!$C:$C,"carbon_price")</f>
        <v>202.09721428571399</v>
      </c>
    </row>
    <row r="14" spans="1:31" x14ac:dyDescent="0.2">
      <c r="A14" t="s">
        <v>3</v>
      </c>
      <c r="B14" t="s">
        <v>27</v>
      </c>
      <c r="E14" s="5">
        <f>SUMIFS(Data!D:D,Data!$A:$A,$A14,Data!$C:$C,"carbon_price")</f>
        <v>100.3216</v>
      </c>
      <c r="F14" s="5">
        <f>SUMIFS(Data!E:E,Data!$A:$A,$A14,Data!$C:$C,"carbon_price")</f>
        <v>98.954192592592605</v>
      </c>
      <c r="G14" s="5">
        <f>SUMIFS(Data!F:F,Data!$A:$A,$A14,Data!$C:$C,"carbon_price")</f>
        <v>99.679585185185203</v>
      </c>
      <c r="H14" s="5">
        <f>SUMIFS(Data!G:G,Data!$A:$A,$A14,Data!$C:$C,"carbon_price")</f>
        <v>100.404977777778</v>
      </c>
      <c r="I14" s="5">
        <f>SUMIFS(Data!H:H,Data!$A:$A,$A14,Data!$C:$C,"carbon_price")</f>
        <v>101.13037037037</v>
      </c>
      <c r="J14" s="5">
        <f>SUMIFS(Data!I:I,Data!$A:$A,$A14,Data!$C:$C,"carbon_price")</f>
        <v>101.855762962963</v>
      </c>
      <c r="K14" s="5">
        <f>SUMIFS(Data!J:J,Data!$A:$A,$A14,Data!$C:$C,"carbon_price")</f>
        <v>102.58115555555599</v>
      </c>
      <c r="L14" s="5">
        <f>SUMIFS(Data!K:K,Data!$A:$A,$A14,Data!$C:$C,"carbon_price")</f>
        <v>103.920128888889</v>
      </c>
      <c r="M14" s="5">
        <f>SUMIFS(Data!L:L,Data!$A:$A,$A14,Data!$C:$C,"carbon_price")</f>
        <v>105.259102222222</v>
      </c>
      <c r="N14" s="5">
        <f>SUMIFS(Data!M:M,Data!$A:$A,$A14,Data!$C:$C,"carbon_price")</f>
        <v>106.59807555555599</v>
      </c>
      <c r="O14" s="5">
        <f>SUMIFS(Data!N:N,Data!$A:$A,$A14,Data!$C:$C,"carbon_price")</f>
        <v>107.937048888889</v>
      </c>
      <c r="P14" s="5">
        <f>SUMIFS(Data!O:O,Data!$A:$A,$A14,Data!$C:$C,"carbon_price")</f>
        <v>109.276022222222</v>
      </c>
      <c r="Q14" s="5">
        <f>SUMIFS(Data!P:P,Data!$A:$A,$A14,Data!$C:$C,"carbon_price")</f>
        <v>111.382355555556</v>
      </c>
      <c r="R14" s="5">
        <f>SUMIFS(Data!Q:Q,Data!$A:$A,$A14,Data!$C:$C,"carbon_price")</f>
        <v>113.488688888889</v>
      </c>
      <c r="S14" s="5">
        <f>SUMIFS(Data!R:R,Data!$A:$A,$A14,Data!$C:$C,"carbon_price")</f>
        <v>115.595022222222</v>
      </c>
      <c r="T14" s="5">
        <f>SUMIFS(Data!S:S,Data!$A:$A,$A14,Data!$C:$C,"carbon_price")</f>
        <v>117.70135555555601</v>
      </c>
      <c r="U14" s="5">
        <f>SUMIFS(Data!T:T,Data!$A:$A,$A14,Data!$C:$C,"carbon_price")</f>
        <v>119.807688888889</v>
      </c>
      <c r="V14" s="5">
        <f>SUMIFS(Data!U:U,Data!$A:$A,$A14,Data!$C:$C,"carbon_price")</f>
        <v>122.89066222222201</v>
      </c>
      <c r="W14" s="5">
        <f>SUMIFS(Data!V:V,Data!$A:$A,$A14,Data!$C:$C,"carbon_price")</f>
        <v>125.973635555556</v>
      </c>
      <c r="X14" s="5">
        <f>SUMIFS(Data!W:W,Data!$A:$A,$A14,Data!$C:$C,"carbon_price")</f>
        <v>129.056608888889</v>
      </c>
      <c r="Y14" s="5">
        <f>SUMIFS(Data!X:X,Data!$A:$A,$A14,Data!$C:$C,"carbon_price")</f>
        <v>132.139582222222</v>
      </c>
      <c r="Z14" s="5">
        <f>SUMIFS(Data!Y:Y,Data!$A:$A,$A14,Data!$C:$C,"carbon_price")</f>
        <v>135.222555555556</v>
      </c>
      <c r="AA14" s="5">
        <f>SUMIFS(Data!Z:Z,Data!$A:$A,$A14,Data!$C:$C,"carbon_price")</f>
        <v>139.63096888888899</v>
      </c>
      <c r="AB14" s="5">
        <f>SUMIFS(Data!AA:AA,Data!$A:$A,$A14,Data!$C:$C,"carbon_price")</f>
        <v>144.039382222222</v>
      </c>
      <c r="AC14" s="5">
        <f>SUMIFS(Data!AB:AB,Data!$A:$A,$A14,Data!$C:$C,"carbon_price")</f>
        <v>148.44779555555601</v>
      </c>
      <c r="AD14" s="5">
        <f>SUMIFS(Data!AC:AC,Data!$A:$A,$A14,Data!$C:$C,"carbon_price")</f>
        <v>152.856208888889</v>
      </c>
      <c r="AE14" s="5">
        <f>SUMIFS(Data!AD:AD,Data!$A:$A,$A14,Data!$C:$C,"carbon_price")</f>
        <v>157.26462222222199</v>
      </c>
    </row>
    <row r="16" spans="1:31" ht="15" customHeight="1" x14ac:dyDescent="0.2">
      <c r="A16" t="s">
        <v>23</v>
      </c>
      <c r="B16" t="s">
        <v>25</v>
      </c>
      <c r="C16">
        <v>0.26500000000000001</v>
      </c>
      <c r="E16" s="4">
        <f>ROUND((E10-E3)/$C16,0)</f>
        <v>117</v>
      </c>
      <c r="F16" s="4">
        <f t="shared" ref="F16:AE16" si="1">ROUND((F10-F3)/$C16,0)</f>
        <v>117</v>
      </c>
      <c r="G16" s="4">
        <f t="shared" si="1"/>
        <v>123</v>
      </c>
      <c r="H16" s="4">
        <f t="shared" si="1"/>
        <v>130</v>
      </c>
      <c r="I16" s="4">
        <f t="shared" si="1"/>
        <v>136</v>
      </c>
      <c r="J16" s="4">
        <f t="shared" si="1"/>
        <v>143</v>
      </c>
      <c r="K16" s="4">
        <f t="shared" si="1"/>
        <v>149</v>
      </c>
      <c r="L16" s="4">
        <f t="shared" si="1"/>
        <v>158</v>
      </c>
      <c r="M16" s="4">
        <f t="shared" si="1"/>
        <v>166</v>
      </c>
      <c r="N16" s="4">
        <f t="shared" si="1"/>
        <v>175</v>
      </c>
      <c r="O16" s="4">
        <f t="shared" si="1"/>
        <v>183</v>
      </c>
      <c r="P16" s="4">
        <f t="shared" si="1"/>
        <v>192</v>
      </c>
      <c r="Q16" s="4">
        <f t="shared" si="1"/>
        <v>203</v>
      </c>
      <c r="R16" s="4">
        <f t="shared" si="1"/>
        <v>214</v>
      </c>
      <c r="S16" s="4">
        <f t="shared" si="1"/>
        <v>225</v>
      </c>
      <c r="T16" s="4">
        <f t="shared" si="1"/>
        <v>235</v>
      </c>
      <c r="U16" s="4">
        <f t="shared" si="1"/>
        <v>246</v>
      </c>
      <c r="V16" s="4">
        <f t="shared" si="1"/>
        <v>260</v>
      </c>
      <c r="W16" s="4">
        <f t="shared" si="1"/>
        <v>274</v>
      </c>
      <c r="X16" s="4">
        <f t="shared" si="1"/>
        <v>288</v>
      </c>
      <c r="Y16" s="4">
        <f t="shared" si="1"/>
        <v>302</v>
      </c>
      <c r="Z16" s="4">
        <f t="shared" si="1"/>
        <v>316</v>
      </c>
      <c r="AA16" s="4">
        <f t="shared" si="1"/>
        <v>334</v>
      </c>
      <c r="AB16" s="4">
        <f t="shared" si="1"/>
        <v>352</v>
      </c>
      <c r="AC16" s="4">
        <f t="shared" si="1"/>
        <v>370</v>
      </c>
      <c r="AD16" s="4">
        <f t="shared" si="1"/>
        <v>388</v>
      </c>
      <c r="AE16" s="4">
        <f t="shared" si="1"/>
        <v>407</v>
      </c>
    </row>
    <row r="17" spans="1:31" x14ac:dyDescent="0.2">
      <c r="A17" t="s">
        <v>24</v>
      </c>
      <c r="B17" t="s">
        <v>25</v>
      </c>
      <c r="E17" s="6">
        <v>71</v>
      </c>
      <c r="F17" s="6">
        <v>71</v>
      </c>
      <c r="G17" s="6">
        <v>71</v>
      </c>
      <c r="H17" s="6">
        <v>71</v>
      </c>
      <c r="I17" s="6">
        <v>71</v>
      </c>
      <c r="J17" s="6">
        <v>71</v>
      </c>
      <c r="K17" s="6">
        <v>71</v>
      </c>
      <c r="L17" s="6">
        <v>71</v>
      </c>
      <c r="M17" s="6">
        <v>71</v>
      </c>
      <c r="N17" s="6">
        <v>71</v>
      </c>
      <c r="O17" s="6">
        <v>71</v>
      </c>
      <c r="P17" s="6">
        <v>71</v>
      </c>
      <c r="Q17" s="6">
        <v>71</v>
      </c>
      <c r="R17" s="6">
        <v>71</v>
      </c>
      <c r="S17" s="6">
        <v>71</v>
      </c>
      <c r="T17" s="6">
        <v>71</v>
      </c>
      <c r="U17" s="6">
        <v>71</v>
      </c>
      <c r="V17" s="6">
        <v>71</v>
      </c>
      <c r="W17" s="6">
        <v>71</v>
      </c>
      <c r="X17" s="6">
        <v>71</v>
      </c>
      <c r="Y17" s="6">
        <v>71</v>
      </c>
      <c r="Z17" s="6">
        <v>71</v>
      </c>
      <c r="AA17" s="6">
        <v>71</v>
      </c>
      <c r="AB17" s="6">
        <v>71</v>
      </c>
      <c r="AC17" s="6">
        <v>71</v>
      </c>
      <c r="AD17" s="6">
        <v>71</v>
      </c>
      <c r="AE17" s="6">
        <v>71</v>
      </c>
    </row>
    <row r="18" spans="1:31" x14ac:dyDescent="0.2">
      <c r="K18" s="5"/>
      <c r="U18" s="5"/>
      <c r="AE18" s="5"/>
    </row>
    <row r="19" spans="1:31" x14ac:dyDescent="0.2">
      <c r="A19" t="s">
        <v>0</v>
      </c>
      <c r="B19" t="s">
        <v>28</v>
      </c>
      <c r="C19">
        <v>0.26500000000000001</v>
      </c>
      <c r="E19" s="5">
        <f t="shared" ref="E19:AD19" si="2">E3+$C19*E$17</f>
        <v>43.144999999999996</v>
      </c>
      <c r="F19" s="5">
        <f t="shared" si="2"/>
        <v>43.56</v>
      </c>
      <c r="G19" s="5">
        <f t="shared" si="2"/>
        <v>43.975000000000001</v>
      </c>
      <c r="H19" s="5">
        <f t="shared" si="2"/>
        <v>44.39</v>
      </c>
      <c r="I19" s="5">
        <f t="shared" si="2"/>
        <v>44.805</v>
      </c>
      <c r="J19" s="5">
        <f t="shared" si="2"/>
        <v>45.22</v>
      </c>
      <c r="K19" s="5">
        <f t="shared" si="2"/>
        <v>45.635000000000005</v>
      </c>
      <c r="L19" s="5">
        <f t="shared" si="2"/>
        <v>45.194000000000003</v>
      </c>
      <c r="M19" s="5">
        <f t="shared" si="2"/>
        <v>44.753</v>
      </c>
      <c r="N19" s="5">
        <f t="shared" si="2"/>
        <v>44.311999999999998</v>
      </c>
      <c r="O19" s="5">
        <f t="shared" si="2"/>
        <v>43.871000000000002</v>
      </c>
      <c r="P19" s="5">
        <f t="shared" si="2"/>
        <v>43.43</v>
      </c>
      <c r="Q19" s="5">
        <f t="shared" si="2"/>
        <v>42.989000000000004</v>
      </c>
      <c r="R19" s="5">
        <f t="shared" si="2"/>
        <v>42.548000000000002</v>
      </c>
      <c r="S19" s="5">
        <f t="shared" si="2"/>
        <v>42.106999999999999</v>
      </c>
      <c r="T19" s="5">
        <f t="shared" si="2"/>
        <v>41.665999999999997</v>
      </c>
      <c r="U19" s="5">
        <f t="shared" si="2"/>
        <v>41.225000000000001</v>
      </c>
      <c r="V19" s="5">
        <f t="shared" si="2"/>
        <v>40.784000000000006</v>
      </c>
      <c r="W19" s="5">
        <f t="shared" si="2"/>
        <v>40.343000000000004</v>
      </c>
      <c r="X19" s="5">
        <f t="shared" si="2"/>
        <v>39.902000000000001</v>
      </c>
      <c r="Y19" s="5">
        <f t="shared" si="2"/>
        <v>39.460999999999999</v>
      </c>
      <c r="Z19" s="5">
        <f t="shared" si="2"/>
        <v>39.019999999999996</v>
      </c>
      <c r="AA19" s="5">
        <f t="shared" si="2"/>
        <v>38.579000000000001</v>
      </c>
      <c r="AB19" s="5">
        <f t="shared" si="2"/>
        <v>38.138000000000005</v>
      </c>
      <c r="AC19" s="5">
        <f t="shared" si="2"/>
        <v>37.697000000000003</v>
      </c>
      <c r="AD19" s="5">
        <f t="shared" si="2"/>
        <v>37.256</v>
      </c>
      <c r="AE19" s="5">
        <f>AE3+$C19*AE$17</f>
        <v>36.814999999999998</v>
      </c>
    </row>
    <row r="20" spans="1:31" x14ac:dyDescent="0.2">
      <c r="A20" t="s">
        <v>1</v>
      </c>
      <c r="B20" t="s">
        <v>28</v>
      </c>
      <c r="C20">
        <v>0.35</v>
      </c>
      <c r="E20" s="5">
        <f t="shared" ref="E20:AE20" si="3">E4+$C20*E$17</f>
        <v>57.849999999999994</v>
      </c>
      <c r="F20" s="5">
        <f t="shared" si="3"/>
        <v>58.402222222222193</v>
      </c>
      <c r="G20" s="5">
        <f t="shared" si="3"/>
        <v>58.954444444444391</v>
      </c>
      <c r="H20" s="5">
        <f t="shared" si="3"/>
        <v>59.506666666666703</v>
      </c>
      <c r="I20" s="5">
        <f t="shared" si="3"/>
        <v>60.058888888888902</v>
      </c>
      <c r="J20" s="5">
        <f t="shared" si="3"/>
        <v>60.6111111111111</v>
      </c>
      <c r="K20" s="5">
        <f t="shared" si="3"/>
        <v>61.163333333333298</v>
      </c>
      <c r="L20" s="5">
        <f t="shared" si="3"/>
        <v>60.575333333333305</v>
      </c>
      <c r="M20" s="5">
        <f t="shared" si="3"/>
        <v>59.987333333333297</v>
      </c>
      <c r="N20" s="5">
        <f t="shared" si="3"/>
        <v>59.399333333333303</v>
      </c>
      <c r="O20" s="5">
        <f t="shared" si="3"/>
        <v>58.811333333333295</v>
      </c>
      <c r="P20" s="5">
        <f t="shared" si="3"/>
        <v>58.223333333333301</v>
      </c>
      <c r="Q20" s="5">
        <f t="shared" si="3"/>
        <v>57.635333333333293</v>
      </c>
      <c r="R20" s="5">
        <f t="shared" si="3"/>
        <v>57.047333333333299</v>
      </c>
      <c r="S20" s="5">
        <f t="shared" si="3"/>
        <v>56.459333333333298</v>
      </c>
      <c r="T20" s="5">
        <f t="shared" si="3"/>
        <v>55.871333333333297</v>
      </c>
      <c r="U20" s="5">
        <f t="shared" si="3"/>
        <v>55.283333333333303</v>
      </c>
      <c r="V20" s="5">
        <f t="shared" si="3"/>
        <v>54.695333333333295</v>
      </c>
      <c r="W20" s="5">
        <f t="shared" si="3"/>
        <v>54.107333333333301</v>
      </c>
      <c r="X20" s="5">
        <f t="shared" si="3"/>
        <v>53.519333333333293</v>
      </c>
      <c r="Y20" s="5">
        <f t="shared" si="3"/>
        <v>52.931333333333299</v>
      </c>
      <c r="Z20" s="5">
        <f t="shared" si="3"/>
        <v>52.343333333333298</v>
      </c>
      <c r="AA20" s="5">
        <f t="shared" si="3"/>
        <v>51.755333333333297</v>
      </c>
      <c r="AB20" s="5">
        <f t="shared" si="3"/>
        <v>51.167333333333296</v>
      </c>
      <c r="AC20" s="5">
        <f t="shared" si="3"/>
        <v>50.579333333333295</v>
      </c>
      <c r="AD20" s="5">
        <f t="shared" si="3"/>
        <v>49.991333333333301</v>
      </c>
      <c r="AE20" s="5">
        <f t="shared" si="3"/>
        <v>49.403333333333293</v>
      </c>
    </row>
    <row r="21" spans="1:31" x14ac:dyDescent="0.2">
      <c r="A21" t="s">
        <v>2</v>
      </c>
      <c r="B21" t="s">
        <v>28</v>
      </c>
      <c r="C21">
        <v>0.25</v>
      </c>
      <c r="E21" s="5">
        <f t="shared" ref="E21:AE21" si="4">E5+$C21*E$17</f>
        <v>82.75</v>
      </c>
      <c r="F21" s="5">
        <f t="shared" si="4"/>
        <v>81.382592592592601</v>
      </c>
      <c r="G21" s="5">
        <f t="shared" si="4"/>
        <v>80.015185185185203</v>
      </c>
      <c r="H21" s="5">
        <f t="shared" si="4"/>
        <v>78.647777777777804</v>
      </c>
      <c r="I21" s="5">
        <f t="shared" si="4"/>
        <v>77.280370370370406</v>
      </c>
      <c r="J21" s="5">
        <f t="shared" si="4"/>
        <v>75.912962962963007</v>
      </c>
      <c r="K21" s="5">
        <f t="shared" si="4"/>
        <v>74.545555555555609</v>
      </c>
      <c r="L21" s="5">
        <f t="shared" si="4"/>
        <v>73.163888888888891</v>
      </c>
      <c r="M21" s="5">
        <f t="shared" si="4"/>
        <v>71.782222222222202</v>
      </c>
      <c r="N21" s="5">
        <f t="shared" si="4"/>
        <v>70.400555555555599</v>
      </c>
      <c r="O21" s="5">
        <f t="shared" si="4"/>
        <v>69.01888888888891</v>
      </c>
      <c r="P21" s="5">
        <f t="shared" si="4"/>
        <v>67.637222222222192</v>
      </c>
      <c r="Q21" s="5">
        <f t="shared" si="4"/>
        <v>66.255555555555603</v>
      </c>
      <c r="R21" s="5">
        <f t="shared" si="4"/>
        <v>64.873888888888899</v>
      </c>
      <c r="S21" s="5">
        <f t="shared" si="4"/>
        <v>63.492222222222203</v>
      </c>
      <c r="T21" s="5">
        <f t="shared" si="4"/>
        <v>62.110555555555599</v>
      </c>
      <c r="U21" s="5">
        <f t="shared" si="4"/>
        <v>60.728888888888903</v>
      </c>
      <c r="V21" s="5">
        <f t="shared" si="4"/>
        <v>59.3472222222222</v>
      </c>
      <c r="W21" s="5">
        <f t="shared" si="4"/>
        <v>57.965555555555603</v>
      </c>
      <c r="X21" s="5">
        <f t="shared" si="4"/>
        <v>56.5838888888889</v>
      </c>
      <c r="Y21" s="5">
        <f t="shared" si="4"/>
        <v>55.202222222222197</v>
      </c>
      <c r="Z21" s="5">
        <f t="shared" si="4"/>
        <v>53.8205555555556</v>
      </c>
      <c r="AA21" s="5">
        <f t="shared" si="4"/>
        <v>52.438888888888897</v>
      </c>
      <c r="AB21" s="5">
        <f t="shared" si="4"/>
        <v>51.057222222222201</v>
      </c>
      <c r="AC21" s="5">
        <f t="shared" si="4"/>
        <v>49.675555555555604</v>
      </c>
      <c r="AD21" s="5">
        <f t="shared" si="4"/>
        <v>48.293888888888901</v>
      </c>
      <c r="AE21" s="5">
        <f t="shared" si="4"/>
        <v>46.912222222222198</v>
      </c>
    </row>
    <row r="22" spans="1:31" x14ac:dyDescent="0.2">
      <c r="A22" t="s">
        <v>21</v>
      </c>
      <c r="B22" t="s">
        <v>28</v>
      </c>
      <c r="C22">
        <v>0.37</v>
      </c>
      <c r="E22" s="5">
        <f t="shared" ref="E22:AE22" si="5">E6+$C22*E$17</f>
        <v>83.27</v>
      </c>
      <c r="F22" s="5">
        <f t="shared" si="5"/>
        <v>83.900238095238095</v>
      </c>
      <c r="G22" s="5">
        <f t="shared" si="5"/>
        <v>84.530476190476193</v>
      </c>
      <c r="H22" s="5">
        <f t="shared" si="5"/>
        <v>85.160714285714306</v>
      </c>
      <c r="I22" s="5">
        <f t="shared" si="5"/>
        <v>85.790952380952405</v>
      </c>
      <c r="J22" s="5">
        <f t="shared" si="5"/>
        <v>86.421190476190503</v>
      </c>
      <c r="K22" s="5">
        <f t="shared" si="5"/>
        <v>87.051428571428602</v>
      </c>
      <c r="L22" s="5">
        <f t="shared" si="5"/>
        <v>86.421428571428606</v>
      </c>
      <c r="M22" s="5">
        <f t="shared" si="5"/>
        <v>85.791428571428597</v>
      </c>
      <c r="N22" s="5">
        <f t="shared" si="5"/>
        <v>85.161428571428601</v>
      </c>
      <c r="O22" s="5">
        <f t="shared" si="5"/>
        <v>84.531428571428606</v>
      </c>
      <c r="P22" s="5">
        <f t="shared" si="5"/>
        <v>83.901428571428596</v>
      </c>
      <c r="Q22" s="5">
        <f t="shared" si="5"/>
        <v>83.271428571428601</v>
      </c>
      <c r="R22" s="5">
        <f t="shared" si="5"/>
        <v>82.641428571428605</v>
      </c>
      <c r="S22" s="5">
        <f t="shared" si="5"/>
        <v>82.011428571428596</v>
      </c>
      <c r="T22" s="5">
        <f t="shared" si="5"/>
        <v>81.3814285714286</v>
      </c>
      <c r="U22" s="5">
        <f t="shared" si="5"/>
        <v>80.751428571428605</v>
      </c>
      <c r="V22" s="5">
        <f t="shared" si="5"/>
        <v>80.121428571428595</v>
      </c>
      <c r="W22" s="5">
        <f t="shared" si="5"/>
        <v>79.4914285714286</v>
      </c>
      <c r="X22" s="5">
        <f t="shared" si="5"/>
        <v>78.861428571428604</v>
      </c>
      <c r="Y22" s="5">
        <f t="shared" si="5"/>
        <v>78.231428571428594</v>
      </c>
      <c r="Z22" s="5">
        <f t="shared" si="5"/>
        <v>77.601428571428599</v>
      </c>
      <c r="AA22" s="5">
        <f t="shared" si="5"/>
        <v>76.971428571428604</v>
      </c>
      <c r="AB22" s="5">
        <f t="shared" si="5"/>
        <v>76.341428571428594</v>
      </c>
      <c r="AC22" s="5">
        <f t="shared" si="5"/>
        <v>75.711428571428598</v>
      </c>
      <c r="AD22" s="5">
        <f t="shared" si="5"/>
        <v>75.081428571428603</v>
      </c>
      <c r="AE22" s="5">
        <f t="shared" si="5"/>
        <v>74.451428571428593</v>
      </c>
    </row>
    <row r="23" spans="1:31" x14ac:dyDescent="0.2">
      <c r="A23" t="s">
        <v>3</v>
      </c>
      <c r="B23" t="s">
        <v>28</v>
      </c>
      <c r="C23">
        <v>0.32</v>
      </c>
      <c r="E23" s="5">
        <f t="shared" ref="E23:AE23" si="6">E7+$C23*E$17</f>
        <v>85.72</v>
      </c>
      <c r="F23" s="5">
        <f t="shared" si="6"/>
        <v>84.3525925925926</v>
      </c>
      <c r="G23" s="5">
        <f t="shared" si="6"/>
        <v>82.985185185185202</v>
      </c>
      <c r="H23" s="5">
        <f t="shared" si="6"/>
        <v>81.617777777777803</v>
      </c>
      <c r="I23" s="5">
        <f t="shared" si="6"/>
        <v>80.250370370370405</v>
      </c>
      <c r="J23" s="5">
        <f t="shared" si="6"/>
        <v>78.882962962963006</v>
      </c>
      <c r="K23" s="5">
        <f t="shared" si="6"/>
        <v>77.515555555555608</v>
      </c>
      <c r="L23" s="5">
        <f t="shared" si="6"/>
        <v>76.13388888888889</v>
      </c>
      <c r="M23" s="5">
        <f t="shared" si="6"/>
        <v>74.752222222222201</v>
      </c>
      <c r="N23" s="5">
        <f t="shared" si="6"/>
        <v>73.370555555555597</v>
      </c>
      <c r="O23" s="5">
        <f t="shared" si="6"/>
        <v>71.988888888888908</v>
      </c>
      <c r="P23" s="5">
        <f t="shared" si="6"/>
        <v>70.607222222222191</v>
      </c>
      <c r="Q23" s="5">
        <f t="shared" si="6"/>
        <v>69.225555555555601</v>
      </c>
      <c r="R23" s="5">
        <f t="shared" si="6"/>
        <v>67.843888888888898</v>
      </c>
      <c r="S23" s="5">
        <f t="shared" si="6"/>
        <v>66.462222222222209</v>
      </c>
      <c r="T23" s="5">
        <f t="shared" si="6"/>
        <v>65.080555555555605</v>
      </c>
      <c r="U23" s="5">
        <f t="shared" si="6"/>
        <v>63.698888888888902</v>
      </c>
      <c r="V23" s="5">
        <f t="shared" si="6"/>
        <v>62.317222222222199</v>
      </c>
      <c r="W23" s="5">
        <f t="shared" si="6"/>
        <v>60.935555555555602</v>
      </c>
      <c r="X23" s="5">
        <f t="shared" si="6"/>
        <v>59.553888888888899</v>
      </c>
      <c r="Y23" s="5">
        <f t="shared" si="6"/>
        <v>58.172222222222196</v>
      </c>
      <c r="Z23" s="5">
        <f t="shared" si="6"/>
        <v>56.790555555555599</v>
      </c>
      <c r="AA23" s="5">
        <f t="shared" si="6"/>
        <v>55.408888888888896</v>
      </c>
      <c r="AB23" s="5">
        <f t="shared" si="6"/>
        <v>54.0272222222222</v>
      </c>
      <c r="AC23" s="5">
        <f t="shared" si="6"/>
        <v>52.645555555555603</v>
      </c>
      <c r="AD23" s="5">
        <f t="shared" si="6"/>
        <v>51.2638888888889</v>
      </c>
      <c r="AE23" s="5">
        <f t="shared" si="6"/>
        <v>49.882222222222197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Flat Carbon Price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Rumpelnik</dc:creator>
  <cp:lastModifiedBy>Christian Rumpelnik</cp:lastModifiedBy>
  <dcterms:created xsi:type="dcterms:W3CDTF">2025-04-06T07:20:52Z</dcterms:created>
  <dcterms:modified xsi:type="dcterms:W3CDTF">2025-12-05T15:39:13Z</dcterms:modified>
</cp:coreProperties>
</file>